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4240" windowHeight="13740" activeTab="1"/>
  </bookViews>
  <sheets>
    <sheet name="Costruzione_indici" sheetId="1" r:id="rId1"/>
    <sheet name="Dataset_definitivo" sheetId="2" r:id="rId2"/>
  </sheets>
  <definedNames>
    <definedName name="_xlnm._FilterDatabase" localSheetId="1" hidden="1">Dataset_definitivo!$A$1:$M$415</definedName>
    <definedName name="Dataset_definitivo" localSheetId="0">Costruzione_indici!$A$1:$AB$415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/>
  <c r="AC3"/>
  <c r="AD3"/>
  <c r="AE3"/>
  <c r="AF3"/>
  <c r="AG3"/>
  <c r="AH3"/>
  <c r="AI3"/>
  <c r="AJ3"/>
  <c r="AK3"/>
  <c r="AL3"/>
  <c r="AC4"/>
  <c r="AD4"/>
  <c r="AE4"/>
  <c r="AF4"/>
  <c r="AG4"/>
  <c r="AH4"/>
  <c r="AI4"/>
  <c r="AJ4"/>
  <c r="AK4"/>
  <c r="AL4"/>
  <c r="AC5"/>
  <c r="AD5"/>
  <c r="AE5"/>
  <c r="AF5"/>
  <c r="AG5"/>
  <c r="AH5"/>
  <c r="AI5"/>
  <c r="AJ5"/>
  <c r="AK5"/>
  <c r="AL5"/>
  <c r="AC6"/>
  <c r="AD6"/>
  <c r="AE6"/>
  <c r="AF6"/>
  <c r="AG6"/>
  <c r="AH6"/>
  <c r="AI6"/>
  <c r="AJ6"/>
  <c r="AK6"/>
  <c r="AL6"/>
  <c r="AC7"/>
  <c r="AD7"/>
  <c r="AE7"/>
  <c r="AF7"/>
  <c r="AG7"/>
  <c r="AH7"/>
  <c r="AI7"/>
  <c r="AJ7"/>
  <c r="AK7"/>
  <c r="AL7"/>
  <c r="AC8"/>
  <c r="AD8"/>
  <c r="AE8"/>
  <c r="AF8"/>
  <c r="AG8"/>
  <c r="AH8"/>
  <c r="AI8"/>
  <c r="AJ8"/>
  <c r="AK8"/>
  <c r="AL8"/>
  <c r="AC9"/>
  <c r="AD9"/>
  <c r="AE9"/>
  <c r="AF9"/>
  <c r="AG9"/>
  <c r="AH9"/>
  <c r="AI9"/>
  <c r="AJ9"/>
  <c r="AK9"/>
  <c r="AL9"/>
  <c r="AC10"/>
  <c r="AD10"/>
  <c r="AE10"/>
  <c r="AF10"/>
  <c r="AG10"/>
  <c r="AH10"/>
  <c r="AI10"/>
  <c r="AJ10"/>
  <c r="AK10"/>
  <c r="AL10"/>
  <c r="AC11"/>
  <c r="AD11"/>
  <c r="AE11"/>
  <c r="AF11"/>
  <c r="AG11"/>
  <c r="AH11"/>
  <c r="AI11"/>
  <c r="AJ11"/>
  <c r="AK11"/>
  <c r="AL11"/>
  <c r="AC12"/>
  <c r="AD12"/>
  <c r="AE12"/>
  <c r="AF12"/>
  <c r="AG12"/>
  <c r="AH12"/>
  <c r="AI12"/>
  <c r="AJ12"/>
  <c r="AK12"/>
  <c r="AL12"/>
  <c r="AC13"/>
  <c r="AD13"/>
  <c r="AE13"/>
  <c r="AF13"/>
  <c r="AG13"/>
  <c r="AH13"/>
  <c r="AI13"/>
  <c r="AJ13"/>
  <c r="AK13"/>
  <c r="AL13"/>
  <c r="AC14"/>
  <c r="AD14"/>
  <c r="AE14"/>
  <c r="AF14"/>
  <c r="AG14"/>
  <c r="AH14"/>
  <c r="AI14"/>
  <c r="AJ14"/>
  <c r="AK14"/>
  <c r="AL14"/>
  <c r="AC15"/>
  <c r="AD15"/>
  <c r="AE15"/>
  <c r="AF15"/>
  <c r="AG15"/>
  <c r="AH15"/>
  <c r="AI15"/>
  <c r="AJ15"/>
  <c r="AK15"/>
  <c r="AL15"/>
  <c r="AC16"/>
  <c r="AD16"/>
  <c r="AE16"/>
  <c r="AF16"/>
  <c r="AG16"/>
  <c r="AH16"/>
  <c r="AI16"/>
  <c r="AJ16"/>
  <c r="AK16"/>
  <c r="AL16"/>
  <c r="AC17"/>
  <c r="AD17"/>
  <c r="AE17"/>
  <c r="AF17"/>
  <c r="AG17"/>
  <c r="AH17"/>
  <c r="AI17"/>
  <c r="AJ17"/>
  <c r="AK17"/>
  <c r="AL17"/>
  <c r="AC18"/>
  <c r="AD18"/>
  <c r="AE18"/>
  <c r="AF18"/>
  <c r="AG18"/>
  <c r="AH18"/>
  <c r="AI18"/>
  <c r="AJ18"/>
  <c r="AK18"/>
  <c r="AL18"/>
  <c r="AC19"/>
  <c r="AD19"/>
  <c r="AE19"/>
  <c r="AF19"/>
  <c r="AG19"/>
  <c r="AH19"/>
  <c r="AI19"/>
  <c r="AJ19"/>
  <c r="AK19"/>
  <c r="AL19"/>
  <c r="AC20"/>
  <c r="AD20"/>
  <c r="AE20"/>
  <c r="AF20"/>
  <c r="AG20"/>
  <c r="AH20"/>
  <c r="AI20"/>
  <c r="AJ20"/>
  <c r="AK20"/>
  <c r="AL20"/>
  <c r="AC21"/>
  <c r="AD21"/>
  <c r="AE21"/>
  <c r="AF21"/>
  <c r="AG21"/>
  <c r="AH21"/>
  <c r="AI21"/>
  <c r="AJ21"/>
  <c r="AK21"/>
  <c r="AL21"/>
  <c r="AC22"/>
  <c r="AD22"/>
  <c r="AE22"/>
  <c r="AF22"/>
  <c r="AG22"/>
  <c r="AH22"/>
  <c r="AI22"/>
  <c r="AJ22"/>
  <c r="AK22"/>
  <c r="AL22"/>
  <c r="AC23"/>
  <c r="AD23"/>
  <c r="AE23"/>
  <c r="AF23"/>
  <c r="AG23"/>
  <c r="AH23"/>
  <c r="AI23"/>
  <c r="AJ23"/>
  <c r="AK23"/>
  <c r="AL23"/>
  <c r="AC24"/>
  <c r="AD24"/>
  <c r="AE24"/>
  <c r="AF24"/>
  <c r="AG24"/>
  <c r="AH24"/>
  <c r="AI24"/>
  <c r="AJ24"/>
  <c r="AK24"/>
  <c r="AL24"/>
  <c r="AC25"/>
  <c r="AD25"/>
  <c r="AE25"/>
  <c r="AF25"/>
  <c r="AG25"/>
  <c r="AH25"/>
  <c r="AI25"/>
  <c r="AJ25"/>
  <c r="AK25"/>
  <c r="AL25"/>
  <c r="AC26"/>
  <c r="AD26"/>
  <c r="AE26"/>
  <c r="AF26"/>
  <c r="AG26"/>
  <c r="AH26"/>
  <c r="AI26"/>
  <c r="AJ26"/>
  <c r="AK26"/>
  <c r="AL26"/>
  <c r="AC27"/>
  <c r="AD27"/>
  <c r="AE27"/>
  <c r="AF27"/>
  <c r="AG27"/>
  <c r="AH27"/>
  <c r="AI27"/>
  <c r="AJ27"/>
  <c r="AK27"/>
  <c r="AL27"/>
  <c r="AC28"/>
  <c r="AD28"/>
  <c r="AE28"/>
  <c r="AF28"/>
  <c r="AG28"/>
  <c r="AH28"/>
  <c r="AI28"/>
  <c r="AJ28"/>
  <c r="AK28"/>
  <c r="AL28"/>
  <c r="AC29"/>
  <c r="AD29"/>
  <c r="AE29"/>
  <c r="AF29"/>
  <c r="AG29"/>
  <c r="AH29"/>
  <c r="AI29"/>
  <c r="AJ29"/>
  <c r="AK29"/>
  <c r="AL29"/>
  <c r="AC30"/>
  <c r="AD30"/>
  <c r="AE30"/>
  <c r="AF30"/>
  <c r="AG30"/>
  <c r="AH30"/>
  <c r="AI30"/>
  <c r="AJ30"/>
  <c r="AK30"/>
  <c r="AL30"/>
  <c r="AC31"/>
  <c r="AD31"/>
  <c r="AE31"/>
  <c r="AF31"/>
  <c r="AG31"/>
  <c r="AH31"/>
  <c r="AI31"/>
  <c r="AJ31"/>
  <c r="AK31"/>
  <c r="AL31"/>
  <c r="AC32"/>
  <c r="AD32"/>
  <c r="AE32"/>
  <c r="AF32"/>
  <c r="AG32"/>
  <c r="AH32"/>
  <c r="AI32"/>
  <c r="AJ32"/>
  <c r="AK32"/>
  <c r="AL32"/>
  <c r="AC33"/>
  <c r="AD33"/>
  <c r="AE33"/>
  <c r="AF33"/>
  <c r="AG33"/>
  <c r="AH33"/>
  <c r="AI33"/>
  <c r="AJ33"/>
  <c r="AK33"/>
  <c r="AL33"/>
  <c r="AC34"/>
  <c r="AD34"/>
  <c r="AE34"/>
  <c r="AF34"/>
  <c r="AG34"/>
  <c r="AH34"/>
  <c r="AI34"/>
  <c r="AJ34"/>
  <c r="AK34"/>
  <c r="AL34"/>
  <c r="AC35"/>
  <c r="AD35"/>
  <c r="AE35"/>
  <c r="AF35"/>
  <c r="AG35"/>
  <c r="AH35"/>
  <c r="AI35"/>
  <c r="AJ35"/>
  <c r="AK35"/>
  <c r="AL35"/>
  <c r="AC36"/>
  <c r="AD36"/>
  <c r="AE36"/>
  <c r="AF36"/>
  <c r="AG36"/>
  <c r="AH36"/>
  <c r="AI36"/>
  <c r="AJ36"/>
  <c r="AK36"/>
  <c r="AL36"/>
  <c r="AC37"/>
  <c r="AD37"/>
  <c r="AE37"/>
  <c r="AF37"/>
  <c r="AG37"/>
  <c r="AH37"/>
  <c r="AI37"/>
  <c r="AJ37"/>
  <c r="AK37"/>
  <c r="AL37"/>
  <c r="AC38"/>
  <c r="AD38"/>
  <c r="AE38"/>
  <c r="AF38"/>
  <c r="AG38"/>
  <c r="AH38"/>
  <c r="AI38"/>
  <c r="AJ38"/>
  <c r="AK38"/>
  <c r="AL38"/>
  <c r="AC39"/>
  <c r="AD39"/>
  <c r="AE39"/>
  <c r="AF39"/>
  <c r="AG39"/>
  <c r="AH39"/>
  <c r="AI39"/>
  <c r="AJ39"/>
  <c r="AK39"/>
  <c r="AL39"/>
  <c r="AC40"/>
  <c r="AD40"/>
  <c r="AE40"/>
  <c r="AF40"/>
  <c r="AG40"/>
  <c r="AH40"/>
  <c r="AI40"/>
  <c r="AJ40"/>
  <c r="AK40"/>
  <c r="AL40"/>
  <c r="AC41"/>
  <c r="AD41"/>
  <c r="AE41"/>
  <c r="AF41"/>
  <c r="AG41"/>
  <c r="AH41"/>
  <c r="AI41"/>
  <c r="AJ41"/>
  <c r="AK41"/>
  <c r="AL41"/>
  <c r="AC42"/>
  <c r="AD42"/>
  <c r="AE42"/>
  <c r="AF42"/>
  <c r="AG42"/>
  <c r="AH42"/>
  <c r="AI42"/>
  <c r="AJ42"/>
  <c r="AK42"/>
  <c r="AL42"/>
  <c r="AC43"/>
  <c r="AD43"/>
  <c r="AE43"/>
  <c r="AF43"/>
  <c r="AG43"/>
  <c r="AH43"/>
  <c r="AI43"/>
  <c r="AJ43"/>
  <c r="AK43"/>
  <c r="AL43"/>
  <c r="AC44"/>
  <c r="AD44"/>
  <c r="AE44"/>
  <c r="AF44"/>
  <c r="AG44"/>
  <c r="AH44"/>
  <c r="AI44"/>
  <c r="AJ44"/>
  <c r="AK44"/>
  <c r="AL44"/>
  <c r="AC45"/>
  <c r="AD45"/>
  <c r="AE45"/>
  <c r="AF45"/>
  <c r="AG45"/>
  <c r="AH45"/>
  <c r="AI45"/>
  <c r="AJ45"/>
  <c r="AK45"/>
  <c r="AL45"/>
  <c r="AC46"/>
  <c r="AD46"/>
  <c r="AE46"/>
  <c r="AF46"/>
  <c r="AG46"/>
  <c r="AH46"/>
  <c r="AI46"/>
  <c r="AJ46"/>
  <c r="AK46"/>
  <c r="AL46"/>
  <c r="AC47"/>
  <c r="AD47"/>
  <c r="AE47"/>
  <c r="AF47"/>
  <c r="AG47"/>
  <c r="AH47"/>
  <c r="AI47"/>
  <c r="AJ47"/>
  <c r="AK47"/>
  <c r="AL47"/>
  <c r="AC48"/>
  <c r="AD48"/>
  <c r="AE48"/>
  <c r="AF48"/>
  <c r="AG48"/>
  <c r="AH48"/>
  <c r="AI48"/>
  <c r="AJ48"/>
  <c r="AK48"/>
  <c r="AL48"/>
  <c r="AC49"/>
  <c r="AD49"/>
  <c r="AE49"/>
  <c r="AF49"/>
  <c r="AG49"/>
  <c r="AH49"/>
  <c r="AI49"/>
  <c r="AJ49"/>
  <c r="AK49"/>
  <c r="AL49"/>
  <c r="AC50"/>
  <c r="AD50"/>
  <c r="AE50"/>
  <c r="AF50"/>
  <c r="AG50"/>
  <c r="AH50"/>
  <c r="AI50"/>
  <c r="AJ50"/>
  <c r="AK50"/>
  <c r="AL50"/>
  <c r="AC51"/>
  <c r="AD51"/>
  <c r="AE51"/>
  <c r="AF51"/>
  <c r="AG51"/>
  <c r="AH51"/>
  <c r="AI51"/>
  <c r="AJ51"/>
  <c r="AK51"/>
  <c r="AL51"/>
  <c r="AC52"/>
  <c r="AD52"/>
  <c r="AE52"/>
  <c r="AF52"/>
  <c r="AG52"/>
  <c r="AH52"/>
  <c r="AI52"/>
  <c r="AJ52"/>
  <c r="AK52"/>
  <c r="AL52"/>
  <c r="AC53"/>
  <c r="AD53"/>
  <c r="AE53"/>
  <c r="AF53"/>
  <c r="AG53"/>
  <c r="AH53"/>
  <c r="AI53"/>
  <c r="AJ53"/>
  <c r="AK53"/>
  <c r="AL53"/>
  <c r="AC54"/>
  <c r="AD54"/>
  <c r="AE54"/>
  <c r="AF54"/>
  <c r="AG54"/>
  <c r="AH54"/>
  <c r="AI54"/>
  <c r="AJ54"/>
  <c r="AK54"/>
  <c r="AL54"/>
  <c r="AC55"/>
  <c r="AD55"/>
  <c r="AE55"/>
  <c r="AF55"/>
  <c r="AG55"/>
  <c r="AH55"/>
  <c r="AI55"/>
  <c r="AJ55"/>
  <c r="AK55"/>
  <c r="AL55"/>
  <c r="AC56"/>
  <c r="AD56"/>
  <c r="AE56"/>
  <c r="AF56"/>
  <c r="AG56"/>
  <c r="AH56"/>
  <c r="AI56"/>
  <c r="AJ56"/>
  <c r="AK56"/>
  <c r="AL56"/>
  <c r="AC57"/>
  <c r="AD57"/>
  <c r="AE57"/>
  <c r="AF57"/>
  <c r="AG57"/>
  <c r="AH57"/>
  <c r="AI57"/>
  <c r="AJ57"/>
  <c r="AK57"/>
  <c r="AL57"/>
  <c r="AC58"/>
  <c r="AD58"/>
  <c r="AE58"/>
  <c r="AF58"/>
  <c r="AG58"/>
  <c r="AH58"/>
  <c r="AI58"/>
  <c r="AJ58"/>
  <c r="AK58"/>
  <c r="AL58"/>
  <c r="AC59"/>
  <c r="AD59"/>
  <c r="AE59"/>
  <c r="AF59"/>
  <c r="AG59"/>
  <c r="AH59"/>
  <c r="AI59"/>
  <c r="AJ59"/>
  <c r="AK59"/>
  <c r="AL59"/>
  <c r="AC60"/>
  <c r="AD60"/>
  <c r="AE60"/>
  <c r="AF60"/>
  <c r="AG60"/>
  <c r="AH60"/>
  <c r="AI60"/>
  <c r="AJ60"/>
  <c r="AK60"/>
  <c r="AL60"/>
  <c r="AC61"/>
  <c r="AD61"/>
  <c r="AE61"/>
  <c r="AF61"/>
  <c r="AG61"/>
  <c r="AH61"/>
  <c r="AI61"/>
  <c r="AJ61"/>
  <c r="AK61"/>
  <c r="AL61"/>
  <c r="AC62"/>
  <c r="AD62"/>
  <c r="AE62"/>
  <c r="AF62"/>
  <c r="AG62"/>
  <c r="AH62"/>
  <c r="AI62"/>
  <c r="AJ62"/>
  <c r="AK62"/>
  <c r="AL62"/>
  <c r="AC63"/>
  <c r="AD63"/>
  <c r="AE63"/>
  <c r="AF63"/>
  <c r="AG63"/>
  <c r="AH63"/>
  <c r="AI63"/>
  <c r="AJ63"/>
  <c r="AK63"/>
  <c r="AL63"/>
  <c r="AC64"/>
  <c r="AD64"/>
  <c r="AE64"/>
  <c r="AF64"/>
  <c r="AG64"/>
  <c r="AH64"/>
  <c r="AI64"/>
  <c r="AJ64"/>
  <c r="AK64"/>
  <c r="AL64"/>
  <c r="AC65"/>
  <c r="AD65"/>
  <c r="AE65"/>
  <c r="AF65"/>
  <c r="AG65"/>
  <c r="AH65"/>
  <c r="AI65"/>
  <c r="AJ65"/>
  <c r="AK65"/>
  <c r="AL65"/>
  <c r="AC66"/>
  <c r="AD66"/>
  <c r="AE66"/>
  <c r="AF66"/>
  <c r="AG66"/>
  <c r="AH66"/>
  <c r="AI66"/>
  <c r="AJ66"/>
  <c r="AK66"/>
  <c r="AL66"/>
  <c r="AC67"/>
  <c r="AD67"/>
  <c r="AE67"/>
  <c r="AF67"/>
  <c r="AG67"/>
  <c r="AH67"/>
  <c r="AI67"/>
  <c r="AJ67"/>
  <c r="AK67"/>
  <c r="AL67"/>
  <c r="AC68"/>
  <c r="AD68"/>
  <c r="AE68"/>
  <c r="AF68"/>
  <c r="AG68"/>
  <c r="AH68"/>
  <c r="AI68"/>
  <c r="AJ68"/>
  <c r="AK68"/>
  <c r="AL68"/>
  <c r="AC69"/>
  <c r="AD69"/>
  <c r="AE69"/>
  <c r="AF69"/>
  <c r="AG69"/>
  <c r="AH69"/>
  <c r="AI69"/>
  <c r="AJ69"/>
  <c r="AK69"/>
  <c r="AL69"/>
  <c r="AC70"/>
  <c r="AD70"/>
  <c r="AE70"/>
  <c r="AF70"/>
  <c r="AG70"/>
  <c r="AH70"/>
  <c r="AI70"/>
  <c r="AJ70"/>
  <c r="AK70"/>
  <c r="AL70"/>
  <c r="AC71"/>
  <c r="AD71"/>
  <c r="AE71"/>
  <c r="AF71"/>
  <c r="AG71"/>
  <c r="AH71"/>
  <c r="AI71"/>
  <c r="AJ71"/>
  <c r="AK71"/>
  <c r="AL71"/>
  <c r="AC72"/>
  <c r="AD72"/>
  <c r="AE72"/>
  <c r="AF72"/>
  <c r="AG72"/>
  <c r="AH72"/>
  <c r="AI72"/>
  <c r="AJ72"/>
  <c r="AK72"/>
  <c r="AL72"/>
  <c r="AC73"/>
  <c r="AD73"/>
  <c r="AE73"/>
  <c r="AF73"/>
  <c r="AG73"/>
  <c r="AH73"/>
  <c r="AI73"/>
  <c r="AJ73"/>
  <c r="AK73"/>
  <c r="AL73"/>
  <c r="AC74"/>
  <c r="AD74"/>
  <c r="AE74"/>
  <c r="AF74"/>
  <c r="AG74"/>
  <c r="AH74"/>
  <c r="AI74"/>
  <c r="AJ74"/>
  <c r="AK74"/>
  <c r="AL74"/>
  <c r="AC75"/>
  <c r="AD75"/>
  <c r="AE75"/>
  <c r="AF75"/>
  <c r="AG75"/>
  <c r="AH75"/>
  <c r="AI75"/>
  <c r="AJ75"/>
  <c r="AK75"/>
  <c r="AL75"/>
  <c r="AC76"/>
  <c r="AD76"/>
  <c r="AE76"/>
  <c r="AF76"/>
  <c r="AG76"/>
  <c r="AH76"/>
  <c r="AI76"/>
  <c r="AJ76"/>
  <c r="AK76"/>
  <c r="AL76"/>
  <c r="AC77"/>
  <c r="AD77"/>
  <c r="AE77"/>
  <c r="AF77"/>
  <c r="AG77"/>
  <c r="AH77"/>
  <c r="AI77"/>
  <c r="AJ77"/>
  <c r="AK77"/>
  <c r="AL77"/>
  <c r="AC78"/>
  <c r="AD78"/>
  <c r="AE78"/>
  <c r="AF78"/>
  <c r="AG78"/>
  <c r="AH78"/>
  <c r="AI78"/>
  <c r="AJ78"/>
  <c r="AK78"/>
  <c r="AL78"/>
  <c r="AC79"/>
  <c r="AD79"/>
  <c r="AE79"/>
  <c r="AF79"/>
  <c r="AG79"/>
  <c r="AH79"/>
  <c r="AI79"/>
  <c r="AJ79"/>
  <c r="AK79"/>
  <c r="AL79"/>
  <c r="AC80"/>
  <c r="AD80"/>
  <c r="AE80"/>
  <c r="AF80"/>
  <c r="AG80"/>
  <c r="AH80"/>
  <c r="AI80"/>
  <c r="AJ80"/>
  <c r="AK80"/>
  <c r="AL80"/>
  <c r="AC81"/>
  <c r="AD81"/>
  <c r="AE81"/>
  <c r="AF81"/>
  <c r="AG81"/>
  <c r="AH81"/>
  <c r="AI81"/>
  <c r="AJ81"/>
  <c r="AK81"/>
  <c r="AL81"/>
  <c r="AC82"/>
  <c r="AD82"/>
  <c r="AE82"/>
  <c r="AF82"/>
  <c r="AG82"/>
  <c r="AH82"/>
  <c r="AI82"/>
  <c r="AJ82"/>
  <c r="AK82"/>
  <c r="AL82"/>
  <c r="AC83"/>
  <c r="AD83"/>
  <c r="AE83"/>
  <c r="AF83"/>
  <c r="AG83"/>
  <c r="AH83"/>
  <c r="AI83"/>
  <c r="AJ83"/>
  <c r="AK83"/>
  <c r="AL83"/>
  <c r="AC84"/>
  <c r="AD84"/>
  <c r="AE84"/>
  <c r="AF84"/>
  <c r="AG84"/>
  <c r="AH84"/>
  <c r="AI84"/>
  <c r="AJ84"/>
  <c r="AK84"/>
  <c r="AL84"/>
  <c r="AC85"/>
  <c r="AD85"/>
  <c r="AE85"/>
  <c r="AF85"/>
  <c r="AG85"/>
  <c r="AH85"/>
  <c r="AI85"/>
  <c r="AJ85"/>
  <c r="AK85"/>
  <c r="AL85"/>
  <c r="AC86"/>
  <c r="AD86"/>
  <c r="AE86"/>
  <c r="AF86"/>
  <c r="AG86"/>
  <c r="AH86"/>
  <c r="AI86"/>
  <c r="AJ86"/>
  <c r="AK86"/>
  <c r="AL86"/>
  <c r="AC87"/>
  <c r="AD87"/>
  <c r="AE87"/>
  <c r="AF87"/>
  <c r="AG87"/>
  <c r="AH87"/>
  <c r="AI87"/>
  <c r="AJ87"/>
  <c r="AK87"/>
  <c r="AL87"/>
  <c r="AC88"/>
  <c r="AD88"/>
  <c r="AE88"/>
  <c r="AF88"/>
  <c r="AG88"/>
  <c r="AH88"/>
  <c r="AI88"/>
  <c r="AJ88"/>
  <c r="AK88"/>
  <c r="AL88"/>
  <c r="AC89"/>
  <c r="AD89"/>
  <c r="AE89"/>
  <c r="AF89"/>
  <c r="AG89"/>
  <c r="AH89"/>
  <c r="AI89"/>
  <c r="AJ89"/>
  <c r="AK89"/>
  <c r="AL89"/>
  <c r="AC90"/>
  <c r="AD90"/>
  <c r="AE90"/>
  <c r="AF90"/>
  <c r="AG90"/>
  <c r="AH90"/>
  <c r="AI90"/>
  <c r="AJ90"/>
  <c r="AK90"/>
  <c r="AL90"/>
  <c r="AC91"/>
  <c r="AD91"/>
  <c r="AE91"/>
  <c r="AF91"/>
  <c r="AG91"/>
  <c r="AH91"/>
  <c r="AI91"/>
  <c r="AJ91"/>
  <c r="AK91"/>
  <c r="AL91"/>
  <c r="AC92"/>
  <c r="AD92"/>
  <c r="AE92"/>
  <c r="AF92"/>
  <c r="AG92"/>
  <c r="AH92"/>
  <c r="AI92"/>
  <c r="AJ92"/>
  <c r="AK92"/>
  <c r="AL92"/>
  <c r="AC93"/>
  <c r="AD93"/>
  <c r="AE93"/>
  <c r="AF93"/>
  <c r="AG93"/>
  <c r="AH93"/>
  <c r="AI93"/>
  <c r="AJ93"/>
  <c r="AK93"/>
  <c r="AL93"/>
  <c r="AC94"/>
  <c r="AD94"/>
  <c r="AE94"/>
  <c r="AF94"/>
  <c r="AG94"/>
  <c r="AH94"/>
  <c r="AI94"/>
  <c r="AJ94"/>
  <c r="AK94"/>
  <c r="AL94"/>
  <c r="AC95"/>
  <c r="AD95"/>
  <c r="AE95"/>
  <c r="AF95"/>
  <c r="AG95"/>
  <c r="AH95"/>
  <c r="AI95"/>
  <c r="AJ95"/>
  <c r="AK95"/>
  <c r="AL95"/>
  <c r="AC96"/>
  <c r="AD96"/>
  <c r="AE96"/>
  <c r="AF96"/>
  <c r="AG96"/>
  <c r="AH96"/>
  <c r="AI96"/>
  <c r="AJ96"/>
  <c r="AK96"/>
  <c r="AL96"/>
  <c r="AC97"/>
  <c r="AD97"/>
  <c r="AE97"/>
  <c r="AF97"/>
  <c r="AG97"/>
  <c r="AH97"/>
  <c r="AI97"/>
  <c r="AJ97"/>
  <c r="AK97"/>
  <c r="AL97"/>
  <c r="AC98"/>
  <c r="AD98"/>
  <c r="AE98"/>
  <c r="AF98"/>
  <c r="AG98"/>
  <c r="AH98"/>
  <c r="AI98"/>
  <c r="AJ98"/>
  <c r="AK98"/>
  <c r="AL98"/>
  <c r="AC99"/>
  <c r="AD99"/>
  <c r="AE99"/>
  <c r="AF99"/>
  <c r="AG99"/>
  <c r="AH99"/>
  <c r="AI99"/>
  <c r="AJ99"/>
  <c r="AK99"/>
  <c r="AL99"/>
  <c r="AC100"/>
  <c r="AD100"/>
  <c r="AE100"/>
  <c r="AF100"/>
  <c r="AG100"/>
  <c r="AH100"/>
  <c r="AI100"/>
  <c r="AJ100"/>
  <c r="AK100"/>
  <c r="AL100"/>
  <c r="AC101"/>
  <c r="AD101"/>
  <c r="AE101"/>
  <c r="AF101"/>
  <c r="AG101"/>
  <c r="AH101"/>
  <c r="AI101"/>
  <c r="AJ101"/>
  <c r="AK101"/>
  <c r="AL101"/>
  <c r="AC102"/>
  <c r="AD102"/>
  <c r="AE102"/>
  <c r="AF102"/>
  <c r="AG102"/>
  <c r="AH102"/>
  <c r="AI102"/>
  <c r="AJ102"/>
  <c r="AK102"/>
  <c r="AL102"/>
  <c r="AC103"/>
  <c r="AD103"/>
  <c r="AE103"/>
  <c r="AF103"/>
  <c r="AG103"/>
  <c r="AH103"/>
  <c r="AI103"/>
  <c r="AJ103"/>
  <c r="AK103"/>
  <c r="AL103"/>
  <c r="AC104"/>
  <c r="AD104"/>
  <c r="AE104"/>
  <c r="AF104"/>
  <c r="AG104"/>
  <c r="AH104"/>
  <c r="AI104"/>
  <c r="AJ104"/>
  <c r="AK104"/>
  <c r="AL104"/>
  <c r="AC105"/>
  <c r="AD105"/>
  <c r="AE105"/>
  <c r="AF105"/>
  <c r="AG105"/>
  <c r="AH105"/>
  <c r="AI105"/>
  <c r="AJ105"/>
  <c r="AK105"/>
  <c r="AL105"/>
  <c r="AC106"/>
  <c r="AD106"/>
  <c r="AE106"/>
  <c r="AF106"/>
  <c r="AG106"/>
  <c r="AH106"/>
  <c r="AI106"/>
  <c r="AJ106"/>
  <c r="AK106"/>
  <c r="AL106"/>
  <c r="AC107"/>
  <c r="AD107"/>
  <c r="AE107"/>
  <c r="AF107"/>
  <c r="AG107"/>
  <c r="AH107"/>
  <c r="AI107"/>
  <c r="AJ107"/>
  <c r="AK107"/>
  <c r="AL107"/>
  <c r="AC108"/>
  <c r="AD108"/>
  <c r="AE108"/>
  <c r="AF108"/>
  <c r="AG108"/>
  <c r="AH108"/>
  <c r="AI108"/>
  <c r="AJ108"/>
  <c r="AK108"/>
  <c r="AL108"/>
  <c r="AC109"/>
  <c r="AD109"/>
  <c r="AE109"/>
  <c r="AF109"/>
  <c r="AG109"/>
  <c r="AH109"/>
  <c r="AI109"/>
  <c r="AJ109"/>
  <c r="AK109"/>
  <c r="AL109"/>
  <c r="AC110"/>
  <c r="AD110"/>
  <c r="AE110"/>
  <c r="AF110"/>
  <c r="AG110"/>
  <c r="AH110"/>
  <c r="AI110"/>
  <c r="AJ110"/>
  <c r="AK110"/>
  <c r="AL110"/>
  <c r="AC111"/>
  <c r="AD111"/>
  <c r="AE111"/>
  <c r="AF111"/>
  <c r="AG111"/>
  <c r="AH111"/>
  <c r="AI111"/>
  <c r="AJ111"/>
  <c r="AK111"/>
  <c r="AL111"/>
  <c r="AC112"/>
  <c r="AD112"/>
  <c r="AE112"/>
  <c r="AF112"/>
  <c r="AG112"/>
  <c r="AH112"/>
  <c r="AI112"/>
  <c r="AJ112"/>
  <c r="AK112"/>
  <c r="AL112"/>
  <c r="AC113"/>
  <c r="AD113"/>
  <c r="AE113"/>
  <c r="AF113"/>
  <c r="AG113"/>
  <c r="AH113"/>
  <c r="AI113"/>
  <c r="AJ113"/>
  <c r="AK113"/>
  <c r="AL113"/>
  <c r="AC114"/>
  <c r="AD114"/>
  <c r="AE114"/>
  <c r="AF114"/>
  <c r="AG114"/>
  <c r="AH114"/>
  <c r="AI114"/>
  <c r="AJ114"/>
  <c r="AK114"/>
  <c r="AL114"/>
  <c r="AC115"/>
  <c r="AD115"/>
  <c r="AE115"/>
  <c r="AF115"/>
  <c r="AG115"/>
  <c r="AH115"/>
  <c r="AI115"/>
  <c r="AJ115"/>
  <c r="AK115"/>
  <c r="AL115"/>
  <c r="AC116"/>
  <c r="AD116"/>
  <c r="AE116"/>
  <c r="AF116"/>
  <c r="AG116"/>
  <c r="AH116"/>
  <c r="AI116"/>
  <c r="AJ116"/>
  <c r="AK116"/>
  <c r="AL116"/>
  <c r="AC117"/>
  <c r="AD117"/>
  <c r="AE117"/>
  <c r="AF117"/>
  <c r="AG117"/>
  <c r="AH117"/>
  <c r="AI117"/>
  <c r="AJ117"/>
  <c r="AK117"/>
  <c r="AL117"/>
  <c r="AC118"/>
  <c r="AD118"/>
  <c r="AE118"/>
  <c r="AF118"/>
  <c r="AG118"/>
  <c r="AH118"/>
  <c r="AI118"/>
  <c r="AJ118"/>
  <c r="AK118"/>
  <c r="AL118"/>
  <c r="AC119"/>
  <c r="AD119"/>
  <c r="AE119"/>
  <c r="AF119"/>
  <c r="AG119"/>
  <c r="AH119"/>
  <c r="AI119"/>
  <c r="AJ119"/>
  <c r="AK119"/>
  <c r="AL119"/>
  <c r="AC120"/>
  <c r="AD120"/>
  <c r="AE120"/>
  <c r="AF120"/>
  <c r="AG120"/>
  <c r="AH120"/>
  <c r="AI120"/>
  <c r="AJ120"/>
  <c r="AK120"/>
  <c r="AL120"/>
  <c r="AC121"/>
  <c r="AD121"/>
  <c r="AE121"/>
  <c r="AF121"/>
  <c r="AG121"/>
  <c r="AH121"/>
  <c r="AI121"/>
  <c r="AJ121"/>
  <c r="AK121"/>
  <c r="AL121"/>
  <c r="AC122"/>
  <c r="AD122"/>
  <c r="AE122"/>
  <c r="AF122"/>
  <c r="AG122"/>
  <c r="AH122"/>
  <c r="AI122"/>
  <c r="AJ122"/>
  <c r="AK122"/>
  <c r="AL122"/>
  <c r="AC123"/>
  <c r="AD123"/>
  <c r="AE123"/>
  <c r="AF123"/>
  <c r="AG123"/>
  <c r="AH123"/>
  <c r="AI123"/>
  <c r="AJ123"/>
  <c r="AK123"/>
  <c r="AL123"/>
  <c r="AC124"/>
  <c r="AD124"/>
  <c r="AE124"/>
  <c r="AF124"/>
  <c r="AG124"/>
  <c r="AH124"/>
  <c r="AI124"/>
  <c r="AJ124"/>
  <c r="AK124"/>
  <c r="AL124"/>
  <c r="AC125"/>
  <c r="AD125"/>
  <c r="AE125"/>
  <c r="AF125"/>
  <c r="AG125"/>
  <c r="AH125"/>
  <c r="AI125"/>
  <c r="AJ125"/>
  <c r="AK125"/>
  <c r="AL125"/>
  <c r="AC126"/>
  <c r="AD126"/>
  <c r="AE126"/>
  <c r="AF126"/>
  <c r="AG126"/>
  <c r="AH126"/>
  <c r="AI126"/>
  <c r="AJ126"/>
  <c r="AK126"/>
  <c r="AL126"/>
  <c r="AC127"/>
  <c r="AD127"/>
  <c r="AE127"/>
  <c r="AF127"/>
  <c r="AG127"/>
  <c r="AH127"/>
  <c r="AI127"/>
  <c r="AJ127"/>
  <c r="AK127"/>
  <c r="AL127"/>
  <c r="AC128"/>
  <c r="AD128"/>
  <c r="AE128"/>
  <c r="AF128"/>
  <c r="AG128"/>
  <c r="AH128"/>
  <c r="AI128"/>
  <c r="AJ128"/>
  <c r="AK128"/>
  <c r="AL128"/>
  <c r="AC129"/>
  <c r="AD129"/>
  <c r="AE129"/>
  <c r="AF129"/>
  <c r="AG129"/>
  <c r="AH129"/>
  <c r="AI129"/>
  <c r="AJ129"/>
  <c r="AK129"/>
  <c r="AL129"/>
  <c r="AC130"/>
  <c r="AD130"/>
  <c r="AE130"/>
  <c r="AF130"/>
  <c r="AG130"/>
  <c r="AH130"/>
  <c r="AI130"/>
  <c r="AJ130"/>
  <c r="AK130"/>
  <c r="AL130"/>
  <c r="AC131"/>
  <c r="AD131"/>
  <c r="AE131"/>
  <c r="AF131"/>
  <c r="AG131"/>
  <c r="AH131"/>
  <c r="AI131"/>
  <c r="AJ131"/>
  <c r="AK131"/>
  <c r="AL131"/>
  <c r="AC132"/>
  <c r="AD132"/>
  <c r="AE132"/>
  <c r="AF132"/>
  <c r="AG132"/>
  <c r="AH132"/>
  <c r="AI132"/>
  <c r="AJ132"/>
  <c r="AK132"/>
  <c r="AL132"/>
  <c r="AC133"/>
  <c r="AD133"/>
  <c r="AE133"/>
  <c r="AF133"/>
  <c r="AG133"/>
  <c r="AH133"/>
  <c r="AI133"/>
  <c r="AJ133"/>
  <c r="AK133"/>
  <c r="AL133"/>
  <c r="AC134"/>
  <c r="AD134"/>
  <c r="AE134"/>
  <c r="AF134"/>
  <c r="AG134"/>
  <c r="AH134"/>
  <c r="AI134"/>
  <c r="AJ134"/>
  <c r="AK134"/>
  <c r="AL134"/>
  <c r="AC135"/>
  <c r="AD135"/>
  <c r="AE135"/>
  <c r="AF135"/>
  <c r="AG135"/>
  <c r="AH135"/>
  <c r="AI135"/>
  <c r="AJ135"/>
  <c r="AK135"/>
  <c r="AL135"/>
  <c r="AC136"/>
  <c r="AD136"/>
  <c r="AE136"/>
  <c r="AF136"/>
  <c r="AG136"/>
  <c r="AH136"/>
  <c r="AI136"/>
  <c r="AJ136"/>
  <c r="AK136"/>
  <c r="AL136"/>
  <c r="AC137"/>
  <c r="AD137"/>
  <c r="AE137"/>
  <c r="AF137"/>
  <c r="AG137"/>
  <c r="AH137"/>
  <c r="AI137"/>
  <c r="AJ137"/>
  <c r="AK137"/>
  <c r="AL137"/>
  <c r="AC138"/>
  <c r="AD138"/>
  <c r="AE138"/>
  <c r="AF138"/>
  <c r="AG138"/>
  <c r="AH138"/>
  <c r="AI138"/>
  <c r="AJ138"/>
  <c r="AK138"/>
  <c r="AL138"/>
  <c r="AC139"/>
  <c r="AD139"/>
  <c r="AE139"/>
  <c r="AF139"/>
  <c r="AG139"/>
  <c r="AH139"/>
  <c r="AI139"/>
  <c r="AJ139"/>
  <c r="AK139"/>
  <c r="AL139"/>
  <c r="AC140"/>
  <c r="AD140"/>
  <c r="AE140"/>
  <c r="AF140"/>
  <c r="AG140"/>
  <c r="AH140"/>
  <c r="AI140"/>
  <c r="AJ140"/>
  <c r="AK140"/>
  <c r="AL140"/>
  <c r="AC141"/>
  <c r="AD141"/>
  <c r="AE141"/>
  <c r="AF141"/>
  <c r="AG141"/>
  <c r="AH141"/>
  <c r="AI141"/>
  <c r="AJ141"/>
  <c r="AK141"/>
  <c r="AL141"/>
  <c r="AC142"/>
  <c r="AD142"/>
  <c r="AE142"/>
  <c r="AF142"/>
  <c r="AG142"/>
  <c r="AH142"/>
  <c r="AI142"/>
  <c r="AJ142"/>
  <c r="AK142"/>
  <c r="AL142"/>
  <c r="AC143"/>
  <c r="AD143"/>
  <c r="AE143"/>
  <c r="AF143"/>
  <c r="AG143"/>
  <c r="AH143"/>
  <c r="AI143"/>
  <c r="AJ143"/>
  <c r="AK143"/>
  <c r="AL143"/>
  <c r="AC144"/>
  <c r="AD144"/>
  <c r="AE144"/>
  <c r="AF144"/>
  <c r="AG144"/>
  <c r="AH144"/>
  <c r="AI144"/>
  <c r="AJ144"/>
  <c r="AK144"/>
  <c r="AL144"/>
  <c r="AC145"/>
  <c r="AD145"/>
  <c r="AE145"/>
  <c r="AF145"/>
  <c r="AG145"/>
  <c r="AH145"/>
  <c r="AI145"/>
  <c r="AJ145"/>
  <c r="AK145"/>
  <c r="AL145"/>
  <c r="AC146"/>
  <c r="AD146"/>
  <c r="AE146"/>
  <c r="AF146"/>
  <c r="AG146"/>
  <c r="AH146"/>
  <c r="AI146"/>
  <c r="AJ146"/>
  <c r="AK146"/>
  <c r="AL146"/>
  <c r="AC147"/>
  <c r="AD147"/>
  <c r="AE147"/>
  <c r="AF147"/>
  <c r="AG147"/>
  <c r="AH147"/>
  <c r="AI147"/>
  <c r="AJ147"/>
  <c r="AK147"/>
  <c r="AL147"/>
  <c r="AC148"/>
  <c r="AD148"/>
  <c r="AE148"/>
  <c r="AF148"/>
  <c r="AG148"/>
  <c r="AH148"/>
  <c r="AI148"/>
  <c r="AJ148"/>
  <c r="AK148"/>
  <c r="AL148"/>
  <c r="AC149"/>
  <c r="AD149"/>
  <c r="AE149"/>
  <c r="AF149"/>
  <c r="AG149"/>
  <c r="AH149"/>
  <c r="AI149"/>
  <c r="AJ149"/>
  <c r="AK149"/>
  <c r="AL149"/>
  <c r="AC150"/>
  <c r="AD150"/>
  <c r="AE150"/>
  <c r="AF150"/>
  <c r="AG150"/>
  <c r="AH150"/>
  <c r="AI150"/>
  <c r="AJ150"/>
  <c r="AK150"/>
  <c r="AL150"/>
  <c r="AC151"/>
  <c r="AD151"/>
  <c r="AE151"/>
  <c r="AF151"/>
  <c r="AG151"/>
  <c r="AH151"/>
  <c r="AI151"/>
  <c r="AJ151"/>
  <c r="AK151"/>
  <c r="AL151"/>
  <c r="AC152"/>
  <c r="AD152"/>
  <c r="AE152"/>
  <c r="AF152"/>
  <c r="AG152"/>
  <c r="AH152"/>
  <c r="AI152"/>
  <c r="AJ152"/>
  <c r="AK152"/>
  <c r="AL152"/>
  <c r="AC153"/>
  <c r="AD153"/>
  <c r="AE153"/>
  <c r="AF153"/>
  <c r="AG153"/>
  <c r="AH153"/>
  <c r="AI153"/>
  <c r="AJ153"/>
  <c r="AK153"/>
  <c r="AL153"/>
  <c r="AC154"/>
  <c r="AD154"/>
  <c r="AE154"/>
  <c r="AF154"/>
  <c r="AG154"/>
  <c r="AH154"/>
  <c r="AI154"/>
  <c r="AJ154"/>
  <c r="AK154"/>
  <c r="AL154"/>
  <c r="AC155"/>
  <c r="AD155"/>
  <c r="AE155"/>
  <c r="AF155"/>
  <c r="AG155"/>
  <c r="AH155"/>
  <c r="AI155"/>
  <c r="AJ155"/>
  <c r="AK155"/>
  <c r="AL155"/>
  <c r="AC156"/>
  <c r="AD156"/>
  <c r="AE156"/>
  <c r="AF156"/>
  <c r="AG156"/>
  <c r="AH156"/>
  <c r="AI156"/>
  <c r="AJ156"/>
  <c r="AK156"/>
  <c r="AL156"/>
  <c r="AC157"/>
  <c r="AD157"/>
  <c r="AE157"/>
  <c r="AF157"/>
  <c r="AG157"/>
  <c r="AH157"/>
  <c r="AI157"/>
  <c r="AJ157"/>
  <c r="AK157"/>
  <c r="AL157"/>
  <c r="AC158"/>
  <c r="AD158"/>
  <c r="AE158"/>
  <c r="AF158"/>
  <c r="AG158"/>
  <c r="AH158"/>
  <c r="AI158"/>
  <c r="AJ158"/>
  <c r="AK158"/>
  <c r="AL158"/>
  <c r="AC159"/>
  <c r="AD159"/>
  <c r="AE159"/>
  <c r="AF159"/>
  <c r="AG159"/>
  <c r="AH159"/>
  <c r="AI159"/>
  <c r="AJ159"/>
  <c r="AK159"/>
  <c r="AL159"/>
  <c r="AC160"/>
  <c r="AD160"/>
  <c r="AE160"/>
  <c r="AF160"/>
  <c r="AG160"/>
  <c r="AH160"/>
  <c r="AI160"/>
  <c r="AJ160"/>
  <c r="AK160"/>
  <c r="AL160"/>
  <c r="AC161"/>
  <c r="AD161"/>
  <c r="AE161"/>
  <c r="AF161"/>
  <c r="AG161"/>
  <c r="AH161"/>
  <c r="AI161"/>
  <c r="AJ161"/>
  <c r="AK161"/>
  <c r="AL161"/>
  <c r="AC162"/>
  <c r="AD162"/>
  <c r="AE162"/>
  <c r="AF162"/>
  <c r="AG162"/>
  <c r="AH162"/>
  <c r="AI162"/>
  <c r="AJ162"/>
  <c r="AK162"/>
  <c r="AL162"/>
  <c r="AC163"/>
  <c r="AD163"/>
  <c r="AE163"/>
  <c r="AF163"/>
  <c r="AG163"/>
  <c r="AH163"/>
  <c r="AI163"/>
  <c r="AJ163"/>
  <c r="AK163"/>
  <c r="AL163"/>
  <c r="AC164"/>
  <c r="AD164"/>
  <c r="AE164"/>
  <c r="AF164"/>
  <c r="AG164"/>
  <c r="AH164"/>
  <c r="AI164"/>
  <c r="AJ164"/>
  <c r="AK164"/>
  <c r="AL164"/>
  <c r="AC165"/>
  <c r="AD165"/>
  <c r="AE165"/>
  <c r="AF165"/>
  <c r="AG165"/>
  <c r="AH165"/>
  <c r="AI165"/>
  <c r="AJ165"/>
  <c r="AK165"/>
  <c r="AL165"/>
  <c r="AC166"/>
  <c r="AD166"/>
  <c r="AE166"/>
  <c r="AF166"/>
  <c r="AG166"/>
  <c r="AH166"/>
  <c r="AI166"/>
  <c r="AJ166"/>
  <c r="AK166"/>
  <c r="AL166"/>
  <c r="AC167"/>
  <c r="AD167"/>
  <c r="AE167"/>
  <c r="AF167"/>
  <c r="AG167"/>
  <c r="AH167"/>
  <c r="AI167"/>
  <c r="AJ167"/>
  <c r="AK167"/>
  <c r="AL167"/>
  <c r="AC168"/>
  <c r="AD168"/>
  <c r="AE168"/>
  <c r="AF168"/>
  <c r="AG168"/>
  <c r="AH168"/>
  <c r="AI168"/>
  <c r="AJ168"/>
  <c r="AK168"/>
  <c r="AL168"/>
  <c r="AC169"/>
  <c r="AD169"/>
  <c r="AE169"/>
  <c r="AF169"/>
  <c r="AG169"/>
  <c r="AH169"/>
  <c r="AI169"/>
  <c r="AJ169"/>
  <c r="AK169"/>
  <c r="AL169"/>
  <c r="AC170"/>
  <c r="AD170"/>
  <c r="AE170"/>
  <c r="AF170"/>
  <c r="AG170"/>
  <c r="AH170"/>
  <c r="AI170"/>
  <c r="AJ170"/>
  <c r="AK170"/>
  <c r="AL170"/>
  <c r="AC171"/>
  <c r="AD171"/>
  <c r="AE171"/>
  <c r="AF171"/>
  <c r="AG171"/>
  <c r="AH171"/>
  <c r="AI171"/>
  <c r="AJ171"/>
  <c r="AK171"/>
  <c r="AL171"/>
  <c r="AC172"/>
  <c r="AD172"/>
  <c r="AE172"/>
  <c r="AF172"/>
  <c r="AG172"/>
  <c r="AH172"/>
  <c r="AI172"/>
  <c r="AJ172"/>
  <c r="AK172"/>
  <c r="AL172"/>
  <c r="AC173"/>
  <c r="AD173"/>
  <c r="AE173"/>
  <c r="AF173"/>
  <c r="AG173"/>
  <c r="AH173"/>
  <c r="AI173"/>
  <c r="AJ173"/>
  <c r="AK173"/>
  <c r="AL173"/>
  <c r="AC174"/>
  <c r="AD174"/>
  <c r="AE174"/>
  <c r="AF174"/>
  <c r="AG174"/>
  <c r="AH174"/>
  <c r="AI174"/>
  <c r="AJ174"/>
  <c r="AK174"/>
  <c r="AL174"/>
  <c r="AC175"/>
  <c r="AD175"/>
  <c r="AE175"/>
  <c r="AF175"/>
  <c r="AG175"/>
  <c r="AH175"/>
  <c r="AI175"/>
  <c r="AJ175"/>
  <c r="AK175"/>
  <c r="AL175"/>
  <c r="AC176"/>
  <c r="AD176"/>
  <c r="AE176"/>
  <c r="AF176"/>
  <c r="AG176"/>
  <c r="AH176"/>
  <c r="AI176"/>
  <c r="AJ176"/>
  <c r="AK176"/>
  <c r="AL176"/>
  <c r="AC177"/>
  <c r="AD177"/>
  <c r="AE177"/>
  <c r="AF177"/>
  <c r="AG177"/>
  <c r="AH177"/>
  <c r="AI177"/>
  <c r="AJ177"/>
  <c r="AK177"/>
  <c r="AL177"/>
  <c r="AC178"/>
  <c r="AD178"/>
  <c r="AE178"/>
  <c r="AF178"/>
  <c r="AG178"/>
  <c r="AH178"/>
  <c r="AI178"/>
  <c r="AJ178"/>
  <c r="AK178"/>
  <c r="AL178"/>
  <c r="AC179"/>
  <c r="AD179"/>
  <c r="AE179"/>
  <c r="AF179"/>
  <c r="AG179"/>
  <c r="AH179"/>
  <c r="AI179"/>
  <c r="AJ179"/>
  <c r="AK179"/>
  <c r="AL179"/>
  <c r="AC180"/>
  <c r="AD180"/>
  <c r="AE180"/>
  <c r="AF180"/>
  <c r="AG180"/>
  <c r="AH180"/>
  <c r="AI180"/>
  <c r="AJ180"/>
  <c r="AK180"/>
  <c r="AL180"/>
  <c r="AC181"/>
  <c r="AD181"/>
  <c r="AE181"/>
  <c r="AF181"/>
  <c r="AG181"/>
  <c r="AH181"/>
  <c r="AI181"/>
  <c r="AJ181"/>
  <c r="AK181"/>
  <c r="AL181"/>
  <c r="AC182"/>
  <c r="AD182"/>
  <c r="AE182"/>
  <c r="AF182"/>
  <c r="AG182"/>
  <c r="AH182"/>
  <c r="AI182"/>
  <c r="AJ182"/>
  <c r="AK182"/>
  <c r="AL182"/>
  <c r="AC183"/>
  <c r="AD183"/>
  <c r="AE183"/>
  <c r="AF183"/>
  <c r="AG183"/>
  <c r="AH183"/>
  <c r="AI183"/>
  <c r="AJ183"/>
  <c r="AK183"/>
  <c r="AL183"/>
  <c r="AC184"/>
  <c r="AD184"/>
  <c r="AE184"/>
  <c r="AF184"/>
  <c r="AG184"/>
  <c r="AH184"/>
  <c r="AI184"/>
  <c r="AJ184"/>
  <c r="AK184"/>
  <c r="AL184"/>
  <c r="AC185"/>
  <c r="AD185"/>
  <c r="AE185"/>
  <c r="AF185"/>
  <c r="AG185"/>
  <c r="AH185"/>
  <c r="AI185"/>
  <c r="AJ185"/>
  <c r="AK185"/>
  <c r="AL185"/>
  <c r="AC186"/>
  <c r="AD186"/>
  <c r="AE186"/>
  <c r="AF186"/>
  <c r="AG186"/>
  <c r="AH186"/>
  <c r="AI186"/>
  <c r="AJ186"/>
  <c r="AK186"/>
  <c r="AL186"/>
  <c r="AC187"/>
  <c r="AD187"/>
  <c r="AE187"/>
  <c r="AF187"/>
  <c r="AG187"/>
  <c r="AH187"/>
  <c r="AI187"/>
  <c r="AJ187"/>
  <c r="AK187"/>
  <c r="AL187"/>
  <c r="AC188"/>
  <c r="AD188"/>
  <c r="AE188"/>
  <c r="AF188"/>
  <c r="AG188"/>
  <c r="AH188"/>
  <c r="AI188"/>
  <c r="AJ188"/>
  <c r="AK188"/>
  <c r="AL188"/>
  <c r="AC189"/>
  <c r="AD189"/>
  <c r="AE189"/>
  <c r="AF189"/>
  <c r="AG189"/>
  <c r="AH189"/>
  <c r="AI189"/>
  <c r="AJ189"/>
  <c r="AK189"/>
  <c r="AL189"/>
  <c r="AC190"/>
  <c r="AD190"/>
  <c r="AE190"/>
  <c r="AF190"/>
  <c r="AG190"/>
  <c r="AH190"/>
  <c r="AI190"/>
  <c r="AJ190"/>
  <c r="AK190"/>
  <c r="AL190"/>
  <c r="AC191"/>
  <c r="AD191"/>
  <c r="AE191"/>
  <c r="AF191"/>
  <c r="AG191"/>
  <c r="AH191"/>
  <c r="AI191"/>
  <c r="AJ191"/>
  <c r="AK191"/>
  <c r="AL191"/>
  <c r="AC192"/>
  <c r="AD192"/>
  <c r="AE192"/>
  <c r="AF192"/>
  <c r="AG192"/>
  <c r="AH192"/>
  <c r="AI192"/>
  <c r="AJ192"/>
  <c r="AK192"/>
  <c r="AL192"/>
  <c r="AC193"/>
  <c r="AD193"/>
  <c r="AE193"/>
  <c r="AF193"/>
  <c r="AG193"/>
  <c r="AH193"/>
  <c r="AI193"/>
  <c r="AJ193"/>
  <c r="AK193"/>
  <c r="AL193"/>
  <c r="AC194"/>
  <c r="AD194"/>
  <c r="AE194"/>
  <c r="AF194"/>
  <c r="AG194"/>
  <c r="AH194"/>
  <c r="AI194"/>
  <c r="AJ194"/>
  <c r="AK194"/>
  <c r="AL194"/>
  <c r="AC195"/>
  <c r="AD195"/>
  <c r="AE195"/>
  <c r="AF195"/>
  <c r="AG195"/>
  <c r="AH195"/>
  <c r="AI195"/>
  <c r="AJ195"/>
  <c r="AK195"/>
  <c r="AL195"/>
  <c r="AC196"/>
  <c r="AD196"/>
  <c r="AE196"/>
  <c r="AF196"/>
  <c r="AG196"/>
  <c r="AH196"/>
  <c r="AI196"/>
  <c r="AJ196"/>
  <c r="AK196"/>
  <c r="AL196"/>
  <c r="AC197"/>
  <c r="AD197"/>
  <c r="AE197"/>
  <c r="AF197"/>
  <c r="AG197"/>
  <c r="AH197"/>
  <c r="AI197"/>
  <c r="AJ197"/>
  <c r="AK197"/>
  <c r="AL197"/>
  <c r="AC198"/>
  <c r="AD198"/>
  <c r="AE198"/>
  <c r="AF198"/>
  <c r="AG198"/>
  <c r="AH198"/>
  <c r="AI198"/>
  <c r="AJ198"/>
  <c r="AK198"/>
  <c r="AL198"/>
  <c r="AC199"/>
  <c r="AD199"/>
  <c r="AE199"/>
  <c r="AF199"/>
  <c r="AG199"/>
  <c r="AH199"/>
  <c r="AI199"/>
  <c r="AJ199"/>
  <c r="AK199"/>
  <c r="AL199"/>
  <c r="AC200"/>
  <c r="AD200"/>
  <c r="AE200"/>
  <c r="AF200"/>
  <c r="AG200"/>
  <c r="AH200"/>
  <c r="AI200"/>
  <c r="AJ200"/>
  <c r="AK200"/>
  <c r="AL200"/>
  <c r="AC201"/>
  <c r="AD201"/>
  <c r="AE201"/>
  <c r="AF201"/>
  <c r="AG201"/>
  <c r="AH201"/>
  <c r="AI201"/>
  <c r="AJ201"/>
  <c r="AK201"/>
  <c r="AL201"/>
  <c r="AC202"/>
  <c r="AD202"/>
  <c r="AE202"/>
  <c r="AF202"/>
  <c r="AG202"/>
  <c r="AH202"/>
  <c r="AI202"/>
  <c r="AJ202"/>
  <c r="AK202"/>
  <c r="AL202"/>
  <c r="AC203"/>
  <c r="AD203"/>
  <c r="AE203"/>
  <c r="AF203"/>
  <c r="AG203"/>
  <c r="AH203"/>
  <c r="AI203"/>
  <c r="AJ203"/>
  <c r="AK203"/>
  <c r="AL203"/>
  <c r="AC204"/>
  <c r="AD204"/>
  <c r="AE204"/>
  <c r="AF204"/>
  <c r="AG204"/>
  <c r="AH204"/>
  <c r="AI204"/>
  <c r="AJ204"/>
  <c r="AK204"/>
  <c r="AL204"/>
  <c r="AC205"/>
  <c r="AD205"/>
  <c r="AE205"/>
  <c r="AF205"/>
  <c r="AG205"/>
  <c r="AH205"/>
  <c r="AI205"/>
  <c r="AJ205"/>
  <c r="AK205"/>
  <c r="AL205"/>
  <c r="AC206"/>
  <c r="AD206"/>
  <c r="AE206"/>
  <c r="AF206"/>
  <c r="AG206"/>
  <c r="AH206"/>
  <c r="AI206"/>
  <c r="AJ206"/>
  <c r="AK206"/>
  <c r="AL206"/>
  <c r="AC207"/>
  <c r="AD207"/>
  <c r="AE207"/>
  <c r="AF207"/>
  <c r="AG207"/>
  <c r="AH207"/>
  <c r="AI207"/>
  <c r="AJ207"/>
  <c r="AK207"/>
  <c r="AL207"/>
  <c r="AC208"/>
  <c r="AD208"/>
  <c r="AE208"/>
  <c r="AF208"/>
  <c r="AG208"/>
  <c r="AH208"/>
  <c r="AI208"/>
  <c r="AJ208"/>
  <c r="AK208"/>
  <c r="AL208"/>
  <c r="AC209"/>
  <c r="AD209"/>
  <c r="AE209"/>
  <c r="AF209"/>
  <c r="AG209"/>
  <c r="AH209"/>
  <c r="AI209"/>
  <c r="AJ209"/>
  <c r="AK209"/>
  <c r="AL209"/>
  <c r="AC210"/>
  <c r="AD210"/>
  <c r="AE210"/>
  <c r="AF210"/>
  <c r="AG210"/>
  <c r="AH210"/>
  <c r="AI210"/>
  <c r="AJ210"/>
  <c r="AK210"/>
  <c r="AL210"/>
  <c r="AC211"/>
  <c r="AD211"/>
  <c r="AE211"/>
  <c r="AF211"/>
  <c r="AG211"/>
  <c r="AH211"/>
  <c r="AI211"/>
  <c r="AJ211"/>
  <c r="AK211"/>
  <c r="AL211"/>
  <c r="AC212"/>
  <c r="AD212"/>
  <c r="AE212"/>
  <c r="AF212"/>
  <c r="AG212"/>
  <c r="AH212"/>
  <c r="AI212"/>
  <c r="AJ212"/>
  <c r="AK212"/>
  <c r="AL212"/>
  <c r="AC213"/>
  <c r="AD213"/>
  <c r="AE213"/>
  <c r="AF213"/>
  <c r="AG213"/>
  <c r="AH213"/>
  <c r="AI213"/>
  <c r="AJ213"/>
  <c r="AK213"/>
  <c r="AL213"/>
  <c r="AC214"/>
  <c r="AD214"/>
  <c r="AE214"/>
  <c r="AF214"/>
  <c r="AG214"/>
  <c r="AH214"/>
  <c r="AI214"/>
  <c r="AJ214"/>
  <c r="AK214"/>
  <c r="AL214"/>
  <c r="AC215"/>
  <c r="AD215"/>
  <c r="AE215"/>
  <c r="AF215"/>
  <c r="AG215"/>
  <c r="AH215"/>
  <c r="AI215"/>
  <c r="AJ215"/>
  <c r="AK215"/>
  <c r="AL215"/>
  <c r="AC216"/>
  <c r="AD216"/>
  <c r="AE216"/>
  <c r="AF216"/>
  <c r="AG216"/>
  <c r="AH216"/>
  <c r="AI216"/>
  <c r="AJ216"/>
  <c r="AK216"/>
  <c r="AL216"/>
  <c r="AC217"/>
  <c r="AD217"/>
  <c r="AE217"/>
  <c r="AF217"/>
  <c r="AG217"/>
  <c r="AH217"/>
  <c r="AI217"/>
  <c r="AJ217"/>
  <c r="AK217"/>
  <c r="AL217"/>
  <c r="AC218"/>
  <c r="AD218"/>
  <c r="AE218"/>
  <c r="AF218"/>
  <c r="AG218"/>
  <c r="AH218"/>
  <c r="AI218"/>
  <c r="AJ218"/>
  <c r="AK218"/>
  <c r="AL218"/>
  <c r="AC219"/>
  <c r="AD219"/>
  <c r="AE219"/>
  <c r="AF219"/>
  <c r="AG219"/>
  <c r="AH219"/>
  <c r="AI219"/>
  <c r="AJ219"/>
  <c r="AK219"/>
  <c r="AL219"/>
  <c r="AC220"/>
  <c r="AD220"/>
  <c r="AE220"/>
  <c r="AF220"/>
  <c r="AG220"/>
  <c r="AH220"/>
  <c r="AI220"/>
  <c r="AJ220"/>
  <c r="AK220"/>
  <c r="AL220"/>
  <c r="AC221"/>
  <c r="AD221"/>
  <c r="AE221"/>
  <c r="AF221"/>
  <c r="AG221"/>
  <c r="AH221"/>
  <c r="AI221"/>
  <c r="AJ221"/>
  <c r="AK221"/>
  <c r="AL221"/>
  <c r="AC222"/>
  <c r="AD222"/>
  <c r="AE222"/>
  <c r="AF222"/>
  <c r="AG222"/>
  <c r="AH222"/>
  <c r="AI222"/>
  <c r="AJ222"/>
  <c r="AK222"/>
  <c r="AL222"/>
  <c r="AC223"/>
  <c r="AD223"/>
  <c r="AE223"/>
  <c r="AF223"/>
  <c r="AG223"/>
  <c r="AH223"/>
  <c r="AI223"/>
  <c r="AJ223"/>
  <c r="AK223"/>
  <c r="AL223"/>
  <c r="AC224"/>
  <c r="AD224"/>
  <c r="AE224"/>
  <c r="AF224"/>
  <c r="AG224"/>
  <c r="AH224"/>
  <c r="AI224"/>
  <c r="AJ224"/>
  <c r="AK224"/>
  <c r="AL224"/>
  <c r="AC225"/>
  <c r="AD225"/>
  <c r="AE225"/>
  <c r="AF225"/>
  <c r="AG225"/>
  <c r="AH225"/>
  <c r="AI225"/>
  <c r="AJ225"/>
  <c r="AK225"/>
  <c r="AL225"/>
  <c r="AC226"/>
  <c r="AD226"/>
  <c r="AE226"/>
  <c r="AF226"/>
  <c r="AG226"/>
  <c r="AH226"/>
  <c r="AI226"/>
  <c r="AJ226"/>
  <c r="AK226"/>
  <c r="AL226"/>
  <c r="AC227"/>
  <c r="AD227"/>
  <c r="AE227"/>
  <c r="AF227"/>
  <c r="AG227"/>
  <c r="AH227"/>
  <c r="AI227"/>
  <c r="AJ227"/>
  <c r="AK227"/>
  <c r="AL227"/>
  <c r="AC228"/>
  <c r="AD228"/>
  <c r="AE228"/>
  <c r="AF228"/>
  <c r="AG228"/>
  <c r="AH228"/>
  <c r="AI228"/>
  <c r="AJ228"/>
  <c r="AK228"/>
  <c r="AL228"/>
  <c r="AC229"/>
  <c r="AD229"/>
  <c r="AE229"/>
  <c r="AF229"/>
  <c r="AG229"/>
  <c r="AH229"/>
  <c r="AI229"/>
  <c r="AJ229"/>
  <c r="AK229"/>
  <c r="AL229"/>
  <c r="AC230"/>
  <c r="AD230"/>
  <c r="AE230"/>
  <c r="AF230"/>
  <c r="AG230"/>
  <c r="AH230"/>
  <c r="AI230"/>
  <c r="AJ230"/>
  <c r="AK230"/>
  <c r="AL230"/>
  <c r="AC231"/>
  <c r="AD231"/>
  <c r="AE231"/>
  <c r="AF231"/>
  <c r="AG231"/>
  <c r="AH231"/>
  <c r="AI231"/>
  <c r="AJ231"/>
  <c r="AK231"/>
  <c r="AL231"/>
  <c r="AC232"/>
  <c r="AD232"/>
  <c r="AE232"/>
  <c r="AF232"/>
  <c r="AG232"/>
  <c r="AH232"/>
  <c r="AI232"/>
  <c r="AJ232"/>
  <c r="AK232"/>
  <c r="AL232"/>
  <c r="AC233"/>
  <c r="AD233"/>
  <c r="AE233"/>
  <c r="AF233"/>
  <c r="AG233"/>
  <c r="AH233"/>
  <c r="AI233"/>
  <c r="AJ233"/>
  <c r="AK233"/>
  <c r="AL233"/>
  <c r="AC234"/>
  <c r="AD234"/>
  <c r="AE234"/>
  <c r="AF234"/>
  <c r="AG234"/>
  <c r="AH234"/>
  <c r="AI234"/>
  <c r="AJ234"/>
  <c r="AK234"/>
  <c r="AL234"/>
  <c r="AC235"/>
  <c r="AD235"/>
  <c r="AE235"/>
  <c r="AF235"/>
  <c r="AG235"/>
  <c r="AH235"/>
  <c r="AI235"/>
  <c r="AJ235"/>
  <c r="AK235"/>
  <c r="AL235"/>
  <c r="AC236"/>
  <c r="AD236"/>
  <c r="AE236"/>
  <c r="AF236"/>
  <c r="AG236"/>
  <c r="AH236"/>
  <c r="AI236"/>
  <c r="AJ236"/>
  <c r="AK236"/>
  <c r="AL236"/>
  <c r="AC237"/>
  <c r="AD237"/>
  <c r="AE237"/>
  <c r="AF237"/>
  <c r="AG237"/>
  <c r="AH237"/>
  <c r="AI237"/>
  <c r="AJ237"/>
  <c r="AK237"/>
  <c r="AL237"/>
  <c r="AC238"/>
  <c r="AD238"/>
  <c r="AE238"/>
  <c r="AF238"/>
  <c r="AG238"/>
  <c r="AH238"/>
  <c r="AI238"/>
  <c r="AJ238"/>
  <c r="AK238"/>
  <c r="AL238"/>
  <c r="AC239"/>
  <c r="AD239"/>
  <c r="AE239"/>
  <c r="AF239"/>
  <c r="AG239"/>
  <c r="AH239"/>
  <c r="AI239"/>
  <c r="AJ239"/>
  <c r="AK239"/>
  <c r="AL239"/>
  <c r="AC240"/>
  <c r="AD240"/>
  <c r="AE240"/>
  <c r="AF240"/>
  <c r="AG240"/>
  <c r="AH240"/>
  <c r="AI240"/>
  <c r="AJ240"/>
  <c r="AK240"/>
  <c r="AL240"/>
  <c r="AC241"/>
  <c r="AD241"/>
  <c r="AE241"/>
  <c r="AF241"/>
  <c r="AG241"/>
  <c r="AH241"/>
  <c r="AI241"/>
  <c r="AJ241"/>
  <c r="AK241"/>
  <c r="AL241"/>
  <c r="AC242"/>
  <c r="AD242"/>
  <c r="AE242"/>
  <c r="AF242"/>
  <c r="AG242"/>
  <c r="AH242"/>
  <c r="AI242"/>
  <c r="AJ242"/>
  <c r="AK242"/>
  <c r="AL242"/>
  <c r="AC243"/>
  <c r="AD243"/>
  <c r="AE243"/>
  <c r="AF243"/>
  <c r="AG243"/>
  <c r="AH243"/>
  <c r="AI243"/>
  <c r="AJ243"/>
  <c r="AK243"/>
  <c r="AL243"/>
  <c r="AC244"/>
  <c r="AD244"/>
  <c r="AE244"/>
  <c r="AF244"/>
  <c r="AG244"/>
  <c r="AH244"/>
  <c r="AI244"/>
  <c r="AJ244"/>
  <c r="AK244"/>
  <c r="AL244"/>
  <c r="AC245"/>
  <c r="AD245"/>
  <c r="AE245"/>
  <c r="AF245"/>
  <c r="AG245"/>
  <c r="AH245"/>
  <c r="AI245"/>
  <c r="AJ245"/>
  <c r="AK245"/>
  <c r="AL245"/>
  <c r="AC246"/>
  <c r="AD246"/>
  <c r="AE246"/>
  <c r="AF246"/>
  <c r="AG246"/>
  <c r="AH246"/>
  <c r="AI246"/>
  <c r="AJ246"/>
  <c r="AK246"/>
  <c r="AL246"/>
  <c r="AC247"/>
  <c r="AD247"/>
  <c r="AE247"/>
  <c r="AF247"/>
  <c r="AG247"/>
  <c r="AH247"/>
  <c r="AI247"/>
  <c r="AJ247"/>
  <c r="AK247"/>
  <c r="AL247"/>
  <c r="AC248"/>
  <c r="AD248"/>
  <c r="AE248"/>
  <c r="AF248"/>
  <c r="AG248"/>
  <c r="AH248"/>
  <c r="AI248"/>
  <c r="AJ248"/>
  <c r="AK248"/>
  <c r="AL248"/>
  <c r="AC249"/>
  <c r="AD249"/>
  <c r="AE249"/>
  <c r="AF249"/>
  <c r="AG249"/>
  <c r="AH249"/>
  <c r="AI249"/>
  <c r="AJ249"/>
  <c r="AK249"/>
  <c r="AL249"/>
  <c r="AC250"/>
  <c r="AD250"/>
  <c r="AE250"/>
  <c r="AF250"/>
  <c r="AG250"/>
  <c r="AH250"/>
  <c r="AI250"/>
  <c r="AJ250"/>
  <c r="AK250"/>
  <c r="AL250"/>
  <c r="AC251"/>
  <c r="AD251"/>
  <c r="AE251"/>
  <c r="AF251"/>
  <c r="AG251"/>
  <c r="AH251"/>
  <c r="AI251"/>
  <c r="AJ251"/>
  <c r="AK251"/>
  <c r="AL251"/>
  <c r="AC252"/>
  <c r="AD252"/>
  <c r="AE252"/>
  <c r="AF252"/>
  <c r="AG252"/>
  <c r="AH252"/>
  <c r="AI252"/>
  <c r="AJ252"/>
  <c r="AK252"/>
  <c r="AL252"/>
  <c r="AC253"/>
  <c r="AD253"/>
  <c r="AE253"/>
  <c r="AF253"/>
  <c r="AG253"/>
  <c r="AH253"/>
  <c r="AI253"/>
  <c r="AJ253"/>
  <c r="AK253"/>
  <c r="AL253"/>
  <c r="AC254"/>
  <c r="AD254"/>
  <c r="AE254"/>
  <c r="AF254"/>
  <c r="AG254"/>
  <c r="AH254"/>
  <c r="AI254"/>
  <c r="AJ254"/>
  <c r="AK254"/>
  <c r="AL254"/>
  <c r="AC255"/>
  <c r="AD255"/>
  <c r="AE255"/>
  <c r="AF255"/>
  <c r="AG255"/>
  <c r="AH255"/>
  <c r="AI255"/>
  <c r="AJ255"/>
  <c r="AK255"/>
  <c r="AL255"/>
  <c r="AC256"/>
  <c r="AD256"/>
  <c r="AE256"/>
  <c r="AF256"/>
  <c r="AG256"/>
  <c r="AH256"/>
  <c r="AI256"/>
  <c r="AJ256"/>
  <c r="AK256"/>
  <c r="AL256"/>
  <c r="AC257"/>
  <c r="AD257"/>
  <c r="AE257"/>
  <c r="AF257"/>
  <c r="AG257"/>
  <c r="AH257"/>
  <c r="AI257"/>
  <c r="AJ257"/>
  <c r="AK257"/>
  <c r="AL257"/>
  <c r="AC258"/>
  <c r="AD258"/>
  <c r="AE258"/>
  <c r="AF258"/>
  <c r="AG258"/>
  <c r="AH258"/>
  <c r="AI258"/>
  <c r="AJ258"/>
  <c r="AK258"/>
  <c r="AL258"/>
  <c r="AC259"/>
  <c r="AD259"/>
  <c r="AE259"/>
  <c r="AF259"/>
  <c r="AG259"/>
  <c r="AH259"/>
  <c r="AI259"/>
  <c r="AJ259"/>
  <c r="AK259"/>
  <c r="AL259"/>
  <c r="AC260"/>
  <c r="AD260"/>
  <c r="AE260"/>
  <c r="AF260"/>
  <c r="AG260"/>
  <c r="AH260"/>
  <c r="AI260"/>
  <c r="AJ260"/>
  <c r="AK260"/>
  <c r="AL260"/>
  <c r="AC261"/>
  <c r="AD261"/>
  <c r="AE261"/>
  <c r="AF261"/>
  <c r="AG261"/>
  <c r="AH261"/>
  <c r="AI261"/>
  <c r="AJ261"/>
  <c r="AK261"/>
  <c r="AL261"/>
  <c r="AC262"/>
  <c r="AD262"/>
  <c r="AE262"/>
  <c r="AF262"/>
  <c r="AG262"/>
  <c r="AH262"/>
  <c r="AI262"/>
  <c r="AJ262"/>
  <c r="AK262"/>
  <c r="AL262"/>
  <c r="AC263"/>
  <c r="AD263"/>
  <c r="AE263"/>
  <c r="AF263"/>
  <c r="AG263"/>
  <c r="AH263"/>
  <c r="AI263"/>
  <c r="AJ263"/>
  <c r="AK263"/>
  <c r="AL263"/>
  <c r="AC264"/>
  <c r="AD264"/>
  <c r="AE264"/>
  <c r="AF264"/>
  <c r="AG264"/>
  <c r="AH264"/>
  <c r="AI264"/>
  <c r="AJ264"/>
  <c r="AK264"/>
  <c r="AL264"/>
  <c r="AC265"/>
  <c r="AD265"/>
  <c r="AE265"/>
  <c r="AF265"/>
  <c r="AG265"/>
  <c r="AH265"/>
  <c r="AI265"/>
  <c r="AJ265"/>
  <c r="AK265"/>
  <c r="AL265"/>
  <c r="AC266"/>
  <c r="AD266"/>
  <c r="AE266"/>
  <c r="AF266"/>
  <c r="AG266"/>
  <c r="AH266"/>
  <c r="AI266"/>
  <c r="AJ266"/>
  <c r="AK266"/>
  <c r="AL266"/>
  <c r="AC267"/>
  <c r="AD267"/>
  <c r="AE267"/>
  <c r="AF267"/>
  <c r="AG267"/>
  <c r="AH267"/>
  <c r="AI267"/>
  <c r="AJ267"/>
  <c r="AK267"/>
  <c r="AL267"/>
  <c r="AC268"/>
  <c r="AD268"/>
  <c r="AE268"/>
  <c r="AF268"/>
  <c r="AG268"/>
  <c r="AH268"/>
  <c r="AI268"/>
  <c r="AJ268"/>
  <c r="AK268"/>
  <c r="AL268"/>
  <c r="AC269"/>
  <c r="AD269"/>
  <c r="AE269"/>
  <c r="AF269"/>
  <c r="AG269"/>
  <c r="AH269"/>
  <c r="AI269"/>
  <c r="AJ269"/>
  <c r="AK269"/>
  <c r="AL269"/>
  <c r="AC270"/>
  <c r="AD270"/>
  <c r="AE270"/>
  <c r="AF270"/>
  <c r="AG270"/>
  <c r="AH270"/>
  <c r="AI270"/>
  <c r="AJ270"/>
  <c r="AK270"/>
  <c r="AL270"/>
  <c r="AC271"/>
  <c r="AD271"/>
  <c r="AE271"/>
  <c r="AF271"/>
  <c r="AG271"/>
  <c r="AH271"/>
  <c r="AI271"/>
  <c r="AJ271"/>
  <c r="AK271"/>
  <c r="AL271"/>
  <c r="AC272"/>
  <c r="AD272"/>
  <c r="AE272"/>
  <c r="AF272"/>
  <c r="AG272"/>
  <c r="AH272"/>
  <c r="AI272"/>
  <c r="AJ272"/>
  <c r="AK272"/>
  <c r="AL272"/>
  <c r="AC273"/>
  <c r="AD273"/>
  <c r="AE273"/>
  <c r="AF273"/>
  <c r="AG273"/>
  <c r="AH273"/>
  <c r="AI273"/>
  <c r="AJ273"/>
  <c r="AK273"/>
  <c r="AL273"/>
  <c r="AC274"/>
  <c r="AD274"/>
  <c r="AE274"/>
  <c r="AF274"/>
  <c r="AG274"/>
  <c r="AH274"/>
  <c r="AI274"/>
  <c r="AJ274"/>
  <c r="AK274"/>
  <c r="AL274"/>
  <c r="AC275"/>
  <c r="AD275"/>
  <c r="AE275"/>
  <c r="AF275"/>
  <c r="AG275"/>
  <c r="AH275"/>
  <c r="AI275"/>
  <c r="AJ275"/>
  <c r="AK275"/>
  <c r="AL275"/>
  <c r="AC276"/>
  <c r="AD276"/>
  <c r="AE276"/>
  <c r="AF276"/>
  <c r="AG276"/>
  <c r="AH276"/>
  <c r="AI276"/>
  <c r="AJ276"/>
  <c r="AK276"/>
  <c r="AL276"/>
  <c r="AC277"/>
  <c r="AD277"/>
  <c r="AE277"/>
  <c r="AF277"/>
  <c r="AG277"/>
  <c r="AH277"/>
  <c r="AI277"/>
  <c r="AJ277"/>
  <c r="AK277"/>
  <c r="AL277"/>
  <c r="AC278"/>
  <c r="AD278"/>
  <c r="AE278"/>
  <c r="AF278"/>
  <c r="AG278"/>
  <c r="AH278"/>
  <c r="AI278"/>
  <c r="AJ278"/>
  <c r="AK278"/>
  <c r="AL278"/>
  <c r="AC279"/>
  <c r="AD279"/>
  <c r="AE279"/>
  <c r="AF279"/>
  <c r="AG279"/>
  <c r="AH279"/>
  <c r="AI279"/>
  <c r="AJ279"/>
  <c r="AK279"/>
  <c r="AL279"/>
  <c r="AC280"/>
  <c r="AD280"/>
  <c r="AE280"/>
  <c r="AF280"/>
  <c r="AG280"/>
  <c r="AH280"/>
  <c r="AI280"/>
  <c r="AJ280"/>
  <c r="AK280"/>
  <c r="AL280"/>
  <c r="AC281"/>
  <c r="AD281"/>
  <c r="AE281"/>
  <c r="AF281"/>
  <c r="AG281"/>
  <c r="AH281"/>
  <c r="AI281"/>
  <c r="AJ281"/>
  <c r="AK281"/>
  <c r="AL281"/>
  <c r="AC282"/>
  <c r="AD282"/>
  <c r="AE282"/>
  <c r="AF282"/>
  <c r="AG282"/>
  <c r="AH282"/>
  <c r="AI282"/>
  <c r="AJ282"/>
  <c r="AK282"/>
  <c r="AL282"/>
  <c r="AC283"/>
  <c r="AD283"/>
  <c r="AE283"/>
  <c r="AF283"/>
  <c r="AG283"/>
  <c r="AH283"/>
  <c r="AI283"/>
  <c r="AJ283"/>
  <c r="AK283"/>
  <c r="AL283"/>
  <c r="AC284"/>
  <c r="AD284"/>
  <c r="AE284"/>
  <c r="AF284"/>
  <c r="AG284"/>
  <c r="AH284"/>
  <c r="AI284"/>
  <c r="AJ284"/>
  <c r="AK284"/>
  <c r="AL284"/>
  <c r="AC285"/>
  <c r="AD285"/>
  <c r="AE285"/>
  <c r="AF285"/>
  <c r="AG285"/>
  <c r="AH285"/>
  <c r="AI285"/>
  <c r="AJ285"/>
  <c r="AK285"/>
  <c r="AL285"/>
  <c r="AC286"/>
  <c r="AD286"/>
  <c r="AE286"/>
  <c r="AF286"/>
  <c r="AG286"/>
  <c r="AH286"/>
  <c r="AI286"/>
  <c r="AJ286"/>
  <c r="AK286"/>
  <c r="AL286"/>
  <c r="AC287"/>
  <c r="AD287"/>
  <c r="AE287"/>
  <c r="AF287"/>
  <c r="AG287"/>
  <c r="AH287"/>
  <c r="AI287"/>
  <c r="AJ287"/>
  <c r="AK287"/>
  <c r="AL287"/>
  <c r="AC288"/>
  <c r="AD288"/>
  <c r="AE288"/>
  <c r="AF288"/>
  <c r="AG288"/>
  <c r="AH288"/>
  <c r="AI288"/>
  <c r="AJ288"/>
  <c r="AK288"/>
  <c r="AL288"/>
  <c r="AC289"/>
  <c r="AD289"/>
  <c r="AE289"/>
  <c r="AF289"/>
  <c r="AG289"/>
  <c r="AH289"/>
  <c r="AI289"/>
  <c r="AJ289"/>
  <c r="AK289"/>
  <c r="AL289"/>
  <c r="AC290"/>
  <c r="AD290"/>
  <c r="AE290"/>
  <c r="AF290"/>
  <c r="AG290"/>
  <c r="AH290"/>
  <c r="AI290"/>
  <c r="AJ290"/>
  <c r="AK290"/>
  <c r="AL290"/>
  <c r="AC291"/>
  <c r="AD291"/>
  <c r="AE291"/>
  <c r="AF291"/>
  <c r="AG291"/>
  <c r="AH291"/>
  <c r="AI291"/>
  <c r="AJ291"/>
  <c r="AK291"/>
  <c r="AL291"/>
  <c r="AC292"/>
  <c r="AD292"/>
  <c r="AE292"/>
  <c r="AF292"/>
  <c r="AG292"/>
  <c r="AH292"/>
  <c r="AI292"/>
  <c r="AJ292"/>
  <c r="AK292"/>
  <c r="AL292"/>
  <c r="AC293"/>
  <c r="AD293"/>
  <c r="AE293"/>
  <c r="AF293"/>
  <c r="AG293"/>
  <c r="AH293"/>
  <c r="AI293"/>
  <c r="AJ293"/>
  <c r="AK293"/>
  <c r="AL293"/>
  <c r="AC294"/>
  <c r="AD294"/>
  <c r="AE294"/>
  <c r="AF294"/>
  <c r="AG294"/>
  <c r="AH294"/>
  <c r="AI294"/>
  <c r="AJ294"/>
  <c r="AK294"/>
  <c r="AL294"/>
  <c r="AC295"/>
  <c r="AD295"/>
  <c r="AE295"/>
  <c r="AF295"/>
  <c r="AG295"/>
  <c r="AH295"/>
  <c r="AI295"/>
  <c r="AJ295"/>
  <c r="AK295"/>
  <c r="AL295"/>
  <c r="AC296"/>
  <c r="AD296"/>
  <c r="AE296"/>
  <c r="AF296"/>
  <c r="AG296"/>
  <c r="AH296"/>
  <c r="AI296"/>
  <c r="AJ296"/>
  <c r="AK296"/>
  <c r="AL296"/>
  <c r="AC297"/>
  <c r="AD297"/>
  <c r="AE297"/>
  <c r="AF297"/>
  <c r="AG297"/>
  <c r="AH297"/>
  <c r="AI297"/>
  <c r="AJ297"/>
  <c r="AK297"/>
  <c r="AL297"/>
  <c r="AC298"/>
  <c r="AD298"/>
  <c r="AE298"/>
  <c r="AF298"/>
  <c r="AG298"/>
  <c r="AH298"/>
  <c r="AI298"/>
  <c r="AJ298"/>
  <c r="AK298"/>
  <c r="AL298"/>
  <c r="AC299"/>
  <c r="AD299"/>
  <c r="AE299"/>
  <c r="AF299"/>
  <c r="AG299"/>
  <c r="AH299"/>
  <c r="AI299"/>
  <c r="AJ299"/>
  <c r="AK299"/>
  <c r="AL299"/>
  <c r="AC300"/>
  <c r="AD300"/>
  <c r="AE300"/>
  <c r="AF300"/>
  <c r="AG300"/>
  <c r="AH300"/>
  <c r="AI300"/>
  <c r="AJ300"/>
  <c r="AK300"/>
  <c r="AL300"/>
  <c r="AC301"/>
  <c r="AD301"/>
  <c r="AE301"/>
  <c r="AF301"/>
  <c r="AG301"/>
  <c r="AH301"/>
  <c r="AI301"/>
  <c r="AJ301"/>
  <c r="AK301"/>
  <c r="AL301"/>
  <c r="AC302"/>
  <c r="AD302"/>
  <c r="AE302"/>
  <c r="AF302"/>
  <c r="AG302"/>
  <c r="AH302"/>
  <c r="AI302"/>
  <c r="AJ302"/>
  <c r="AK302"/>
  <c r="AL302"/>
  <c r="AC303"/>
  <c r="AD303"/>
  <c r="AE303"/>
  <c r="AF303"/>
  <c r="AG303"/>
  <c r="AH303"/>
  <c r="AI303"/>
  <c r="AJ303"/>
  <c r="AK303"/>
  <c r="AL303"/>
  <c r="AC304"/>
  <c r="AD304"/>
  <c r="AE304"/>
  <c r="AF304"/>
  <c r="AG304"/>
  <c r="AH304"/>
  <c r="AI304"/>
  <c r="AJ304"/>
  <c r="AK304"/>
  <c r="AL304"/>
  <c r="AC305"/>
  <c r="AD305"/>
  <c r="AE305"/>
  <c r="AF305"/>
  <c r="AG305"/>
  <c r="AH305"/>
  <c r="AI305"/>
  <c r="AJ305"/>
  <c r="AK305"/>
  <c r="AL305"/>
  <c r="AC306"/>
  <c r="AD306"/>
  <c r="AE306"/>
  <c r="AF306"/>
  <c r="AG306"/>
  <c r="AH306"/>
  <c r="AI306"/>
  <c r="AJ306"/>
  <c r="AK306"/>
  <c r="AL306"/>
  <c r="AC307"/>
  <c r="AD307"/>
  <c r="AE307"/>
  <c r="AF307"/>
  <c r="AG307"/>
  <c r="AH307"/>
  <c r="AI307"/>
  <c r="AJ307"/>
  <c r="AK307"/>
  <c r="AL307"/>
  <c r="AC308"/>
  <c r="AD308"/>
  <c r="AE308"/>
  <c r="AF308"/>
  <c r="AG308"/>
  <c r="AH308"/>
  <c r="AI308"/>
  <c r="AJ308"/>
  <c r="AK308"/>
  <c r="AL308"/>
  <c r="AC309"/>
  <c r="AD309"/>
  <c r="AE309"/>
  <c r="AF309"/>
  <c r="AG309"/>
  <c r="AH309"/>
  <c r="AI309"/>
  <c r="AJ309"/>
  <c r="AK309"/>
  <c r="AL309"/>
  <c r="AC310"/>
  <c r="AD310"/>
  <c r="AE310"/>
  <c r="AF310"/>
  <c r="AG310"/>
  <c r="AH310"/>
  <c r="AI310"/>
  <c r="AJ310"/>
  <c r="AK310"/>
  <c r="AL310"/>
  <c r="AC311"/>
  <c r="AD311"/>
  <c r="AE311"/>
  <c r="AF311"/>
  <c r="AG311"/>
  <c r="AH311"/>
  <c r="AI311"/>
  <c r="AJ311"/>
  <c r="AK311"/>
  <c r="AL311"/>
  <c r="AC312"/>
  <c r="AD312"/>
  <c r="AE312"/>
  <c r="AF312"/>
  <c r="AG312"/>
  <c r="AH312"/>
  <c r="AI312"/>
  <c r="AJ312"/>
  <c r="AK312"/>
  <c r="AL312"/>
  <c r="AC313"/>
  <c r="AD313"/>
  <c r="AE313"/>
  <c r="AF313"/>
  <c r="AG313"/>
  <c r="AH313"/>
  <c r="AI313"/>
  <c r="AJ313"/>
  <c r="AK313"/>
  <c r="AL313"/>
  <c r="AC314"/>
  <c r="AD314"/>
  <c r="AE314"/>
  <c r="AF314"/>
  <c r="AG314"/>
  <c r="AH314"/>
  <c r="AI314"/>
  <c r="AJ314"/>
  <c r="AK314"/>
  <c r="AL314"/>
  <c r="AC315"/>
  <c r="AD315"/>
  <c r="AE315"/>
  <c r="AF315"/>
  <c r="AG315"/>
  <c r="AH315"/>
  <c r="AI315"/>
  <c r="AJ315"/>
  <c r="AK315"/>
  <c r="AL315"/>
  <c r="AC316"/>
  <c r="AD316"/>
  <c r="AE316"/>
  <c r="AF316"/>
  <c r="AG316"/>
  <c r="AH316"/>
  <c r="AI316"/>
  <c r="AJ316"/>
  <c r="AK316"/>
  <c r="AL316"/>
  <c r="AC317"/>
  <c r="AD317"/>
  <c r="AE317"/>
  <c r="AF317"/>
  <c r="AG317"/>
  <c r="AH317"/>
  <c r="AI317"/>
  <c r="AJ317"/>
  <c r="AK317"/>
  <c r="AL317"/>
  <c r="AC318"/>
  <c r="AD318"/>
  <c r="AE318"/>
  <c r="AF318"/>
  <c r="AG318"/>
  <c r="AH318"/>
  <c r="AI318"/>
  <c r="AJ318"/>
  <c r="AK318"/>
  <c r="AL318"/>
  <c r="AC319"/>
  <c r="AD319"/>
  <c r="AE319"/>
  <c r="AF319"/>
  <c r="AG319"/>
  <c r="AH319"/>
  <c r="AI319"/>
  <c r="AJ319"/>
  <c r="AK319"/>
  <c r="AL319"/>
  <c r="AC320"/>
  <c r="AD320"/>
  <c r="AE320"/>
  <c r="AF320"/>
  <c r="AG320"/>
  <c r="AH320"/>
  <c r="AI320"/>
  <c r="AJ320"/>
  <c r="AK320"/>
  <c r="AL320"/>
  <c r="AC321"/>
  <c r="AD321"/>
  <c r="AE321"/>
  <c r="AF321"/>
  <c r="AG321"/>
  <c r="AH321"/>
  <c r="AI321"/>
  <c r="AJ321"/>
  <c r="AK321"/>
  <c r="AL321"/>
  <c r="AC322"/>
  <c r="AD322"/>
  <c r="AE322"/>
  <c r="AF322"/>
  <c r="AG322"/>
  <c r="AH322"/>
  <c r="AI322"/>
  <c r="AJ322"/>
  <c r="AK322"/>
  <c r="AL322"/>
  <c r="AC323"/>
  <c r="AD323"/>
  <c r="AE323"/>
  <c r="AF323"/>
  <c r="AG323"/>
  <c r="AH323"/>
  <c r="AI323"/>
  <c r="AJ323"/>
  <c r="AK323"/>
  <c r="AL323"/>
  <c r="AC324"/>
  <c r="AD324"/>
  <c r="AE324"/>
  <c r="AF324"/>
  <c r="AG324"/>
  <c r="AH324"/>
  <c r="AI324"/>
  <c r="AJ324"/>
  <c r="AK324"/>
  <c r="AL324"/>
  <c r="AC325"/>
  <c r="AD325"/>
  <c r="AE325"/>
  <c r="AF325"/>
  <c r="AG325"/>
  <c r="AH325"/>
  <c r="AI325"/>
  <c r="AJ325"/>
  <c r="AK325"/>
  <c r="AL325"/>
  <c r="AC326"/>
  <c r="AD326"/>
  <c r="AE326"/>
  <c r="AF326"/>
  <c r="AG326"/>
  <c r="AH326"/>
  <c r="AI326"/>
  <c r="AJ326"/>
  <c r="AK326"/>
  <c r="AL326"/>
  <c r="AC327"/>
  <c r="AD327"/>
  <c r="AE327"/>
  <c r="AF327"/>
  <c r="AG327"/>
  <c r="AH327"/>
  <c r="AI327"/>
  <c r="AJ327"/>
  <c r="AK327"/>
  <c r="AL327"/>
  <c r="AC328"/>
  <c r="AD328"/>
  <c r="AE328"/>
  <c r="AF328"/>
  <c r="AG328"/>
  <c r="AH328"/>
  <c r="AI328"/>
  <c r="AJ328"/>
  <c r="AK328"/>
  <c r="AL328"/>
  <c r="AC329"/>
  <c r="AD329"/>
  <c r="AE329"/>
  <c r="AF329"/>
  <c r="AG329"/>
  <c r="AH329"/>
  <c r="AI329"/>
  <c r="AJ329"/>
  <c r="AK329"/>
  <c r="AL329"/>
  <c r="AC330"/>
  <c r="AD330"/>
  <c r="AE330"/>
  <c r="AF330"/>
  <c r="AG330"/>
  <c r="AH330"/>
  <c r="AI330"/>
  <c r="AJ330"/>
  <c r="AK330"/>
  <c r="AL330"/>
  <c r="AC331"/>
  <c r="AD331"/>
  <c r="AE331"/>
  <c r="AF331"/>
  <c r="AG331"/>
  <c r="AH331"/>
  <c r="AI331"/>
  <c r="AJ331"/>
  <c r="AK331"/>
  <c r="AL331"/>
  <c r="AC332"/>
  <c r="AD332"/>
  <c r="AE332"/>
  <c r="AF332"/>
  <c r="AG332"/>
  <c r="AH332"/>
  <c r="AI332"/>
  <c r="AJ332"/>
  <c r="AK332"/>
  <c r="AL332"/>
  <c r="AC333"/>
  <c r="AD333"/>
  <c r="AE333"/>
  <c r="AF333"/>
  <c r="AG333"/>
  <c r="AH333"/>
  <c r="AI333"/>
  <c r="AJ333"/>
  <c r="AK333"/>
  <c r="AL333"/>
  <c r="AC334"/>
  <c r="AD334"/>
  <c r="AE334"/>
  <c r="AF334"/>
  <c r="AG334"/>
  <c r="AH334"/>
  <c r="AI334"/>
  <c r="AJ334"/>
  <c r="AK334"/>
  <c r="AL334"/>
  <c r="AC335"/>
  <c r="AD335"/>
  <c r="AE335"/>
  <c r="AF335"/>
  <c r="AG335"/>
  <c r="AH335"/>
  <c r="AI335"/>
  <c r="AJ335"/>
  <c r="AK335"/>
  <c r="AL335"/>
  <c r="AC336"/>
  <c r="AD336"/>
  <c r="AE336"/>
  <c r="AF336"/>
  <c r="AG336"/>
  <c r="AH336"/>
  <c r="AI336"/>
  <c r="AJ336"/>
  <c r="AK336"/>
  <c r="AL336"/>
  <c r="AC337"/>
  <c r="AD337"/>
  <c r="AE337"/>
  <c r="AF337"/>
  <c r="AG337"/>
  <c r="AH337"/>
  <c r="AI337"/>
  <c r="AJ337"/>
  <c r="AK337"/>
  <c r="AL337"/>
  <c r="AC338"/>
  <c r="AD338"/>
  <c r="AE338"/>
  <c r="AF338"/>
  <c r="AG338"/>
  <c r="AH338"/>
  <c r="AI338"/>
  <c r="AJ338"/>
  <c r="AK338"/>
  <c r="AL338"/>
  <c r="AC339"/>
  <c r="AD339"/>
  <c r="AE339"/>
  <c r="AF339"/>
  <c r="AG339"/>
  <c r="AH339"/>
  <c r="AI339"/>
  <c r="AJ339"/>
  <c r="AK339"/>
  <c r="AL339"/>
  <c r="AC340"/>
  <c r="AD340"/>
  <c r="AE340"/>
  <c r="AF340"/>
  <c r="AG340"/>
  <c r="AH340"/>
  <c r="AI340"/>
  <c r="AJ340"/>
  <c r="AK340"/>
  <c r="AL340"/>
  <c r="AC341"/>
  <c r="AD341"/>
  <c r="AE341"/>
  <c r="AF341"/>
  <c r="AG341"/>
  <c r="AH341"/>
  <c r="AI341"/>
  <c r="AJ341"/>
  <c r="AK341"/>
  <c r="AL341"/>
  <c r="AC342"/>
  <c r="AD342"/>
  <c r="AE342"/>
  <c r="AF342"/>
  <c r="AG342"/>
  <c r="AH342"/>
  <c r="AI342"/>
  <c r="AJ342"/>
  <c r="AK342"/>
  <c r="AL342"/>
  <c r="AC343"/>
  <c r="AD343"/>
  <c r="AE343"/>
  <c r="AF343"/>
  <c r="AG343"/>
  <c r="AH343"/>
  <c r="AI343"/>
  <c r="AJ343"/>
  <c r="AK343"/>
  <c r="AL343"/>
  <c r="AC344"/>
  <c r="AD344"/>
  <c r="AE344"/>
  <c r="AF344"/>
  <c r="AG344"/>
  <c r="AH344"/>
  <c r="AI344"/>
  <c r="AJ344"/>
  <c r="AK344"/>
  <c r="AL344"/>
  <c r="AC345"/>
  <c r="AD345"/>
  <c r="AE345"/>
  <c r="AF345"/>
  <c r="AG345"/>
  <c r="AH345"/>
  <c r="AI345"/>
  <c r="AJ345"/>
  <c r="AK345"/>
  <c r="AL345"/>
  <c r="AC346"/>
  <c r="AD346"/>
  <c r="AE346"/>
  <c r="AF346"/>
  <c r="AG346"/>
  <c r="AH346"/>
  <c r="AI346"/>
  <c r="AJ346"/>
  <c r="AK346"/>
  <c r="AL346"/>
  <c r="AC347"/>
  <c r="AD347"/>
  <c r="AE347"/>
  <c r="AF347"/>
  <c r="AG347"/>
  <c r="AH347"/>
  <c r="AI347"/>
  <c r="AJ347"/>
  <c r="AK347"/>
  <c r="AL347"/>
  <c r="AC348"/>
  <c r="AD348"/>
  <c r="AE348"/>
  <c r="AF348"/>
  <c r="AG348"/>
  <c r="AH348"/>
  <c r="AI348"/>
  <c r="AJ348"/>
  <c r="AK348"/>
  <c r="AL348"/>
  <c r="AC349"/>
  <c r="AD349"/>
  <c r="AE349"/>
  <c r="AF349"/>
  <c r="AG349"/>
  <c r="AH349"/>
  <c r="AI349"/>
  <c r="AJ349"/>
  <c r="AK349"/>
  <c r="AL349"/>
  <c r="AC350"/>
  <c r="AD350"/>
  <c r="AE350"/>
  <c r="AF350"/>
  <c r="AG350"/>
  <c r="AH350"/>
  <c r="AI350"/>
  <c r="AJ350"/>
  <c r="AK350"/>
  <c r="AL350"/>
  <c r="AC351"/>
  <c r="AD351"/>
  <c r="AE351"/>
  <c r="AF351"/>
  <c r="AG351"/>
  <c r="AH351"/>
  <c r="AI351"/>
  <c r="AJ351"/>
  <c r="AK351"/>
  <c r="AL351"/>
  <c r="AC352"/>
  <c r="AD352"/>
  <c r="AE352"/>
  <c r="AF352"/>
  <c r="AG352"/>
  <c r="AH352"/>
  <c r="AI352"/>
  <c r="AJ352"/>
  <c r="AK352"/>
  <c r="AL352"/>
  <c r="AC353"/>
  <c r="AD353"/>
  <c r="AE353"/>
  <c r="AF353"/>
  <c r="AG353"/>
  <c r="AH353"/>
  <c r="AI353"/>
  <c r="AJ353"/>
  <c r="AK353"/>
  <c r="AL353"/>
  <c r="AC354"/>
  <c r="AD354"/>
  <c r="AE354"/>
  <c r="AF354"/>
  <c r="AG354"/>
  <c r="AH354"/>
  <c r="AI354"/>
  <c r="AJ354"/>
  <c r="AK354"/>
  <c r="AL354"/>
  <c r="AC355"/>
  <c r="AD355"/>
  <c r="AE355"/>
  <c r="AF355"/>
  <c r="AG355"/>
  <c r="AH355"/>
  <c r="AI355"/>
  <c r="AJ355"/>
  <c r="AK355"/>
  <c r="AL355"/>
  <c r="AC356"/>
  <c r="AD356"/>
  <c r="AE356"/>
  <c r="AF356"/>
  <c r="AG356"/>
  <c r="AH356"/>
  <c r="AI356"/>
  <c r="AJ356"/>
  <c r="AK356"/>
  <c r="AL356"/>
  <c r="AC357"/>
  <c r="AD357"/>
  <c r="AE357"/>
  <c r="AF357"/>
  <c r="AG357"/>
  <c r="AH357"/>
  <c r="AI357"/>
  <c r="AJ357"/>
  <c r="AK357"/>
  <c r="AL357"/>
  <c r="AC358"/>
  <c r="AD358"/>
  <c r="AE358"/>
  <c r="AF358"/>
  <c r="AG358"/>
  <c r="AH358"/>
  <c r="AI358"/>
  <c r="AJ358"/>
  <c r="AK358"/>
  <c r="AL358"/>
  <c r="AC359"/>
  <c r="AD359"/>
  <c r="AE359"/>
  <c r="AF359"/>
  <c r="AG359"/>
  <c r="AH359"/>
  <c r="AI359"/>
  <c r="AJ359"/>
  <c r="AK359"/>
  <c r="AL359"/>
  <c r="AC360"/>
  <c r="AD360"/>
  <c r="AE360"/>
  <c r="AF360"/>
  <c r="AG360"/>
  <c r="AH360"/>
  <c r="AI360"/>
  <c r="AJ360"/>
  <c r="AK360"/>
  <c r="AL360"/>
  <c r="AC361"/>
  <c r="AD361"/>
  <c r="AE361"/>
  <c r="AF361"/>
  <c r="AG361"/>
  <c r="AH361"/>
  <c r="AI361"/>
  <c r="AJ361"/>
  <c r="AK361"/>
  <c r="AL361"/>
  <c r="AC362"/>
  <c r="AD362"/>
  <c r="AE362"/>
  <c r="AF362"/>
  <c r="AG362"/>
  <c r="AH362"/>
  <c r="AI362"/>
  <c r="AJ362"/>
  <c r="AK362"/>
  <c r="AL362"/>
  <c r="AC363"/>
  <c r="AD363"/>
  <c r="AE363"/>
  <c r="AF363"/>
  <c r="AG363"/>
  <c r="AH363"/>
  <c r="AI363"/>
  <c r="AJ363"/>
  <c r="AK363"/>
  <c r="AL363"/>
  <c r="AC364"/>
  <c r="AD364"/>
  <c r="AE364"/>
  <c r="AF364"/>
  <c r="AG364"/>
  <c r="AH364"/>
  <c r="AI364"/>
  <c r="AJ364"/>
  <c r="AK364"/>
  <c r="AL364"/>
  <c r="AC365"/>
  <c r="AD365"/>
  <c r="AE365"/>
  <c r="AF365"/>
  <c r="AG365"/>
  <c r="AH365"/>
  <c r="AI365"/>
  <c r="AJ365"/>
  <c r="AK365"/>
  <c r="AL365"/>
  <c r="AC366"/>
  <c r="AD366"/>
  <c r="AE366"/>
  <c r="AF366"/>
  <c r="AG366"/>
  <c r="AH366"/>
  <c r="AI366"/>
  <c r="AJ366"/>
  <c r="AK366"/>
  <c r="AL366"/>
  <c r="AC367"/>
  <c r="AD367"/>
  <c r="AE367"/>
  <c r="AF367"/>
  <c r="AG367"/>
  <c r="AH367"/>
  <c r="AI367"/>
  <c r="AJ367"/>
  <c r="AK367"/>
  <c r="AL367"/>
  <c r="AC368"/>
  <c r="AD368"/>
  <c r="AE368"/>
  <c r="AF368"/>
  <c r="AG368"/>
  <c r="AH368"/>
  <c r="AI368"/>
  <c r="AJ368"/>
  <c r="AK368"/>
  <c r="AL368"/>
  <c r="AC369"/>
  <c r="AD369"/>
  <c r="AE369"/>
  <c r="AF369"/>
  <c r="AG369"/>
  <c r="AH369"/>
  <c r="AI369"/>
  <c r="AJ369"/>
  <c r="AK369"/>
  <c r="AL369"/>
  <c r="AC370"/>
  <c r="AD370"/>
  <c r="AE370"/>
  <c r="AF370"/>
  <c r="AG370"/>
  <c r="AH370"/>
  <c r="AI370"/>
  <c r="AJ370"/>
  <c r="AK370"/>
  <c r="AL370"/>
  <c r="AC371"/>
  <c r="AD371"/>
  <c r="AE371"/>
  <c r="AF371"/>
  <c r="AG371"/>
  <c r="AH371"/>
  <c r="AI371"/>
  <c r="AJ371"/>
  <c r="AK371"/>
  <c r="AL371"/>
  <c r="AC372"/>
  <c r="AD372"/>
  <c r="AE372"/>
  <c r="AF372"/>
  <c r="AG372"/>
  <c r="AH372"/>
  <c r="AI372"/>
  <c r="AJ372"/>
  <c r="AK372"/>
  <c r="AL372"/>
  <c r="AC373"/>
  <c r="AD373"/>
  <c r="AE373"/>
  <c r="AF373"/>
  <c r="AG373"/>
  <c r="AH373"/>
  <c r="AI373"/>
  <c r="AJ373"/>
  <c r="AK373"/>
  <c r="AL373"/>
  <c r="AC374"/>
  <c r="AD374"/>
  <c r="AE374"/>
  <c r="AF374"/>
  <c r="AG374"/>
  <c r="AH374"/>
  <c r="AI374"/>
  <c r="AJ374"/>
  <c r="AK374"/>
  <c r="AL374"/>
  <c r="AC375"/>
  <c r="AD375"/>
  <c r="AE375"/>
  <c r="AF375"/>
  <c r="AG375"/>
  <c r="AH375"/>
  <c r="AI375"/>
  <c r="AJ375"/>
  <c r="AK375"/>
  <c r="AL375"/>
  <c r="AC376"/>
  <c r="AD376"/>
  <c r="AE376"/>
  <c r="AF376"/>
  <c r="AG376"/>
  <c r="AH376"/>
  <c r="AI376"/>
  <c r="AJ376"/>
  <c r="AK376"/>
  <c r="AL376"/>
  <c r="AC377"/>
  <c r="AD377"/>
  <c r="AE377"/>
  <c r="AF377"/>
  <c r="AG377"/>
  <c r="AH377"/>
  <c r="AI377"/>
  <c r="AJ377"/>
  <c r="AK377"/>
  <c r="AL377"/>
  <c r="AC378"/>
  <c r="AD378"/>
  <c r="AE378"/>
  <c r="AF378"/>
  <c r="AG378"/>
  <c r="AH378"/>
  <c r="AI378"/>
  <c r="AJ378"/>
  <c r="AK378"/>
  <c r="AL378"/>
  <c r="AC379"/>
  <c r="AD379"/>
  <c r="AE379"/>
  <c r="AF379"/>
  <c r="AG379"/>
  <c r="AH379"/>
  <c r="AI379"/>
  <c r="AJ379"/>
  <c r="AK379"/>
  <c r="AL379"/>
  <c r="AC380"/>
  <c r="AD380"/>
  <c r="AE380"/>
  <c r="AF380"/>
  <c r="AG380"/>
  <c r="AH380"/>
  <c r="AI380"/>
  <c r="AJ380"/>
  <c r="AK380"/>
  <c r="AL380"/>
  <c r="AC381"/>
  <c r="AD381"/>
  <c r="AE381"/>
  <c r="AF381"/>
  <c r="AG381"/>
  <c r="AH381"/>
  <c r="AI381"/>
  <c r="AJ381"/>
  <c r="AK381"/>
  <c r="AL381"/>
  <c r="AC382"/>
  <c r="AD382"/>
  <c r="AE382"/>
  <c r="AF382"/>
  <c r="AG382"/>
  <c r="AH382"/>
  <c r="AI382"/>
  <c r="AJ382"/>
  <c r="AK382"/>
  <c r="AL382"/>
  <c r="AC383"/>
  <c r="AD383"/>
  <c r="AE383"/>
  <c r="AF383"/>
  <c r="AG383"/>
  <c r="AH383"/>
  <c r="AI383"/>
  <c r="AJ383"/>
  <c r="AK383"/>
  <c r="AL383"/>
  <c r="AC384"/>
  <c r="AD384"/>
  <c r="AE384"/>
  <c r="AF384"/>
  <c r="AG384"/>
  <c r="AH384"/>
  <c r="AI384"/>
  <c r="AJ384"/>
  <c r="AK384"/>
  <c r="AL384"/>
  <c r="AC385"/>
  <c r="AD385"/>
  <c r="AE385"/>
  <c r="AF385"/>
  <c r="AG385"/>
  <c r="AH385"/>
  <c r="AI385"/>
  <c r="AJ385"/>
  <c r="AK385"/>
  <c r="AL385"/>
  <c r="AC386"/>
  <c r="AD386"/>
  <c r="AE386"/>
  <c r="AF386"/>
  <c r="AG386"/>
  <c r="AH386"/>
  <c r="AI386"/>
  <c r="AJ386"/>
  <c r="AK386"/>
  <c r="AL386"/>
  <c r="AC387"/>
  <c r="AD387"/>
  <c r="AE387"/>
  <c r="AF387"/>
  <c r="AG387"/>
  <c r="AH387"/>
  <c r="AI387"/>
  <c r="AJ387"/>
  <c r="AK387"/>
  <c r="AL387"/>
  <c r="AC388"/>
  <c r="AD388"/>
  <c r="AE388"/>
  <c r="AF388"/>
  <c r="AG388"/>
  <c r="AH388"/>
  <c r="AI388"/>
  <c r="AJ388"/>
  <c r="AK388"/>
  <c r="AL388"/>
  <c r="AC389"/>
  <c r="AD389"/>
  <c r="AE389"/>
  <c r="AF389"/>
  <c r="AG389"/>
  <c r="AH389"/>
  <c r="AI389"/>
  <c r="AJ389"/>
  <c r="AK389"/>
  <c r="AL389"/>
  <c r="AC390"/>
  <c r="AD390"/>
  <c r="AE390"/>
  <c r="AF390"/>
  <c r="AG390"/>
  <c r="AH390"/>
  <c r="AI390"/>
  <c r="AJ390"/>
  <c r="AK390"/>
  <c r="AL390"/>
  <c r="AC391"/>
  <c r="AD391"/>
  <c r="AE391"/>
  <c r="AF391"/>
  <c r="AG391"/>
  <c r="AH391"/>
  <c r="AI391"/>
  <c r="AJ391"/>
  <c r="AK391"/>
  <c r="AL391"/>
  <c r="AC392"/>
  <c r="AD392"/>
  <c r="AE392"/>
  <c r="AF392"/>
  <c r="AG392"/>
  <c r="AH392"/>
  <c r="AI392"/>
  <c r="AJ392"/>
  <c r="AK392"/>
  <c r="AL392"/>
  <c r="AC393"/>
  <c r="AD393"/>
  <c r="AE393"/>
  <c r="AF393"/>
  <c r="AG393"/>
  <c r="AH393"/>
  <c r="AI393"/>
  <c r="AJ393"/>
  <c r="AK393"/>
  <c r="AL393"/>
  <c r="AC394"/>
  <c r="AD394"/>
  <c r="AE394"/>
  <c r="AF394"/>
  <c r="AG394"/>
  <c r="AH394"/>
  <c r="AI394"/>
  <c r="AJ394"/>
  <c r="AK394"/>
  <c r="AL394"/>
  <c r="AC395"/>
  <c r="AD395"/>
  <c r="AE395"/>
  <c r="AF395"/>
  <c r="AG395"/>
  <c r="AH395"/>
  <c r="AI395"/>
  <c r="AJ395"/>
  <c r="AK395"/>
  <c r="AL395"/>
  <c r="AC396"/>
  <c r="AD396"/>
  <c r="AE396"/>
  <c r="AF396"/>
  <c r="AG396"/>
  <c r="AH396"/>
  <c r="AI396"/>
  <c r="AJ396"/>
  <c r="AK396"/>
  <c r="AL396"/>
  <c r="AC397"/>
  <c r="AD397"/>
  <c r="AE397"/>
  <c r="AF397"/>
  <c r="AG397"/>
  <c r="AH397"/>
  <c r="AI397"/>
  <c r="AJ397"/>
  <c r="AK397"/>
  <c r="AL397"/>
  <c r="AC398"/>
  <c r="AD398"/>
  <c r="AE398"/>
  <c r="AF398"/>
  <c r="AG398"/>
  <c r="AH398"/>
  <c r="AI398"/>
  <c r="AJ398"/>
  <c r="AK398"/>
  <c r="AL398"/>
  <c r="AC399"/>
  <c r="AD399"/>
  <c r="AE399"/>
  <c r="AF399"/>
  <c r="AG399"/>
  <c r="AH399"/>
  <c r="AI399"/>
  <c r="AJ399"/>
  <c r="AK399"/>
  <c r="AL399"/>
  <c r="AC400"/>
  <c r="AD400"/>
  <c r="AE400"/>
  <c r="AF400"/>
  <c r="AG400"/>
  <c r="AH400"/>
  <c r="AI400"/>
  <c r="AJ400"/>
  <c r="AK400"/>
  <c r="AL400"/>
  <c r="AC401"/>
  <c r="AD401"/>
  <c r="AE401"/>
  <c r="AF401"/>
  <c r="AG401"/>
  <c r="AH401"/>
  <c r="AI401"/>
  <c r="AJ401"/>
  <c r="AK401"/>
  <c r="AL401"/>
  <c r="AC402"/>
  <c r="AD402"/>
  <c r="AE402"/>
  <c r="AF402"/>
  <c r="AG402"/>
  <c r="AH402"/>
  <c r="AI402"/>
  <c r="AJ402"/>
  <c r="AK402"/>
  <c r="AL402"/>
  <c r="AC403"/>
  <c r="AD403"/>
  <c r="AE403"/>
  <c r="AF403"/>
  <c r="AG403"/>
  <c r="AH403"/>
  <c r="AI403"/>
  <c r="AJ403"/>
  <c r="AK403"/>
  <c r="AL403"/>
  <c r="AC404"/>
  <c r="AD404"/>
  <c r="AE404"/>
  <c r="AF404"/>
  <c r="AG404"/>
  <c r="AH404"/>
  <c r="AI404"/>
  <c r="AJ404"/>
  <c r="AK404"/>
  <c r="AL404"/>
  <c r="AC405"/>
  <c r="AD405"/>
  <c r="AE405"/>
  <c r="AF405"/>
  <c r="AG405"/>
  <c r="AH405"/>
  <c r="AI405"/>
  <c r="AJ405"/>
  <c r="AK405"/>
  <c r="AL405"/>
  <c r="AC406"/>
  <c r="AD406"/>
  <c r="AE406"/>
  <c r="AF406"/>
  <c r="AG406"/>
  <c r="AH406"/>
  <c r="AI406"/>
  <c r="AJ406"/>
  <c r="AK406"/>
  <c r="AL406"/>
  <c r="AC407"/>
  <c r="AD407"/>
  <c r="AE407"/>
  <c r="AF407"/>
  <c r="AG407"/>
  <c r="AH407"/>
  <c r="AI407"/>
  <c r="AJ407"/>
  <c r="AK407"/>
  <c r="AL407"/>
  <c r="AC408"/>
  <c r="AD408"/>
  <c r="AE408"/>
  <c r="AF408"/>
  <c r="AG408"/>
  <c r="AH408"/>
  <c r="AI408"/>
  <c r="AJ408"/>
  <c r="AK408"/>
  <c r="AL408"/>
  <c r="AC409"/>
  <c r="AD409"/>
  <c r="AE409"/>
  <c r="AF409"/>
  <c r="AG409"/>
  <c r="AH409"/>
  <c r="AI409"/>
  <c r="AJ409"/>
  <c r="AK409"/>
  <c r="AL409"/>
  <c r="AC410"/>
  <c r="AD410"/>
  <c r="AE410"/>
  <c r="AF410"/>
  <c r="AG410"/>
  <c r="AH410"/>
  <c r="AI410"/>
  <c r="AJ410"/>
  <c r="AK410"/>
  <c r="AL410"/>
  <c r="AC411"/>
  <c r="AD411"/>
  <c r="AE411"/>
  <c r="AF411"/>
  <c r="AG411"/>
  <c r="AH411"/>
  <c r="AI411"/>
  <c r="AJ411"/>
  <c r="AK411"/>
  <c r="AL411"/>
  <c r="AC412"/>
  <c r="AD412"/>
  <c r="AE412"/>
  <c r="AF412"/>
  <c r="AG412"/>
  <c r="AH412"/>
  <c r="AI412"/>
  <c r="AJ412"/>
  <c r="AK412"/>
  <c r="AL412"/>
  <c r="AC413"/>
  <c r="AD413"/>
  <c r="AE413"/>
  <c r="AF413"/>
  <c r="AG413"/>
  <c r="AH413"/>
  <c r="AI413"/>
  <c r="AJ413"/>
  <c r="AK413"/>
  <c r="AL413"/>
  <c r="AC414"/>
  <c r="AD414"/>
  <c r="AE414"/>
  <c r="AF414"/>
  <c r="AG414"/>
  <c r="AH414"/>
  <c r="AI414"/>
  <c r="AJ414"/>
  <c r="AK414"/>
  <c r="AL414"/>
  <c r="AC415"/>
  <c r="AD415"/>
  <c r="AE415"/>
  <c r="AF415"/>
  <c r="AG415"/>
  <c r="AH415"/>
  <c r="AI415"/>
  <c r="AJ415"/>
  <c r="AK415"/>
  <c r="AL415"/>
  <c r="AC2"/>
  <c r="AL2"/>
  <c r="AK2"/>
  <c r="AJ2"/>
  <c r="AI2"/>
  <c r="AH2"/>
  <c r="AG2"/>
  <c r="AF2"/>
  <c r="AE2"/>
</calcChain>
</file>

<file path=xl/connections.xml><?xml version="1.0" encoding="utf-8"?>
<connections xmlns="http://schemas.openxmlformats.org/spreadsheetml/2006/main">
  <connection id="1" name="Dataset_definitivo" type="6" refreshedVersion="8" background="1" saveData="1">
    <textPr sourceFile="/Users/nicholaszoffoli/Desktop/Università/Magistrale/2° anno/Gestione del rischio/Modelli di previsione delle insolvenze/Progetto/Progetto_insolvenze/Dataset_definitivo" decimal="," thousands="." tab="0" semicolon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<sst xmlns="http://schemas.openxmlformats.org/spreadsheetml/2006/main" count="3777" uniqueCount="1268">
  <si>
    <t>Id</t>
  </si>
  <si>
    <t>Ragione_sociale</t>
  </si>
  <si>
    <t>Regione</t>
  </si>
  <si>
    <t>Numero_Dipendenti</t>
  </si>
  <si>
    <t>Numero_CCIAA</t>
  </si>
  <si>
    <t>Risultato_Netto_2023</t>
  </si>
  <si>
    <t>EBITDA_2023</t>
  </si>
  <si>
    <t>Ricavi_Vendite_2023</t>
  </si>
  <si>
    <t>Tot_Patrimonio_Netto_2023</t>
  </si>
  <si>
    <t>Attivo_Circolante_2023</t>
  </si>
  <si>
    <t>Tot_Rimanenze_2023</t>
  </si>
  <si>
    <t>Debiti_Breve_2023</t>
  </si>
  <si>
    <t>Cap_Circ_Netto_2023</t>
  </si>
  <si>
    <t>Flusso_di_Cassa_2023</t>
  </si>
  <si>
    <t>Tot_Immobilizzazione_2023</t>
  </si>
  <si>
    <t>Debiti_a_Oltre_2023</t>
  </si>
  <si>
    <t>Tot_Oneri_Fin_2023</t>
  </si>
  <si>
    <t>Tot_Debiti_2022</t>
  </si>
  <si>
    <t>Tot_Debiti_2023</t>
  </si>
  <si>
    <t>Tot_Attivo_2023</t>
  </si>
  <si>
    <t>Tot_Attivo_2022</t>
  </si>
  <si>
    <t>Tot_Attivo_2021</t>
  </si>
  <si>
    <t>Tot_Attivo_2020</t>
  </si>
  <si>
    <t>Indice_Indip_Fin_2023</t>
  </si>
  <si>
    <t>Quantile</t>
  </si>
  <si>
    <t>Macroarea</t>
  </si>
  <si>
    <t>Stato</t>
  </si>
  <si>
    <t>Categoria_Anni</t>
  </si>
  <si>
    <t>1.</t>
  </si>
  <si>
    <t>RIZZANI DE ECCHER S.P.A.</t>
  </si>
  <si>
    <t>Friuli-Venezia Giulia</t>
  </si>
  <si>
    <t>UD0115684</t>
  </si>
  <si>
    <t>Nord Est</t>
  </si>
  <si>
    <t>Fallita</t>
  </si>
  <si>
    <t>Più di 10 anni</t>
  </si>
  <si>
    <t>2.</t>
  </si>
  <si>
    <t>GENOVA HIGH TECH S.P.A.</t>
  </si>
  <si>
    <t>Liguria</t>
  </si>
  <si>
    <t>GE0405283</t>
  </si>
  <si>
    <t>Nord Ovest</t>
  </si>
  <si>
    <t>3.</t>
  </si>
  <si>
    <t>A. &amp; I. DELLA MORTE S.P.A. IN LIQUIDAZIONE</t>
  </si>
  <si>
    <t>Campania</t>
  </si>
  <si>
    <t>NA0587447</t>
  </si>
  <si>
    <t>Sud</t>
  </si>
  <si>
    <t>4.</t>
  </si>
  <si>
    <t>SITECO S.R.L.</t>
  </si>
  <si>
    <t>Emilia-Romagna</t>
  </si>
  <si>
    <t>MO0403579</t>
  </si>
  <si>
    <t>5.</t>
  </si>
  <si>
    <t>BODINO S.R.L.</t>
  </si>
  <si>
    <t>Piemonte</t>
  </si>
  <si>
    <t>TO0803681</t>
  </si>
  <si>
    <t>6.</t>
  </si>
  <si>
    <t>FISEQUA S.R.L. - IN FALLLIMENTO</t>
  </si>
  <si>
    <t>Sardegna</t>
  </si>
  <si>
    <t>NU0080265</t>
  </si>
  <si>
    <t>Isole</t>
  </si>
  <si>
    <t>7.</t>
  </si>
  <si>
    <t>ILOCSA S.R.L. - IN LIQUIDAZIONE</t>
  </si>
  <si>
    <t>Marche</t>
  </si>
  <si>
    <t>AP0138003</t>
  </si>
  <si>
    <t>Centro</t>
  </si>
  <si>
    <t>9.</t>
  </si>
  <si>
    <t>SEMITEC S.R.L. IN LIQUIDAZIONE</t>
  </si>
  <si>
    <t>Lazio</t>
  </si>
  <si>
    <t>RM1188992</t>
  </si>
  <si>
    <t>11.</t>
  </si>
  <si>
    <t>EDILFERRI S.P.A.</t>
  </si>
  <si>
    <t>Lombardia</t>
  </si>
  <si>
    <t>BG0330304</t>
  </si>
  <si>
    <t>13.</t>
  </si>
  <si>
    <t>DE VIVO S.P.A.</t>
  </si>
  <si>
    <t>Basilicata</t>
  </si>
  <si>
    <t>PZ0058416</t>
  </si>
  <si>
    <t>14.</t>
  </si>
  <si>
    <t>LAB S.R.L.</t>
  </si>
  <si>
    <t>RM1390233</t>
  </si>
  <si>
    <t>15.</t>
  </si>
  <si>
    <t>ENERGA GROUP S.R.L.</t>
  </si>
  <si>
    <t>MI1281766</t>
  </si>
  <si>
    <t>16.</t>
  </si>
  <si>
    <t>ISNARDI IMMOBILIARE SRL</t>
  </si>
  <si>
    <t>IM0111802</t>
  </si>
  <si>
    <t>17.</t>
  </si>
  <si>
    <t>MARZUOLO COSTRUZIONI S.R.L. IN LIQUIDAZIONE</t>
  </si>
  <si>
    <t>Sicilia</t>
  </si>
  <si>
    <t>EN0043079</t>
  </si>
  <si>
    <t>18.</t>
  </si>
  <si>
    <t>L'IDEA S.R.L.</t>
  </si>
  <si>
    <t>MI2107679</t>
  </si>
  <si>
    <t>19.</t>
  </si>
  <si>
    <t>IMMOBILIARE SELVA AMENA S.R.L.</t>
  </si>
  <si>
    <t>UD0156657</t>
  </si>
  <si>
    <t>20.</t>
  </si>
  <si>
    <t>FALCON GENERAL CONTRACT S.R.L.</t>
  </si>
  <si>
    <t>BS0537091</t>
  </si>
  <si>
    <t>21.</t>
  </si>
  <si>
    <t>TE.VIA. S.R.L. IN LIQUIDAZIONE</t>
  </si>
  <si>
    <t>MI1751695</t>
  </si>
  <si>
    <t>22.</t>
  </si>
  <si>
    <t>AELLE SRL</t>
  </si>
  <si>
    <t>MI1921595</t>
  </si>
  <si>
    <t>23.</t>
  </si>
  <si>
    <t>BORGO DEL SOLE RESORT S.R.L.</t>
  </si>
  <si>
    <t>MI2107334</t>
  </si>
  <si>
    <t>24.</t>
  </si>
  <si>
    <t>BAIA TAORMINA COSTRUZIONI S.P.A. IN LIQUIDAZIONE</t>
  </si>
  <si>
    <t>CT0138278</t>
  </si>
  <si>
    <t>25.</t>
  </si>
  <si>
    <t>RO.DO.PA. S.R.L. IN LIQUIDAZIONE</t>
  </si>
  <si>
    <t>SA0353596</t>
  </si>
  <si>
    <t>26.</t>
  </si>
  <si>
    <t>TBI SRL IN LIQUIDAZIONE</t>
  </si>
  <si>
    <t>AN0078164</t>
  </si>
  <si>
    <t>28.</t>
  </si>
  <si>
    <t>RAGO SOLAR TECHNOLOGY S.R.L.</t>
  </si>
  <si>
    <t>PZ0131542</t>
  </si>
  <si>
    <t>30.</t>
  </si>
  <si>
    <t>LA GIOIA COSTRUZIONI S.R.L.</t>
  </si>
  <si>
    <t>Puglia</t>
  </si>
  <si>
    <t>BA0194311</t>
  </si>
  <si>
    <t>32.</t>
  </si>
  <si>
    <t>BRACCIANTI EDILIZIA S.R.L.</t>
  </si>
  <si>
    <t>Toscana</t>
  </si>
  <si>
    <t>PI0037997</t>
  </si>
  <si>
    <t>34.</t>
  </si>
  <si>
    <t>IMMOBILIARE PARADISO DELL'ETNA S.P.A.IN LIQUIDAZIONE</t>
  </si>
  <si>
    <t>CT0190743</t>
  </si>
  <si>
    <t>37.</t>
  </si>
  <si>
    <t>IMPRESA RIGHETTI PROSPERINO S.R.L.</t>
  </si>
  <si>
    <t>Veneto</t>
  </si>
  <si>
    <t>VR0295474</t>
  </si>
  <si>
    <t>38.</t>
  </si>
  <si>
    <t>POLO TECNOLOGICO BRIANZA S.R.L.</t>
  </si>
  <si>
    <t>MB1592365</t>
  </si>
  <si>
    <t>39.</t>
  </si>
  <si>
    <t>BP ENGINEERING S.R.L</t>
  </si>
  <si>
    <t>MS0116913</t>
  </si>
  <si>
    <t>42.</t>
  </si>
  <si>
    <t>DM GROUP SRL</t>
  </si>
  <si>
    <t>MI2609895</t>
  </si>
  <si>
    <t>43.</t>
  </si>
  <si>
    <t>COSTRUZIONI GENERALI S.R.L.</t>
  </si>
  <si>
    <t>BA0235370</t>
  </si>
  <si>
    <t>44.</t>
  </si>
  <si>
    <t>C2-30 S.R.L.</t>
  </si>
  <si>
    <t>TV0324880</t>
  </si>
  <si>
    <t>45.</t>
  </si>
  <si>
    <t>KHUNKEN TECNOLOGY S.R.L.</t>
  </si>
  <si>
    <t>CN0263598</t>
  </si>
  <si>
    <t>47.</t>
  </si>
  <si>
    <t>DOMUS BRENTA S.R.L.</t>
  </si>
  <si>
    <t>VI0383383</t>
  </si>
  <si>
    <t>48.</t>
  </si>
  <si>
    <t>ERGON SRL</t>
  </si>
  <si>
    <t>RA0207841</t>
  </si>
  <si>
    <t>50.</t>
  </si>
  <si>
    <t>C.F.G. S.R.L.</t>
  </si>
  <si>
    <t>GE0402073</t>
  </si>
  <si>
    <t>53.</t>
  </si>
  <si>
    <t>EDILNORDVERONA S.R.L.</t>
  </si>
  <si>
    <t>VR0394963</t>
  </si>
  <si>
    <t>54.</t>
  </si>
  <si>
    <t>IMMOBILIARE BELLAVISTA SRL IN LIQUIDAZIONE</t>
  </si>
  <si>
    <t>MO0322064</t>
  </si>
  <si>
    <t>56.</t>
  </si>
  <si>
    <t>SE.G.I. S.R.L.</t>
  </si>
  <si>
    <t>Calabria</t>
  </si>
  <si>
    <t>CS0173443</t>
  </si>
  <si>
    <t>57.</t>
  </si>
  <si>
    <t>MIT COSTRUTTORI S.R.L.</t>
  </si>
  <si>
    <t>CT0288775</t>
  </si>
  <si>
    <t>58.</t>
  </si>
  <si>
    <t>SIRIO SRL IN LIQUIDAZIONE</t>
  </si>
  <si>
    <t>MI0517092</t>
  </si>
  <si>
    <t>59.</t>
  </si>
  <si>
    <t>C.E.I. S.R.L.</t>
  </si>
  <si>
    <t>MI1782629</t>
  </si>
  <si>
    <t>61.</t>
  </si>
  <si>
    <t>GEZ 2000 S.R.L.</t>
  </si>
  <si>
    <t>RE0152562</t>
  </si>
  <si>
    <t>62.</t>
  </si>
  <si>
    <t>ALFA COSTRUZIONI S.R.L. IN LIQUIDAZIONE</t>
  </si>
  <si>
    <t>MI1895738</t>
  </si>
  <si>
    <t>64.</t>
  </si>
  <si>
    <t>ROMA COSTRUZIONI APPALTI - SOCIETA A RESPONSABILITA LIMITATA</t>
  </si>
  <si>
    <t>RM0723578</t>
  </si>
  <si>
    <t>69.</t>
  </si>
  <si>
    <t>ELIMAR S.R.L.</t>
  </si>
  <si>
    <t>PA0291823</t>
  </si>
  <si>
    <t>70.</t>
  </si>
  <si>
    <t>VISCOLOR S.R.L.</t>
  </si>
  <si>
    <t>Trentino-Alto Adige/S‚àö¬∫dtirol</t>
  </si>
  <si>
    <t>TN0119942</t>
  </si>
  <si>
    <t>72.</t>
  </si>
  <si>
    <t>GECOS S.R.L.</t>
  </si>
  <si>
    <t>MT0047568</t>
  </si>
  <si>
    <t>73.</t>
  </si>
  <si>
    <t>LANOTTE COSTRUZIONI S.R.L.</t>
  </si>
  <si>
    <t>BA0530721</t>
  </si>
  <si>
    <t>74.</t>
  </si>
  <si>
    <t>GALASSIA COSTRUZIONI S.R.L.</t>
  </si>
  <si>
    <t>GR0080327</t>
  </si>
  <si>
    <t>75.</t>
  </si>
  <si>
    <t>SYNTHESIS SRL</t>
  </si>
  <si>
    <t>MI1310674</t>
  </si>
  <si>
    <t>76.</t>
  </si>
  <si>
    <t>ROGICAL S.R.L.</t>
  </si>
  <si>
    <t>CZ0168731</t>
  </si>
  <si>
    <t>78.</t>
  </si>
  <si>
    <t>CGF SRL</t>
  </si>
  <si>
    <t>RM1480389</t>
  </si>
  <si>
    <t>79.</t>
  </si>
  <si>
    <t>LA KASA S.R.L. IN LIQUIDAZIONE</t>
  </si>
  <si>
    <t>FI0548982</t>
  </si>
  <si>
    <t>80.</t>
  </si>
  <si>
    <t>TECNO EDIL SRL</t>
  </si>
  <si>
    <t>MI1561662</t>
  </si>
  <si>
    <t>81.</t>
  </si>
  <si>
    <t>IMPRESA COSTRUZIONI EDILI MERIZIOLA SRL</t>
  </si>
  <si>
    <t>Umbria</t>
  </si>
  <si>
    <t>TR0051699</t>
  </si>
  <si>
    <t>82.</t>
  </si>
  <si>
    <t>GAMBALE IMMOBILIARE S.R.L.</t>
  </si>
  <si>
    <t>FE0170960</t>
  </si>
  <si>
    <t>83.</t>
  </si>
  <si>
    <t>C.E.A.M. COSTRUZIONI ELETTRICHE E ASSEMBLAGGIO MECCANICO - SOCIET A A RESPONSABILITA LIMITATA</t>
  </si>
  <si>
    <t>RM0627830</t>
  </si>
  <si>
    <t>87.</t>
  </si>
  <si>
    <t>COSMO COSTRUZIONI MODERNE S.R.L.</t>
  </si>
  <si>
    <t>GE0134027</t>
  </si>
  <si>
    <t>88.</t>
  </si>
  <si>
    <t>COSIMO PRIMO S.R.L.</t>
  </si>
  <si>
    <t>LI0096552</t>
  </si>
  <si>
    <t>89.</t>
  </si>
  <si>
    <t>GE.CO. COSTRUZIONI VERONA S.R.L.</t>
  </si>
  <si>
    <t>VR0326830</t>
  </si>
  <si>
    <t>90.</t>
  </si>
  <si>
    <t>COIM PROJECT S.R.L.</t>
  </si>
  <si>
    <t>LE0173352</t>
  </si>
  <si>
    <t>91.</t>
  </si>
  <si>
    <t>SUPERPLAST S.R.L. IN LIQUIDAZIONE</t>
  </si>
  <si>
    <t>SV0211787</t>
  </si>
  <si>
    <t>92.</t>
  </si>
  <si>
    <t>IT COSTRUZIONI GENERALI S.R.L.</t>
  </si>
  <si>
    <t>RE0288862</t>
  </si>
  <si>
    <t>93.</t>
  </si>
  <si>
    <t>I.G.E. SRL</t>
  </si>
  <si>
    <t>MI1996508</t>
  </si>
  <si>
    <t>95.</t>
  </si>
  <si>
    <t>PINCIARA SRL</t>
  </si>
  <si>
    <t>MI1934045</t>
  </si>
  <si>
    <t>96.</t>
  </si>
  <si>
    <t>RAM S.R.L.</t>
  </si>
  <si>
    <t>MB1748824</t>
  </si>
  <si>
    <t>99.</t>
  </si>
  <si>
    <t>GARDA EXCLUSIVE S.R.L.</t>
  </si>
  <si>
    <t>TN0217766</t>
  </si>
  <si>
    <t>101.</t>
  </si>
  <si>
    <t>I.T.A.C.A. S.R.L.</t>
  </si>
  <si>
    <t>BO0410662</t>
  </si>
  <si>
    <t>105.</t>
  </si>
  <si>
    <t>BRO SOCIETA' A RESPONSABILITA' LIMITATA - IN FALLIMENTO</t>
  </si>
  <si>
    <t>CA0351669</t>
  </si>
  <si>
    <t>106.</t>
  </si>
  <si>
    <t>IMMOBILIARE PALADESIO S.R.L.</t>
  </si>
  <si>
    <t>NA0961077</t>
  </si>
  <si>
    <t>107.</t>
  </si>
  <si>
    <t>VIRIDE S.R.L. IN LIQUIDAZIONE</t>
  </si>
  <si>
    <t>CL0116978</t>
  </si>
  <si>
    <t>108.</t>
  </si>
  <si>
    <t>B.C. IMPIANTI ELETTRICI S.R.L. O IN FORMA ABBREVIATA BC S.R.L.</t>
  </si>
  <si>
    <t>MB1824444</t>
  </si>
  <si>
    <t>112.</t>
  </si>
  <si>
    <t>CLENS HABITAT S.R.L. IN LIQUIDAZIONE</t>
  </si>
  <si>
    <t>MI1862145</t>
  </si>
  <si>
    <t>114.</t>
  </si>
  <si>
    <t>LENTA ANTONIO S.R.L.</t>
  </si>
  <si>
    <t>CN0284445</t>
  </si>
  <si>
    <t>115.</t>
  </si>
  <si>
    <t>VICAM SRL</t>
  </si>
  <si>
    <t>FI0589911</t>
  </si>
  <si>
    <t>117.</t>
  </si>
  <si>
    <t>LISCIANI IMMOBILIARE SRL</t>
  </si>
  <si>
    <t>AP0200801</t>
  </si>
  <si>
    <t>119.</t>
  </si>
  <si>
    <t>ASTI ENGINEERING S.R.L.</t>
  </si>
  <si>
    <t>LE0298935</t>
  </si>
  <si>
    <t>122.</t>
  </si>
  <si>
    <t>FANAC IMMOBILIARE SRL IN LIQUIDAZIONE</t>
  </si>
  <si>
    <t>VR0330066</t>
  </si>
  <si>
    <t>123.</t>
  </si>
  <si>
    <t>E.DI.MAR. S.R.L.</t>
  </si>
  <si>
    <t>PA0161286</t>
  </si>
  <si>
    <t>125.</t>
  </si>
  <si>
    <t>AZETA S.R.L.</t>
  </si>
  <si>
    <t>FI0595535</t>
  </si>
  <si>
    <t>128.</t>
  </si>
  <si>
    <t>P GROUP S.R.L. IN LIQUIDAZIONE</t>
  </si>
  <si>
    <t>BG0431687</t>
  </si>
  <si>
    <t>129.</t>
  </si>
  <si>
    <t>C.F. S.R.L.</t>
  </si>
  <si>
    <t>KR0181482</t>
  </si>
  <si>
    <t>130.</t>
  </si>
  <si>
    <t>ROMAGNOLI E C. COSTRUZIONI EDILI S.R.L. - IN LIQUIDAZIONE</t>
  </si>
  <si>
    <t>PS0155788</t>
  </si>
  <si>
    <t>133.</t>
  </si>
  <si>
    <t>EURO COSTRUZIONI SRL IN LIQUIDAZIONE</t>
  </si>
  <si>
    <t>BS0567335</t>
  </si>
  <si>
    <t>135.</t>
  </si>
  <si>
    <t>IDROIMPIANTI SA.VA. S.R.L. IN LIQUIDAZIONE</t>
  </si>
  <si>
    <t>MI1360501</t>
  </si>
  <si>
    <t>138.</t>
  </si>
  <si>
    <t>PIETRO DURANTE S.R.L. IN LIQUIDAZIONE</t>
  </si>
  <si>
    <t>TP0152151</t>
  </si>
  <si>
    <t>139.</t>
  </si>
  <si>
    <t>CERQUELLE S.R.L. - IN LIQUIDAZIONE</t>
  </si>
  <si>
    <t>PS0087629</t>
  </si>
  <si>
    <t>144.</t>
  </si>
  <si>
    <t>EDILTECNO S.R.L. IN LIQUIDAZIONE</t>
  </si>
  <si>
    <t>VE0284137</t>
  </si>
  <si>
    <t>147.</t>
  </si>
  <si>
    <t>COVEI SRL IN LIQUIDAZIONE</t>
  </si>
  <si>
    <t>TO0745792</t>
  </si>
  <si>
    <t>149.</t>
  </si>
  <si>
    <t>AMD COSTRUZIONI SRL</t>
  </si>
  <si>
    <t>LT0180188</t>
  </si>
  <si>
    <t>155.</t>
  </si>
  <si>
    <t>TIPICAL COSTRUZIONI S.R.L.</t>
  </si>
  <si>
    <t>MB2566980</t>
  </si>
  <si>
    <t>156.</t>
  </si>
  <si>
    <t>TICANI S.R.L. IN LIQUIDAZIONE</t>
  </si>
  <si>
    <t>MC0167886</t>
  </si>
  <si>
    <t>161.</t>
  </si>
  <si>
    <t>SATRINI S.R.L. IN FALLIMENTO</t>
  </si>
  <si>
    <t>PG0277123</t>
  </si>
  <si>
    <t>162.</t>
  </si>
  <si>
    <t>TECH. COS. S.R.L.</t>
  </si>
  <si>
    <t>GE0324325</t>
  </si>
  <si>
    <t>167.</t>
  </si>
  <si>
    <t>PF INGEGNERIA SRL - IN LIQUIDAZIONE</t>
  </si>
  <si>
    <t>MI2001800</t>
  </si>
  <si>
    <t>168.</t>
  </si>
  <si>
    <t>EDILGEN S.R.L.</t>
  </si>
  <si>
    <t>Molise</t>
  </si>
  <si>
    <t>CB0106164</t>
  </si>
  <si>
    <t>169.</t>
  </si>
  <si>
    <t>IMPRESA OGLIAR BADESSI SRL (IN FALLIMENTO)</t>
  </si>
  <si>
    <t>CR0183383</t>
  </si>
  <si>
    <t>172.</t>
  </si>
  <si>
    <t>IMMOBILIARE L.A.S. S.R.L.</t>
  </si>
  <si>
    <t>MI1005561</t>
  </si>
  <si>
    <t>173.</t>
  </si>
  <si>
    <t>DUEBI S.R.L.</t>
  </si>
  <si>
    <t>VA0314880</t>
  </si>
  <si>
    <t>175.</t>
  </si>
  <si>
    <t>RICUCCI COSTRUZIONI SOCIETA' A RESPONSABILITA' LIMITATA</t>
  </si>
  <si>
    <t>FG0300315</t>
  </si>
  <si>
    <t>178.</t>
  </si>
  <si>
    <t>ZANZAIMMOBILI S.R.L. IN LIQUIDAZIONE</t>
  </si>
  <si>
    <t>VR0352003</t>
  </si>
  <si>
    <t>180.</t>
  </si>
  <si>
    <t>IMMOBILIARE PERSEO S.R.L.</t>
  </si>
  <si>
    <t>PT0149996</t>
  </si>
  <si>
    <t>181.</t>
  </si>
  <si>
    <t>GU.NA S.R.L.</t>
  </si>
  <si>
    <t>VA0315937</t>
  </si>
  <si>
    <t>184.</t>
  </si>
  <si>
    <t>IATTONI COSTRUZIONI S.R.L. IN FALLIMENTO</t>
  </si>
  <si>
    <t>PR0186192</t>
  </si>
  <si>
    <t>185.</t>
  </si>
  <si>
    <t>NUOVA ECOLOGIA S.R.L. IN LIQUIDAZIONE</t>
  </si>
  <si>
    <t>NA0770819</t>
  </si>
  <si>
    <t>186.</t>
  </si>
  <si>
    <t>S.F. SERVIZI SCACCIA S.R.L.</t>
  </si>
  <si>
    <t>RM1366726</t>
  </si>
  <si>
    <t>187.</t>
  </si>
  <si>
    <t>COGEMAT S.R.L.</t>
  </si>
  <si>
    <t>TP0166239</t>
  </si>
  <si>
    <t>189.</t>
  </si>
  <si>
    <t>IMMOBILQUATTRO SRL</t>
  </si>
  <si>
    <t>MI1309047</t>
  </si>
  <si>
    <t>193.</t>
  </si>
  <si>
    <t>SEIEMME - S.R.L.</t>
  </si>
  <si>
    <t>RM0998577</t>
  </si>
  <si>
    <t>195.</t>
  </si>
  <si>
    <t>IMPIANTI TECNOLOGIE SERVIZI S.R.L.</t>
  </si>
  <si>
    <t>VE0371861</t>
  </si>
  <si>
    <t>197.</t>
  </si>
  <si>
    <t>ALIBONI COSTRUZIONI S.R.L.</t>
  </si>
  <si>
    <t>LU0236365</t>
  </si>
  <si>
    <t>199.</t>
  </si>
  <si>
    <t>CGS S.R.L.</t>
  </si>
  <si>
    <t>NU0103790</t>
  </si>
  <si>
    <t>203.</t>
  </si>
  <si>
    <t>TECNOA SRL</t>
  </si>
  <si>
    <t>RE0285342</t>
  </si>
  <si>
    <t>204.</t>
  </si>
  <si>
    <t>RESTAUREA S.R.L.</t>
  </si>
  <si>
    <t>BR0132351</t>
  </si>
  <si>
    <t>205.</t>
  </si>
  <si>
    <t>NAPOLI IMMOBILIARE S.R.L.</t>
  </si>
  <si>
    <t>NA0687702</t>
  </si>
  <si>
    <t>207.</t>
  </si>
  <si>
    <t>ARTEDILIA S.R.L. IN LIQUIDAZIONE</t>
  </si>
  <si>
    <t>TV0349705</t>
  </si>
  <si>
    <t>208.</t>
  </si>
  <si>
    <t>E.T. TELECOMMUNICATION S.R.L.</t>
  </si>
  <si>
    <t>CE0292639</t>
  </si>
  <si>
    <t>210.</t>
  </si>
  <si>
    <t>D.C. COSTRUZIONI S.R.L.</t>
  </si>
  <si>
    <t>PO0510359</t>
  </si>
  <si>
    <t>212.</t>
  </si>
  <si>
    <t>COSTRUZIONI EDILI BATTISTON LUCA S.R.L. IN LIQUIDAZIONE</t>
  </si>
  <si>
    <t>PD0427738</t>
  </si>
  <si>
    <t>213.</t>
  </si>
  <si>
    <t>S.I.R.CO. S.R.L. IN LIQUIDAZIONE</t>
  </si>
  <si>
    <t>VE0171319</t>
  </si>
  <si>
    <t>215.</t>
  </si>
  <si>
    <t>D &amp; C BUILDING S.R.L.</t>
  </si>
  <si>
    <t>MI2090432</t>
  </si>
  <si>
    <t>216.</t>
  </si>
  <si>
    <t>CO.GE.IM. - COSTRUZIONE GESTIONE IMMOBILI - S.R.L. IN LIQUIDAZIONE</t>
  </si>
  <si>
    <t>RM0922123</t>
  </si>
  <si>
    <t>217.</t>
  </si>
  <si>
    <t>EDILIZIA SICURO SRL</t>
  </si>
  <si>
    <t>LE0277684</t>
  </si>
  <si>
    <t>218.</t>
  </si>
  <si>
    <t>LORALBA S.R.L.</t>
  </si>
  <si>
    <t>VR0337858</t>
  </si>
  <si>
    <t>219.</t>
  </si>
  <si>
    <t>ECORAT SRL</t>
  </si>
  <si>
    <t>PD0367011</t>
  </si>
  <si>
    <t>220.</t>
  </si>
  <si>
    <t>FRIGOMASTER S.R.L. IN LIQUIDAZIONE</t>
  </si>
  <si>
    <t>NA0504924</t>
  </si>
  <si>
    <t>222.</t>
  </si>
  <si>
    <t>R.S. ENERGIA E SERVIZI S.R.L.</t>
  </si>
  <si>
    <t>MI2045326</t>
  </si>
  <si>
    <t>225.</t>
  </si>
  <si>
    <t>IMMOBILIARE SAN ROCCO SRL</t>
  </si>
  <si>
    <t>MB1665614</t>
  </si>
  <si>
    <t>226.</t>
  </si>
  <si>
    <t>EDIL 2021 S.R.L. IN LIQUIDAZIONE</t>
  </si>
  <si>
    <t>PI0111584</t>
  </si>
  <si>
    <t>227.</t>
  </si>
  <si>
    <t>NUOVA DUEFFE SOCIETA' A RESPONSABILITA' LIMITATA IN LIQUIDAZIONE</t>
  </si>
  <si>
    <t>MO0401156</t>
  </si>
  <si>
    <t>228.</t>
  </si>
  <si>
    <t>S.I.TEC. SRL</t>
  </si>
  <si>
    <t>SA0245480</t>
  </si>
  <si>
    <t>229.</t>
  </si>
  <si>
    <t>IMPRESA EDILE ZUCCHETTO S.R.L.</t>
  </si>
  <si>
    <t>AL0116814</t>
  </si>
  <si>
    <t>231.</t>
  </si>
  <si>
    <t>IMM.RE LA PERLA S.R.L.</t>
  </si>
  <si>
    <t>MI1785695</t>
  </si>
  <si>
    <t>233.</t>
  </si>
  <si>
    <t>C.E.A. IMPIANTI S.R.L.</t>
  </si>
  <si>
    <t>CT0139463</t>
  </si>
  <si>
    <t>234.</t>
  </si>
  <si>
    <t>C.L. IMPIANTI S.R.L.</t>
  </si>
  <si>
    <t>BG0362302</t>
  </si>
  <si>
    <t>238.</t>
  </si>
  <si>
    <t>MGC S.R.L.</t>
  </si>
  <si>
    <t>TO1171865</t>
  </si>
  <si>
    <t>239.</t>
  </si>
  <si>
    <t>M.P. COSTRUZIONI S.R.L.</t>
  </si>
  <si>
    <t>NA0697110</t>
  </si>
  <si>
    <t>243.</t>
  </si>
  <si>
    <t>ECOEDILIZIA SRLS SOCIETA' A RESPONSABILITA' LIMITATA SEMPLIFICATA IN FALLIMENTO</t>
  </si>
  <si>
    <t>PG0286825</t>
  </si>
  <si>
    <t>244.</t>
  </si>
  <si>
    <t>VENTI S.R.L.</t>
  </si>
  <si>
    <t>LO1450425</t>
  </si>
  <si>
    <t>245.</t>
  </si>
  <si>
    <t>IL MATTONE ROSSO SRL</t>
  </si>
  <si>
    <t>NA1041555</t>
  </si>
  <si>
    <t>249.</t>
  </si>
  <si>
    <t>ELETTROIMPIANTI S.R.L. IN SCIOGLIMENTO</t>
  </si>
  <si>
    <t>NA0683173</t>
  </si>
  <si>
    <t>251.</t>
  </si>
  <si>
    <t>LUMIA ARREDI S.R.L.</t>
  </si>
  <si>
    <t>VE0376237</t>
  </si>
  <si>
    <t>252.</t>
  </si>
  <si>
    <t>ARTE EDILE S.R.L.</t>
  </si>
  <si>
    <t>TO1135762</t>
  </si>
  <si>
    <t>253.</t>
  </si>
  <si>
    <t>ELETTRO SERVICE S.R.L. - SOCIETA' A RESPONSABILITA' LIMITATA</t>
  </si>
  <si>
    <t>BN0126315</t>
  </si>
  <si>
    <t>257.</t>
  </si>
  <si>
    <t>LA TERMOIDRAULICA SOCIETA A RESPONSABILITA LIMITATA</t>
  </si>
  <si>
    <t>RM0477637</t>
  </si>
  <si>
    <t>259.</t>
  </si>
  <si>
    <t>R.M. SCAVI S.R.L. IN LIQUIDAZIONE</t>
  </si>
  <si>
    <t>PV0249603</t>
  </si>
  <si>
    <t>261.</t>
  </si>
  <si>
    <t>S.E.A. COSTRUZIONI SRL</t>
  </si>
  <si>
    <t>GR0069144</t>
  </si>
  <si>
    <t>264.</t>
  </si>
  <si>
    <t>BAAS S.R.L. - IN FALLIMENTO</t>
  </si>
  <si>
    <t>SS0191411</t>
  </si>
  <si>
    <t>266.</t>
  </si>
  <si>
    <t>A.M. COSTRUZIONI S.R.L.S.</t>
  </si>
  <si>
    <t>TO1210276</t>
  </si>
  <si>
    <t>267.</t>
  </si>
  <si>
    <t>EI SYSTEMS ELECTRIC S.R.L. IN LIQUIDAZIONE</t>
  </si>
  <si>
    <t>Abruzzo</t>
  </si>
  <si>
    <t>CH0176626</t>
  </si>
  <si>
    <t>268.</t>
  </si>
  <si>
    <t>EDIL 2 S.R.L. (IN FALLIMENTO)</t>
  </si>
  <si>
    <t>CR0158832</t>
  </si>
  <si>
    <t>270.</t>
  </si>
  <si>
    <t>ING. PASQUALE ISIDORI - SOCIETA' A RESPONSABILITA' LIMITATA</t>
  </si>
  <si>
    <t>RM0308160</t>
  </si>
  <si>
    <t>272.</t>
  </si>
  <si>
    <t>CMSPIGASFALTI SRL</t>
  </si>
  <si>
    <t>GE0479094</t>
  </si>
  <si>
    <t>274.</t>
  </si>
  <si>
    <t>IMMOBILIARE MACRI S.R.L.</t>
  </si>
  <si>
    <t>BG0354345</t>
  </si>
  <si>
    <t>277.</t>
  </si>
  <si>
    <t>EFP ENERGYSERVICE SOCIETA' A RESPONSABILITA' LIMITATA</t>
  </si>
  <si>
    <t>PO0513344</t>
  </si>
  <si>
    <t>279.</t>
  </si>
  <si>
    <t>SAFE ROADS S.R.L. A SOCIO UNICO</t>
  </si>
  <si>
    <t>PA0265750</t>
  </si>
  <si>
    <t>281.</t>
  </si>
  <si>
    <t>ARCHIGROUP S.R.L.</t>
  </si>
  <si>
    <t>FI0597305</t>
  </si>
  <si>
    <t>282.</t>
  </si>
  <si>
    <t>GESTIONE SERVIZI EDILI SOCIETA' A RESPONSABILITA' LIMITATA SEMPLIFICATA A SOCIO UNICO</t>
  </si>
  <si>
    <t>MO0415098</t>
  </si>
  <si>
    <t>285.</t>
  </si>
  <si>
    <t>AV CONTRACT S.R.L. - UNIPERSONALE -</t>
  </si>
  <si>
    <t>AR0172318</t>
  </si>
  <si>
    <t>291.</t>
  </si>
  <si>
    <t>3 - BOX S.R.L.</t>
  </si>
  <si>
    <t>TO0989804</t>
  </si>
  <si>
    <t>292.</t>
  </si>
  <si>
    <t>EDIL PROGETTI S.R.L.</t>
  </si>
  <si>
    <t>MC0192521</t>
  </si>
  <si>
    <t>294.</t>
  </si>
  <si>
    <t>COEMA S.R.L.</t>
  </si>
  <si>
    <t>BA0399031</t>
  </si>
  <si>
    <t>296.</t>
  </si>
  <si>
    <t>COSTRUIRE 1 S.R.L. IN LIQUIDAZIONE - IN FALLIMENTO</t>
  </si>
  <si>
    <t>FR0176827</t>
  </si>
  <si>
    <t>298.</t>
  </si>
  <si>
    <t>RIECO S.R.L. - IN FALLIMENTO</t>
  </si>
  <si>
    <t>SS0177702</t>
  </si>
  <si>
    <t>300.</t>
  </si>
  <si>
    <t>MERIDIO COSTRUZIONI S.R.L.</t>
  </si>
  <si>
    <t>CS0192876</t>
  </si>
  <si>
    <t>301.</t>
  </si>
  <si>
    <t>SEVERAL S.R.L. IN LIQUIDAZIONE</t>
  </si>
  <si>
    <t>MI1926784</t>
  </si>
  <si>
    <t>302.</t>
  </si>
  <si>
    <t>I.C.E.R. SRL COSTRUZIONI</t>
  </si>
  <si>
    <t>PV0276914</t>
  </si>
  <si>
    <t>303.</t>
  </si>
  <si>
    <t>B. ONE S.R.L.</t>
  </si>
  <si>
    <t>TV0365408</t>
  </si>
  <si>
    <t>304.</t>
  </si>
  <si>
    <t>GIO' MALER SOCIETA' A RESPONSABILITA' LIMITATA SEMPLIFICATA</t>
  </si>
  <si>
    <t>BZ0212933</t>
  </si>
  <si>
    <t>307.</t>
  </si>
  <si>
    <t>GENECOST DUE S.R.L. IN LIQUIDAZIONE</t>
  </si>
  <si>
    <t>RM1169550</t>
  </si>
  <si>
    <t>309.</t>
  </si>
  <si>
    <t>COSTRUZIONI SURIANO S.R.L.</t>
  </si>
  <si>
    <t>CO0314483</t>
  </si>
  <si>
    <t>311.</t>
  </si>
  <si>
    <t>C. &amp; C. CARTONGESSO S.R.L.</t>
  </si>
  <si>
    <t>FO0322965</t>
  </si>
  <si>
    <t>316.</t>
  </si>
  <si>
    <t>GLOBAL TECHNOLOGY S.R.L.</t>
  </si>
  <si>
    <t>CS0232943</t>
  </si>
  <si>
    <t>317.</t>
  </si>
  <si>
    <t>CMG S.R.L.</t>
  </si>
  <si>
    <t>NA0943853</t>
  </si>
  <si>
    <t>318.</t>
  </si>
  <si>
    <t>NOVATEK S.R.L.</t>
  </si>
  <si>
    <t>TO1086887</t>
  </si>
  <si>
    <t>320.</t>
  </si>
  <si>
    <t>IL DOGE S.R.L. IN LIQUIDAZIONE</t>
  </si>
  <si>
    <t>VE0326738</t>
  </si>
  <si>
    <t>321.</t>
  </si>
  <si>
    <t>BIEFFE S.R.L. IN LIQUIDAZIONE</t>
  </si>
  <si>
    <t>GR0132128</t>
  </si>
  <si>
    <t>323.</t>
  </si>
  <si>
    <t>AGROVOLT S.R.L. IN LIQUIDAZIONE</t>
  </si>
  <si>
    <t>CB0122418</t>
  </si>
  <si>
    <t>326.</t>
  </si>
  <si>
    <t>BORGOBLU S.R.L.</t>
  </si>
  <si>
    <t>AR0155802</t>
  </si>
  <si>
    <t>327.</t>
  </si>
  <si>
    <t>LF SERVIZI S.R.L.</t>
  </si>
  <si>
    <t>VE0360366</t>
  </si>
  <si>
    <t>330.</t>
  </si>
  <si>
    <t>CAMMA SOCIETA' A RESPONSABILITA' LIMITATA SEMPLIFICATA</t>
  </si>
  <si>
    <t>RC0188092</t>
  </si>
  <si>
    <t>331.</t>
  </si>
  <si>
    <t>R9 EDILIZIA S.R.L.S.</t>
  </si>
  <si>
    <t>BR0150167</t>
  </si>
  <si>
    <t>332.</t>
  </si>
  <si>
    <t>GENERALI COSTRUZIONI IMPIANTI S.R.L.</t>
  </si>
  <si>
    <t>RM1374856</t>
  </si>
  <si>
    <t>333.</t>
  </si>
  <si>
    <t>ABAX SRL IN LIQUIDAZIONE</t>
  </si>
  <si>
    <t>BS0463971</t>
  </si>
  <si>
    <t>337.</t>
  </si>
  <si>
    <t>CENTRO ARIA COMPRESSA CO.M.I. S.R.L.</t>
  </si>
  <si>
    <t>NA0320585</t>
  </si>
  <si>
    <t>338.</t>
  </si>
  <si>
    <t>CO.GA. COSTRUZIONI S.R.L.</t>
  </si>
  <si>
    <t>RM1401996</t>
  </si>
  <si>
    <t>342.</t>
  </si>
  <si>
    <t>FERROBETON CATANIA S.R.L. IN LIQUIDAZIONE</t>
  </si>
  <si>
    <t>CT0324223</t>
  </si>
  <si>
    <t>349.</t>
  </si>
  <si>
    <t>FB COSTRUZIONI S.R.L. SEMPLIFICATA - IN FALLIMENTO</t>
  </si>
  <si>
    <t>FR0185961</t>
  </si>
  <si>
    <t>350.</t>
  </si>
  <si>
    <t>EUROVINCI SRL IN LIQUIDAZIONE</t>
  </si>
  <si>
    <t>PD0389555</t>
  </si>
  <si>
    <t>354.</t>
  </si>
  <si>
    <t>AB COSTRUZIONI S.R.L.</t>
  </si>
  <si>
    <t>CT0329832</t>
  </si>
  <si>
    <t>356.</t>
  </si>
  <si>
    <t>G.T. COSTRUZIONI S.R.L. IN LIQUIDAZIONE - IN FALLIMENTO</t>
  </si>
  <si>
    <t>PG0283111</t>
  </si>
  <si>
    <t>357.</t>
  </si>
  <si>
    <t>VAVALLE S.R.L. - IN LIQUIDAZIONE</t>
  </si>
  <si>
    <t>BA0534478</t>
  </si>
  <si>
    <t>359.</t>
  </si>
  <si>
    <t>EFFEPI S.R.L.</t>
  </si>
  <si>
    <t>AN0121858</t>
  </si>
  <si>
    <t>361.</t>
  </si>
  <si>
    <t>TUTTO IMPIANTI SRL IN LIQUIDAZIONE - IN FALLIMENTO</t>
  </si>
  <si>
    <t>PG0243787</t>
  </si>
  <si>
    <t>363.</t>
  </si>
  <si>
    <t>IMPRESA TRASPORTI COSTRUZIONI SRL IN LIQUIDAZIONE</t>
  </si>
  <si>
    <t>RM1634270</t>
  </si>
  <si>
    <t>364.</t>
  </si>
  <si>
    <t>SICUREZZA 95 S.R.L. IN LIQUIDAZIONE</t>
  </si>
  <si>
    <t>MI2058733</t>
  </si>
  <si>
    <t>365.</t>
  </si>
  <si>
    <t>FANDANGO S.R.L. - IN LIQUIDAZIONE</t>
  </si>
  <si>
    <t>VI0315004</t>
  </si>
  <si>
    <t>366.</t>
  </si>
  <si>
    <t>DIM SEGNALETICA S.R.L.IN LIQUIDAZIONE</t>
  </si>
  <si>
    <t>TO1077940</t>
  </si>
  <si>
    <t>371.</t>
  </si>
  <si>
    <t>EDILCASTELLI SOCIETA' A RESPONSABILITA' LIMITATA SEMPLIFICATA</t>
  </si>
  <si>
    <t>LT0209115</t>
  </si>
  <si>
    <t>372.</t>
  </si>
  <si>
    <t>EKONIC S.R.L. IN LIQUIDAZIONE</t>
  </si>
  <si>
    <t>PD0422059</t>
  </si>
  <si>
    <t>374.</t>
  </si>
  <si>
    <t>RC IMPIANTI S.R.L. IN LIQUIDAZIONE</t>
  </si>
  <si>
    <t>RM1355325</t>
  </si>
  <si>
    <t>376.</t>
  </si>
  <si>
    <t>GLOBALTECH SOCIETA' A RESPONSABILITA' LIMITATA SEMPLIFICATA - IN LIQUIDAZIONE</t>
  </si>
  <si>
    <t>PE0152037</t>
  </si>
  <si>
    <t>377.</t>
  </si>
  <si>
    <t>SCOTTI S.R.L</t>
  </si>
  <si>
    <t>MI1740763</t>
  </si>
  <si>
    <t>383.</t>
  </si>
  <si>
    <t>C.I.R. IMMOBILIARE S.R.L. IN LIQUIDAZIONE</t>
  </si>
  <si>
    <t>MI1664776</t>
  </si>
  <si>
    <t>412.</t>
  </si>
  <si>
    <t>ORION COSTRUZIONI S.U.R.L. IN LIQUIDAZIONE</t>
  </si>
  <si>
    <t>LU0176198</t>
  </si>
  <si>
    <t>SAIPEM S.P.A.</t>
  </si>
  <si>
    <t>MI0788744</t>
  </si>
  <si>
    <t>Attiva</t>
  </si>
  <si>
    <t>WEBUILD S.P.A.</t>
  </si>
  <si>
    <t>MI0525502</t>
  </si>
  <si>
    <t>IREN ENERGIA S.P.A.</t>
  </si>
  <si>
    <t>TO1045119</t>
  </si>
  <si>
    <t>ITINERA S.P.A.</t>
  </si>
  <si>
    <t>AL0176511</t>
  </si>
  <si>
    <t>SIRAM S.P.A.</t>
  </si>
  <si>
    <t>MI1245922</t>
  </si>
  <si>
    <t>ENGIE SERVIZI S.P.A.</t>
  </si>
  <si>
    <t>RM0597554</t>
  </si>
  <si>
    <t>8.</t>
  </si>
  <si>
    <t>AMPLIA INFRASTRUCTURES S.P.A.</t>
  </si>
  <si>
    <t>RM0526702</t>
  </si>
  <si>
    <t>SICIM SOCIETA' PER AZIONI</t>
  </si>
  <si>
    <t>PR0086384</t>
  </si>
  <si>
    <t>10.</t>
  </si>
  <si>
    <t>ENEL X ITALIA S.R.L.</t>
  </si>
  <si>
    <t>RM1424928</t>
  </si>
  <si>
    <t>CIRCET ITALIA S.P.A</t>
  </si>
  <si>
    <t>CH0090567</t>
  </si>
  <si>
    <t>12.</t>
  </si>
  <si>
    <t>EDISON NEXT GOVERNMENT S.R.L.</t>
  </si>
  <si>
    <t>MI1592042</t>
  </si>
  <si>
    <t>ICM S.P.A.</t>
  </si>
  <si>
    <t>VI0229975</t>
  </si>
  <si>
    <t>SITE - S.P.A.</t>
  </si>
  <si>
    <t>BO0329717</t>
  </si>
  <si>
    <t>ACQUEDOTTO PUGLIESE S.P.A.</t>
  </si>
  <si>
    <t>BA0414092</t>
  </si>
  <si>
    <t>BONATTI -S.P.A.</t>
  </si>
  <si>
    <t>PR0130274</t>
  </si>
  <si>
    <t>G.C.F. GENERALE COSTRUZIONI FERROVIARIE S.P.A.</t>
  </si>
  <si>
    <t>RM1387595</t>
  </si>
  <si>
    <t>ALPERIA GREEN FUTURE SRL</t>
  </si>
  <si>
    <t>BZ0231727</t>
  </si>
  <si>
    <t>SOCIETA' AUTOSTRADA LIGURE TOSCANA -P.A.</t>
  </si>
  <si>
    <t>LU0057616</t>
  </si>
  <si>
    <t>AIR LIQUIDE ITALIA SERVICE S.R.L.</t>
  </si>
  <si>
    <t>MI1663259</t>
  </si>
  <si>
    <t>TECHBAU S.P.A.</t>
  </si>
  <si>
    <t>MI1922561</t>
  </si>
  <si>
    <t>GETEC ITALIA S.P.A.</t>
  </si>
  <si>
    <t>PC0172490</t>
  </si>
  <si>
    <t>VALTELLINA S.P.A.</t>
  </si>
  <si>
    <t>BG0039405</t>
  </si>
  <si>
    <t>NIDEC ASI S.P.A.</t>
  </si>
  <si>
    <t>MI1367236</t>
  </si>
  <si>
    <t>COLOMBO COSTRUZIONI S.P.A.</t>
  </si>
  <si>
    <t>LC0172425</t>
  </si>
  <si>
    <t>GHELLA S.P.A.</t>
  </si>
  <si>
    <t>RM0330024</t>
  </si>
  <si>
    <t>27.</t>
  </si>
  <si>
    <t>LA CASCINA COSTRUZIONI S.R.L.</t>
  </si>
  <si>
    <t>RM1520985</t>
  </si>
  <si>
    <t>GEMMO S.P.A. (SOCIETA' CON UNICO SOCIO)</t>
  </si>
  <si>
    <t>VI0307427</t>
  </si>
  <si>
    <t>29.</t>
  </si>
  <si>
    <t>FERRO BERICA S.R.L.</t>
  </si>
  <si>
    <t>VI0118159</t>
  </si>
  <si>
    <t>BOUYGUES E&amp;S ITALIA S.P.A.</t>
  </si>
  <si>
    <t>MI1583524</t>
  </si>
  <si>
    <t>31.</t>
  </si>
  <si>
    <t>CO.GE.FA. S.P.A.</t>
  </si>
  <si>
    <t>TO0476975</t>
  </si>
  <si>
    <t>CARRON CAV. ANGELO S.P.A.</t>
  </si>
  <si>
    <t>TV0171597</t>
  </si>
  <si>
    <t>33.</t>
  </si>
  <si>
    <t>COSTRUZIONI LINEE FERROVIARIE S.P.A. IN SIGLA C.L.F. S.P.A.</t>
  </si>
  <si>
    <t>BO0398634</t>
  </si>
  <si>
    <t>CITYLIFE S.P.A.</t>
  </si>
  <si>
    <t>MI1727452</t>
  </si>
  <si>
    <t>36.</t>
  </si>
  <si>
    <t>IREM S.P.A.</t>
  </si>
  <si>
    <t>SR0067514</t>
  </si>
  <si>
    <t>MANELLI IMPRESA S.P.A.</t>
  </si>
  <si>
    <t>BA0507041</t>
  </si>
  <si>
    <t>INC SPA</t>
  </si>
  <si>
    <t>TO0797108</t>
  </si>
  <si>
    <t>SOCIETA' ITALIANA TRAFORO AUTOSTRADALE DEL FREJUS, SOCIETA' PER AZIONI CON LA SIGLA S.I.T.A.F. S.P.A.</t>
  </si>
  <si>
    <t>TO0313530</t>
  </si>
  <si>
    <t>40.</t>
  </si>
  <si>
    <t>G.D.L. S.P.A.</t>
  </si>
  <si>
    <t>TO1102436</t>
  </si>
  <si>
    <t>41.</t>
  </si>
  <si>
    <t>CEBAT S.P.A.</t>
  </si>
  <si>
    <t>RM1582878</t>
  </si>
  <si>
    <t>I.T.I. IMPRESA GENERALE S.P.A.</t>
  </si>
  <si>
    <t>MO0205158</t>
  </si>
  <si>
    <t>CBRE GWS S.R.L.</t>
  </si>
  <si>
    <t>MI1024282</t>
  </si>
  <si>
    <t>ACINQUE INNOVAZIONE S.R.L.</t>
  </si>
  <si>
    <t>MB2530050</t>
  </si>
  <si>
    <t>46.</t>
  </si>
  <si>
    <t>CITY GREEN LIGHT S.R.L.</t>
  </si>
  <si>
    <t>VI0353810</t>
  </si>
  <si>
    <t>EXA MP S.R.L.</t>
  </si>
  <si>
    <t>MI2115491</t>
  </si>
  <si>
    <t>DI VINCENZO DINO &amp; C. S.P.A.</t>
  </si>
  <si>
    <t>CH0092546</t>
  </si>
  <si>
    <t>49.</t>
  </si>
  <si>
    <t>DE SANCTIS - COSTRUZIONI S.P.A.</t>
  </si>
  <si>
    <t>RM1252979</t>
  </si>
  <si>
    <t>SOCIETA' DI PROGETTO AUTOSTRADA DIRETTA BRESCIA MILANO S.P.A. IN FORMA ABBREVIATA SOCIETA' DI PROGETTO BREBEMI S.P.A.</t>
  </si>
  <si>
    <t>BS0455412</t>
  </si>
  <si>
    <t>51.</t>
  </si>
  <si>
    <t>COSTRUZIONI EDILI BARALDINI QUIRINO S.P.A.</t>
  </si>
  <si>
    <t>MO0245608</t>
  </si>
  <si>
    <t>FS SISTEMI URBANI S.P.A.</t>
  </si>
  <si>
    <t>RM0962741</t>
  </si>
  <si>
    <t>55.</t>
  </si>
  <si>
    <t>VIANINI LAVORI - S.P.A</t>
  </si>
  <si>
    <t>RM0461019</t>
  </si>
  <si>
    <t>S.A.C. - SOCIETA' APPALTI COSTRUZIONI - SOCIETA' PER AZIONI</t>
  </si>
  <si>
    <t>RM0316382</t>
  </si>
  <si>
    <t>60.</t>
  </si>
  <si>
    <t>FINCOSIT S.R.L.</t>
  </si>
  <si>
    <t>GE0492894</t>
  </si>
  <si>
    <t>GAIA ENERGY S.R.L.</t>
  </si>
  <si>
    <t>CE0275244</t>
  </si>
  <si>
    <t>65.</t>
  </si>
  <si>
    <t>C.E.M.E.S. - S.P.A.</t>
  </si>
  <si>
    <t>PI0060926</t>
  </si>
  <si>
    <t>68.</t>
  </si>
  <si>
    <t>CRUCIANELLI REST/EDILE S.R.L.</t>
  </si>
  <si>
    <t>MC0091039</t>
  </si>
  <si>
    <t>71.</t>
  </si>
  <si>
    <t>CANTIERI ITALIANI S.R.L.</t>
  </si>
  <si>
    <t>PE0122233</t>
  </si>
  <si>
    <t>IMPRESA DI COSTRUZIONI ING. RAFFAELLO PELLEGRINI S.R.L. DENOMINAZIONE ABBREVIATA: IMPRESA PELLEGRINI S.R.L.</t>
  </si>
  <si>
    <t>CA0139717</t>
  </si>
  <si>
    <t>ECOIN S.P.A.</t>
  </si>
  <si>
    <t>CT0302862</t>
  </si>
  <si>
    <t>98.</t>
  </si>
  <si>
    <t>MEDINOK S.P.A.</t>
  </si>
  <si>
    <t>NA0640345</t>
  </si>
  <si>
    <t>IBIX CANTIERI SRL</t>
  </si>
  <si>
    <t>RA0221878</t>
  </si>
  <si>
    <t>109.</t>
  </si>
  <si>
    <t>GIUGGIA COSTRUZIONI SOCIETA' A RESPONSABILITA' LIMITATA</t>
  </si>
  <si>
    <t>CN0304953</t>
  </si>
  <si>
    <t>CO.GE.PA. S.P.A.</t>
  </si>
  <si>
    <t>NA0852502</t>
  </si>
  <si>
    <t>121.</t>
  </si>
  <si>
    <t>MASTER RETAIL S.R.L.</t>
  </si>
  <si>
    <t>MI2604354</t>
  </si>
  <si>
    <t>N &amp; C S.R.L.</t>
  </si>
  <si>
    <t>LE0133342</t>
  </si>
  <si>
    <t>137.</t>
  </si>
  <si>
    <t>ENERQOS ENERGY SOLUTIONS S.R.L.</t>
  </si>
  <si>
    <t>MI2071442</t>
  </si>
  <si>
    <t>140.</t>
  </si>
  <si>
    <t>OSPEDAL GRANDO S.P.A.</t>
  </si>
  <si>
    <t>PD0429967</t>
  </si>
  <si>
    <t>RDR S.P.A. SOCIETA' BENEFIT</t>
  </si>
  <si>
    <t>NA0311038</t>
  </si>
  <si>
    <t>150.</t>
  </si>
  <si>
    <t>SETTEN GENESIO S.P.A.</t>
  </si>
  <si>
    <t>TV0419386</t>
  </si>
  <si>
    <t>154.</t>
  </si>
  <si>
    <t>NUOVA GHIZZONI S.P.A.</t>
  </si>
  <si>
    <t>MT0085178</t>
  </si>
  <si>
    <t>PRIME GREEN SOLUTIONS BENEFIT S.P.A. O IN FORMA ABBREVIATA PRIME GREEN SOLUTIONS S.P.A. SB</t>
  </si>
  <si>
    <t>MI2600559</t>
  </si>
  <si>
    <t>158.</t>
  </si>
  <si>
    <t>A2A ILLUMINAZIONE PUBBLICA S.R.L.</t>
  </si>
  <si>
    <t>BS0567827</t>
  </si>
  <si>
    <t>GLOBALFER S.P.A.</t>
  </si>
  <si>
    <t>CE0225988</t>
  </si>
  <si>
    <t>IDROAMBIENTE S.R.L.</t>
  </si>
  <si>
    <t>NA0639713</t>
  </si>
  <si>
    <t>176.</t>
  </si>
  <si>
    <t>VITTADELLO S.P.A.</t>
  </si>
  <si>
    <t>PD0457913</t>
  </si>
  <si>
    <t>ELMET S.R.L.</t>
  </si>
  <si>
    <t>BG0456148</t>
  </si>
  <si>
    <t>192.</t>
  </si>
  <si>
    <t>TAS TECNOLOGICI ALLESTIMENTI SISTEMI S.R.L.</t>
  </si>
  <si>
    <t>CT0322938</t>
  </si>
  <si>
    <t>FRANCESCO FERRARA ACCARDI E FIGLI - S.R.L.</t>
  </si>
  <si>
    <t>CT0075751</t>
  </si>
  <si>
    <t>201.</t>
  </si>
  <si>
    <t>RITONNARO COSTRUZIONI - S.R.L.</t>
  </si>
  <si>
    <t>SA0143081</t>
  </si>
  <si>
    <t>IMPRESA MANCA - COSTRUZIONI GENERALI S.P.A. ABBREVITA IMPRESA MANCA S.P.A.</t>
  </si>
  <si>
    <t>CA0073714</t>
  </si>
  <si>
    <t>211.</t>
  </si>
  <si>
    <t>OPERAZIONE S.R.L.</t>
  </si>
  <si>
    <t>NA0809102</t>
  </si>
  <si>
    <t>322.</t>
  </si>
  <si>
    <t>EUROPEAN CONSTRUCTION COMPANY S.P.A.</t>
  </si>
  <si>
    <t>SR0158879</t>
  </si>
  <si>
    <t>545.</t>
  </si>
  <si>
    <t>UNICA S.P.A.</t>
  </si>
  <si>
    <t>NA0916760</t>
  </si>
  <si>
    <t>612.</t>
  </si>
  <si>
    <t>DARF S.R.L.</t>
  </si>
  <si>
    <t>NA0996001</t>
  </si>
  <si>
    <t>1223.</t>
  </si>
  <si>
    <t>VISIOTECH ITALIA S.R.L.</t>
  </si>
  <si>
    <t>MB2562767</t>
  </si>
  <si>
    <t>1299.</t>
  </si>
  <si>
    <t>LILLIU STEFANO S.R.L.</t>
  </si>
  <si>
    <t>CA0287025</t>
  </si>
  <si>
    <t>1442.</t>
  </si>
  <si>
    <t>VIPPELL S.R.L.</t>
  </si>
  <si>
    <t>CA0303599</t>
  </si>
  <si>
    <t>1566.</t>
  </si>
  <si>
    <t>TM SRL</t>
  </si>
  <si>
    <t>BS0575192</t>
  </si>
  <si>
    <t>1743.</t>
  </si>
  <si>
    <t>PATTARI SOCIETA' A RESPONSABILITA' LIMITATA</t>
  </si>
  <si>
    <t>TO1292173</t>
  </si>
  <si>
    <t>1818.</t>
  </si>
  <si>
    <t>ICOS S.R.L.</t>
  </si>
  <si>
    <t>BS0537959</t>
  </si>
  <si>
    <t>1903.</t>
  </si>
  <si>
    <t>DGL COSTRUZIONI S.R.L.</t>
  </si>
  <si>
    <t>PN0103487</t>
  </si>
  <si>
    <t>2003.</t>
  </si>
  <si>
    <t>AGILIS RAN S.R.L.</t>
  </si>
  <si>
    <t>AV0185773</t>
  </si>
  <si>
    <t>2055.</t>
  </si>
  <si>
    <t>TIDIEMME S.R.L.</t>
  </si>
  <si>
    <t>SO0065499</t>
  </si>
  <si>
    <t>2098.</t>
  </si>
  <si>
    <t>EDILWAY SRL</t>
  </si>
  <si>
    <t>VA0359763</t>
  </si>
  <si>
    <t>2178.</t>
  </si>
  <si>
    <t>PONTE S.R.L.</t>
  </si>
  <si>
    <t>CB0207547</t>
  </si>
  <si>
    <t>2199.</t>
  </si>
  <si>
    <t>GEMMA COSTRUZIONI SRL</t>
  </si>
  <si>
    <t>BS0522987</t>
  </si>
  <si>
    <t>2203.</t>
  </si>
  <si>
    <t>ISOLTERM SOCIETA' A RESPONSABILITA' LIMITATA</t>
  </si>
  <si>
    <t>MI2604882</t>
  </si>
  <si>
    <t>2263.</t>
  </si>
  <si>
    <t>LATT-DO S.R.L.</t>
  </si>
  <si>
    <t>BS0396751</t>
  </si>
  <si>
    <t>2408.</t>
  </si>
  <si>
    <t>EMIRONET S.R.L.</t>
  </si>
  <si>
    <t>PR0259712</t>
  </si>
  <si>
    <t>2465.</t>
  </si>
  <si>
    <t>ROMEO S.R.L.</t>
  </si>
  <si>
    <t>BA0565641</t>
  </si>
  <si>
    <t>2486.</t>
  </si>
  <si>
    <t>DE ANGELI COSTRUZIONI S.R.L.</t>
  </si>
  <si>
    <t>RE0284037</t>
  </si>
  <si>
    <t>2544.</t>
  </si>
  <si>
    <t>ISOLIN - ISOLAMENTI INDUSTRIALI - S.R.L.</t>
  </si>
  <si>
    <t>BO0227302</t>
  </si>
  <si>
    <t>2550.</t>
  </si>
  <si>
    <t>IMPRENORD S.R.L.</t>
  </si>
  <si>
    <t>BG0278974</t>
  </si>
  <si>
    <t>2620.</t>
  </si>
  <si>
    <t>OLMA SERVIZI S.R.L.</t>
  </si>
  <si>
    <t>CN0325561</t>
  </si>
  <si>
    <t>2723.</t>
  </si>
  <si>
    <t>ALBA COSTRUZIONI S.R.L. UNIPERSONALE</t>
  </si>
  <si>
    <t>AG0214464</t>
  </si>
  <si>
    <t>2857.</t>
  </si>
  <si>
    <t>IMPRESA MONTALI S.R.L.</t>
  </si>
  <si>
    <t>MI1632325</t>
  </si>
  <si>
    <t>2877.</t>
  </si>
  <si>
    <t>MAR.LENA S.R.L.</t>
  </si>
  <si>
    <t>TE0165293</t>
  </si>
  <si>
    <t>2959.</t>
  </si>
  <si>
    <t>COSTRUZIONI EDILI MINNOZZI SRL</t>
  </si>
  <si>
    <t>MC0150028</t>
  </si>
  <si>
    <t>2985.</t>
  </si>
  <si>
    <t>MA.RI.VA. IMMOBILIARE S.R.L.</t>
  </si>
  <si>
    <t>MI1966764</t>
  </si>
  <si>
    <t>3016.</t>
  </si>
  <si>
    <t>CLIMA AMICO S.R.L.</t>
  </si>
  <si>
    <t>VA0313275</t>
  </si>
  <si>
    <t>3033.</t>
  </si>
  <si>
    <t>GALLERIE SRL</t>
  </si>
  <si>
    <t>TE0156991</t>
  </si>
  <si>
    <t>3068.</t>
  </si>
  <si>
    <t>I.C.O.S. DI DEGANO S.R.L.</t>
  </si>
  <si>
    <t>UD0143146</t>
  </si>
  <si>
    <t>3074.</t>
  </si>
  <si>
    <t>SAIP S.R.L.</t>
  </si>
  <si>
    <t>RA0219468</t>
  </si>
  <si>
    <t>3075.</t>
  </si>
  <si>
    <t>DI PAOLO COSTRUZIONI S.R.L.</t>
  </si>
  <si>
    <t>TE0167683</t>
  </si>
  <si>
    <t>3090.</t>
  </si>
  <si>
    <t>GOITESE COSTRUZIONI S.R.L.</t>
  </si>
  <si>
    <t>MN0244554</t>
  </si>
  <si>
    <t>3114.</t>
  </si>
  <si>
    <t>ALSA COSTRUZIONI S.R.L.</t>
  </si>
  <si>
    <t>FE0212313</t>
  </si>
  <si>
    <t>3125.</t>
  </si>
  <si>
    <t>BONONIA SISTEMI IMPERMEABILI S.R.L.</t>
  </si>
  <si>
    <t>BO0516870</t>
  </si>
  <si>
    <t>3192.</t>
  </si>
  <si>
    <t>CGA APPALTI SOCIETA' A RESPONSABILITA' LIMITATA</t>
  </si>
  <si>
    <t>RM1297469</t>
  </si>
  <si>
    <t>3250.</t>
  </si>
  <si>
    <t>I.RES. S.R.L.</t>
  </si>
  <si>
    <t>RM0821441</t>
  </si>
  <si>
    <t>3255.</t>
  </si>
  <si>
    <t>GROSSELLE COSTRUZIONI S.R.L.</t>
  </si>
  <si>
    <t>PD0245122</t>
  </si>
  <si>
    <t>3336.</t>
  </si>
  <si>
    <t>V.I.P. GROUP SRL</t>
  </si>
  <si>
    <t>RM1674840</t>
  </si>
  <si>
    <t>3361.</t>
  </si>
  <si>
    <t>A &amp; A COSTRUZIONI EDILI S.R.L.</t>
  </si>
  <si>
    <t>FI0539956</t>
  </si>
  <si>
    <t>3366.</t>
  </si>
  <si>
    <t>NEW VERDE S.R.L.</t>
  </si>
  <si>
    <t>NA0725260</t>
  </si>
  <si>
    <t>3377.</t>
  </si>
  <si>
    <t>COSTRUZIONI BORDACCHINI ROMA S.R.L.</t>
  </si>
  <si>
    <t>RM0476512</t>
  </si>
  <si>
    <t>3419.</t>
  </si>
  <si>
    <t>RAVEL POWER S.R.L.</t>
  </si>
  <si>
    <t>UD0286367</t>
  </si>
  <si>
    <t>3446.</t>
  </si>
  <si>
    <t>INTERTECH S.R.L.</t>
  </si>
  <si>
    <t>LT0181773</t>
  </si>
  <si>
    <t>3471.</t>
  </si>
  <si>
    <t>DAL LAGO F.LLI S.R.L.</t>
  </si>
  <si>
    <t>VI0121679</t>
  </si>
  <si>
    <t>3590.</t>
  </si>
  <si>
    <t>3 ESSE S.R.L.</t>
  </si>
  <si>
    <t>SR0138342</t>
  </si>
  <si>
    <t>3750.</t>
  </si>
  <si>
    <t>KESOCOSTRUZIONI S.R.L. CON SOCIO UNICO</t>
  </si>
  <si>
    <t>RM1403588</t>
  </si>
  <si>
    <t>3881.</t>
  </si>
  <si>
    <t>EDILIZIA GORGOGLIONE S.R.L. DETTA IN SIGLA EDIL.GOR. S.R.L.</t>
  </si>
  <si>
    <t>BA0490190</t>
  </si>
  <si>
    <t>3928.</t>
  </si>
  <si>
    <t>EDIL PICO S.R.L.</t>
  </si>
  <si>
    <t>CS0196433</t>
  </si>
  <si>
    <t>3951.</t>
  </si>
  <si>
    <t>ATR COSTRUZIONI S.R.L.</t>
  </si>
  <si>
    <t>CS0211205</t>
  </si>
  <si>
    <t>4119.</t>
  </si>
  <si>
    <t>TELETTRA S.R.L.</t>
  </si>
  <si>
    <t>BN0115710</t>
  </si>
  <si>
    <t>4149.</t>
  </si>
  <si>
    <t>A2A S.R.L.</t>
  </si>
  <si>
    <t>CT0330213</t>
  </si>
  <si>
    <t>4164.</t>
  </si>
  <si>
    <t>B &amp; C S.R.L.</t>
  </si>
  <si>
    <t>MB1825599</t>
  </si>
  <si>
    <t>4199.</t>
  </si>
  <si>
    <t>AURORA 3 SERVIZI - SOCIETA' A RESPONSABILITA' LIMITATA</t>
  </si>
  <si>
    <t>RM1419569</t>
  </si>
  <si>
    <t>4220.</t>
  </si>
  <si>
    <t>IMELTEC S.R.L.</t>
  </si>
  <si>
    <t>NA0707644</t>
  </si>
  <si>
    <t>4362.</t>
  </si>
  <si>
    <t>M.TRE COSTRUZIONI S.R.L</t>
  </si>
  <si>
    <t>BS0614366</t>
  </si>
  <si>
    <t>4439.</t>
  </si>
  <si>
    <t>COMAN S.R.L.</t>
  </si>
  <si>
    <t>TN0242800</t>
  </si>
  <si>
    <t>4503.</t>
  </si>
  <si>
    <t>IMPRESA VALPOLICELLA SRL</t>
  </si>
  <si>
    <t>VR0420958</t>
  </si>
  <si>
    <t>4640.</t>
  </si>
  <si>
    <t>BLU EDILE S.R.L.</t>
  </si>
  <si>
    <t>MI2022633</t>
  </si>
  <si>
    <t>4679.</t>
  </si>
  <si>
    <t>EDILMATICA DEMOLIZIONI S.R.L.</t>
  </si>
  <si>
    <t>LT0201008</t>
  </si>
  <si>
    <t>4704.</t>
  </si>
  <si>
    <t>IANNOTTA S.R.L.</t>
  </si>
  <si>
    <t>LT0217030</t>
  </si>
  <si>
    <t>4897.</t>
  </si>
  <si>
    <t>EXIBIA S.R.L.</t>
  </si>
  <si>
    <t>BS0546243</t>
  </si>
  <si>
    <t>4935.</t>
  </si>
  <si>
    <t>SATEC IMPIANTI S.R.L.</t>
  </si>
  <si>
    <t>NA0882655</t>
  </si>
  <si>
    <t>5161.</t>
  </si>
  <si>
    <t>GIESSE COSTRUZIONI S.R.L.</t>
  </si>
  <si>
    <t>FR0198659</t>
  </si>
  <si>
    <t>5223.</t>
  </si>
  <si>
    <t>EUR TECNA S.R.L.</t>
  </si>
  <si>
    <t>RM1503874</t>
  </si>
  <si>
    <t>5308.</t>
  </si>
  <si>
    <t>C.M. COSTRUZIONI E MONTAGGI IMPIANTI ELETTRICI S.R.L.</t>
  </si>
  <si>
    <t>KR0181090</t>
  </si>
  <si>
    <t>5324.</t>
  </si>
  <si>
    <t>RENTAL SERVICES S.R.L.</t>
  </si>
  <si>
    <t>MI2677725</t>
  </si>
  <si>
    <t>5411.</t>
  </si>
  <si>
    <t>T.E.A. COSTRUZIONI GENERALI S.R.L.</t>
  </si>
  <si>
    <t>MI1908598</t>
  </si>
  <si>
    <t>5433.</t>
  </si>
  <si>
    <t>BETA SOCIETA' A RESPONSABILITA' LIMITATA</t>
  </si>
  <si>
    <t>BS0586430</t>
  </si>
  <si>
    <t>5775.</t>
  </si>
  <si>
    <t>SIS AUTOMATION SRL</t>
  </si>
  <si>
    <t>PV0276450</t>
  </si>
  <si>
    <t>5792.</t>
  </si>
  <si>
    <t>TI.PRO EDILIZIA SRL</t>
  </si>
  <si>
    <t>PG0311153</t>
  </si>
  <si>
    <t>6014.</t>
  </si>
  <si>
    <t>KTM SRL</t>
  </si>
  <si>
    <t>BS0578000</t>
  </si>
  <si>
    <t>6131.</t>
  </si>
  <si>
    <t>NEWEDIL DI DELCARRO ING. MATTEO - S.R.L.</t>
  </si>
  <si>
    <t>BG0450292</t>
  </si>
  <si>
    <t>6135.</t>
  </si>
  <si>
    <t>ARTERESTAURO S.R.L.</t>
  </si>
  <si>
    <t>CN0299879</t>
  </si>
  <si>
    <t>6231.</t>
  </si>
  <si>
    <t>MASTERS SRL</t>
  </si>
  <si>
    <t>MI2046773</t>
  </si>
  <si>
    <t>6259.</t>
  </si>
  <si>
    <t>GIDIEFFE APPALTI SOCIETA' A RESPONSABILITA' LIMITATA</t>
  </si>
  <si>
    <t>RM1491840</t>
  </si>
  <si>
    <t>6319.</t>
  </si>
  <si>
    <t>DESIGN CONTRACT SRL</t>
  </si>
  <si>
    <t>MN0249936</t>
  </si>
  <si>
    <t>6417.</t>
  </si>
  <si>
    <t>LA ROSA COSTRUZIONI S.R.L.</t>
  </si>
  <si>
    <t>VA0375215</t>
  </si>
  <si>
    <t>6559.</t>
  </si>
  <si>
    <t>A.D.O. S.R.L.</t>
  </si>
  <si>
    <t>NA0741450</t>
  </si>
  <si>
    <t>6723.</t>
  </si>
  <si>
    <t>ROMANA IMPIANTI 2008 S.R.L.</t>
  </si>
  <si>
    <t>RM1224408</t>
  </si>
  <si>
    <t>6806.</t>
  </si>
  <si>
    <t>GOLD IMPIANTI SRL</t>
  </si>
  <si>
    <t>MO0398471</t>
  </si>
  <si>
    <t>6827.</t>
  </si>
  <si>
    <t>NICOLA COPERTURE SRL</t>
  </si>
  <si>
    <t>VR0438089</t>
  </si>
  <si>
    <t>6951.</t>
  </si>
  <si>
    <t>CHE CASA COSTRUZIONI S.R.L.</t>
  </si>
  <si>
    <t>LU0204019</t>
  </si>
  <si>
    <t>6993.</t>
  </si>
  <si>
    <t>EDIL D'AGOSTINI S.R.L.</t>
  </si>
  <si>
    <t>FR0104420</t>
  </si>
  <si>
    <t>7154.</t>
  </si>
  <si>
    <t>FENICE RESTAURI S.R.L.</t>
  </si>
  <si>
    <t>NA0679532</t>
  </si>
  <si>
    <t>7204.</t>
  </si>
  <si>
    <t>LAVENETA SRL</t>
  </si>
  <si>
    <t>TV0368044</t>
  </si>
  <si>
    <t>7256.</t>
  </si>
  <si>
    <t>RES NOVA MANUTENZIONI S.R.L.</t>
  </si>
  <si>
    <t>RM1152698</t>
  </si>
  <si>
    <t>7487.</t>
  </si>
  <si>
    <t>E.C.I. ELETTRICA CIVILE INDUSTRIALE S.R.L.</t>
  </si>
  <si>
    <t>RM0836234</t>
  </si>
  <si>
    <t>7578.</t>
  </si>
  <si>
    <t>IMPIANTI ELETTRICI CIVILI INDUSTRIALI S.R.L. CON DENOMINAZIONE ABBREVIATA - I.E.C.I. S.R.L.</t>
  </si>
  <si>
    <t>CA0202183</t>
  </si>
  <si>
    <t>7708.</t>
  </si>
  <si>
    <t>ICEEL - S.R.L.</t>
  </si>
  <si>
    <t>RM1299045</t>
  </si>
  <si>
    <t>8061.</t>
  </si>
  <si>
    <t>CAPRI COSTRUZIONI S.R.L.</t>
  </si>
  <si>
    <t>NA0563652</t>
  </si>
  <si>
    <t>8277.</t>
  </si>
  <si>
    <t>COGET S.R.L.</t>
  </si>
  <si>
    <t>NA0886725</t>
  </si>
  <si>
    <t>8468.</t>
  </si>
  <si>
    <t>PITZUS GROUP COSTRUZIONI S.R.L.</t>
  </si>
  <si>
    <t>SS0184716</t>
  </si>
  <si>
    <t>8573.</t>
  </si>
  <si>
    <t>DIMENSIONE ECOCASA S.R.L.</t>
  </si>
  <si>
    <t>TV0373240</t>
  </si>
  <si>
    <t>8984.</t>
  </si>
  <si>
    <t>RINASCITA - SOCIETA' A REPONSABILITA' LIMITATA SEMPLIFICATA</t>
  </si>
  <si>
    <t>BS0588002</t>
  </si>
  <si>
    <t>9285.</t>
  </si>
  <si>
    <t>VALTERMO SRL</t>
  </si>
  <si>
    <t>VI0391343</t>
  </si>
  <si>
    <t>9638.</t>
  </si>
  <si>
    <t>DESSI' &amp; SIDDI BUILDING S.R.L.</t>
  </si>
  <si>
    <t>CA0286940</t>
  </si>
  <si>
    <t>9857.</t>
  </si>
  <si>
    <t>M.C.D. EDILIZIA SOCIETA' A RESPONSABILITA' LIMITATA SEMPLIFICATA</t>
  </si>
  <si>
    <t>FR0195130</t>
  </si>
  <si>
    <t>10088.</t>
  </si>
  <si>
    <t>ECODOMINA S.R.L.</t>
  </si>
  <si>
    <t>BR0154896</t>
  </si>
  <si>
    <t>10509.</t>
  </si>
  <si>
    <t>SUD COSTRUZIONI S.R.L.S. UNIPERSONALE</t>
  </si>
  <si>
    <t>RG0133430</t>
  </si>
  <si>
    <t>10652.</t>
  </si>
  <si>
    <t>RGF COSTRUZIONI S.R.L.</t>
  </si>
  <si>
    <t>SR0158302</t>
  </si>
  <si>
    <t>10893.</t>
  </si>
  <si>
    <t>IMMOBILIARE FUTURO S.R.L.</t>
  </si>
  <si>
    <t>MI1339702</t>
  </si>
  <si>
    <t>11063.</t>
  </si>
  <si>
    <t>DUEFFE COSTRUZIONI SRLS</t>
  </si>
  <si>
    <t>AR0200105</t>
  </si>
  <si>
    <t>11246.</t>
  </si>
  <si>
    <t>COSTRUZIONI CONTI S.R.L.</t>
  </si>
  <si>
    <t>LC0303167</t>
  </si>
  <si>
    <t>11970.</t>
  </si>
  <si>
    <t>CONTRACT STREAM SRL</t>
  </si>
  <si>
    <t>MI1921276</t>
  </si>
  <si>
    <t>12038.</t>
  </si>
  <si>
    <t>CIQUATTRO SERVIZI EDILI S.R.L.</t>
  </si>
  <si>
    <t>RM1446999</t>
  </si>
  <si>
    <t>12108.</t>
  </si>
  <si>
    <t>CASCASI ENERGY S.R.L.</t>
  </si>
  <si>
    <t>LO1475154</t>
  </si>
  <si>
    <t>12455.</t>
  </si>
  <si>
    <t>TEKNOPOSA S.R.L.</t>
  </si>
  <si>
    <t>SA0469418</t>
  </si>
  <si>
    <t>12582.</t>
  </si>
  <si>
    <t>FICHELE COSTRUZIONI S.R.L.</t>
  </si>
  <si>
    <t>TR0111668</t>
  </si>
  <si>
    <t>12694.</t>
  </si>
  <si>
    <t>GAMBRIOLI INTONACI S.R.L.</t>
  </si>
  <si>
    <t>PS0259221</t>
  </si>
  <si>
    <t>12779.</t>
  </si>
  <si>
    <t>LAITECH S.R.L.</t>
  </si>
  <si>
    <t>RM1512889</t>
  </si>
  <si>
    <t>13457.</t>
  </si>
  <si>
    <t>A.M.A. CARTONGESSO SRL</t>
  </si>
  <si>
    <t>PT0192863</t>
  </si>
  <si>
    <t>13462.</t>
  </si>
  <si>
    <t>TRASPORTI F.C. S.R.L.S.-SOCIETA' A RESPONSABILITA' LIMITATA SEMPLIFICATA</t>
  </si>
  <si>
    <t>NA0947701</t>
  </si>
  <si>
    <t>13474.</t>
  </si>
  <si>
    <t>CAPRA SOCIETA' A RESPONSABILITA' LIMITATA</t>
  </si>
  <si>
    <t>BA0622493</t>
  </si>
  <si>
    <t>13524.</t>
  </si>
  <si>
    <t>IMBIANCATURE E VERNICIATURE BIEFFE S.R.L.</t>
  </si>
  <si>
    <t>BG0254903</t>
  </si>
  <si>
    <t>13603.</t>
  </si>
  <si>
    <t>STEFANO VANZ S.R.L.</t>
  </si>
  <si>
    <t>BL0094882</t>
  </si>
  <si>
    <t>13689.</t>
  </si>
  <si>
    <t>LLAMBRO COSTRUZIONI S.R.L.</t>
  </si>
  <si>
    <t>NA0831816</t>
  </si>
  <si>
    <t>13876.</t>
  </si>
  <si>
    <t>GE.DE. IMPIANTI SOCIETA' A RESPONSABILITA' LIMITATA</t>
  </si>
  <si>
    <t>BA0568893</t>
  </si>
  <si>
    <t>14322.</t>
  </si>
  <si>
    <t>CODOGNO SRL</t>
  </si>
  <si>
    <t>PD0246707</t>
  </si>
  <si>
    <t>14585.</t>
  </si>
  <si>
    <t>SIETEC S.R.L.</t>
  </si>
  <si>
    <t>LT0189632</t>
  </si>
  <si>
    <t>14846.</t>
  </si>
  <si>
    <t>PIVA S.R.L.</t>
  </si>
  <si>
    <t>TV0229077</t>
  </si>
  <si>
    <t>15078.</t>
  </si>
  <si>
    <t>EDILFENICE S.R.L.</t>
  </si>
  <si>
    <t>PO0515597</t>
  </si>
  <si>
    <t>15152.</t>
  </si>
  <si>
    <t>EQUIPE S.R.L.</t>
  </si>
  <si>
    <t>LU0207754</t>
  </si>
  <si>
    <t>15405.</t>
  </si>
  <si>
    <t>GENIO - S.R.L.</t>
  </si>
  <si>
    <t>RM1137698</t>
  </si>
  <si>
    <t>15881.</t>
  </si>
  <si>
    <t>A.G.C.COSTRUZIONI SOCIETA' A RESPONSABILITA' LIMITATA</t>
  </si>
  <si>
    <t>RM0896298</t>
  </si>
  <si>
    <t>16300.</t>
  </si>
  <si>
    <t>EDIL GLOBAL S.R.L.</t>
  </si>
  <si>
    <t>CA0259211</t>
  </si>
  <si>
    <t>ROA</t>
  </si>
  <si>
    <t>EBITDAMatgin</t>
  </si>
  <si>
    <t>ROD</t>
  </si>
  <si>
    <t>CCN/tot.Attivo</t>
  </si>
  <si>
    <t>tot.Attivo/tot.Debiti</t>
  </si>
  <si>
    <t>tot.Debiti Breve/tot.Attivo</t>
  </si>
  <si>
    <t>Ind.Liq.Generale</t>
  </si>
  <si>
    <t>Ind.Indip.Fin.</t>
  </si>
  <si>
    <t>AC/tot.Debiti</t>
  </si>
  <si>
    <t>Rotazione CCN</t>
  </si>
  <si>
    <t>Default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</si>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</sst>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aset_definitiv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415"/>
  <sheetViews>
    <sheetView topLeftCell="W1" workbookViewId="0">
      <selection activeCell="AC1" sqref="AC1:AL1"/>
    </sheetView>
  </sheetViews>
  <sheetFormatPr defaultColWidth="11.5546875" defaultRowHeight="15"/>
  <cols>
    <col min="1" max="1" width="6.6640625" bestFit="1" customWidth="1"/>
    <col min="2" max="2" width="52.77734375" customWidth="1"/>
    <col min="3" max="3" width="26.77734375" bestFit="1" customWidth="1"/>
    <col min="4" max="4" width="17.6640625" bestFit="1" customWidth="1"/>
    <col min="5" max="5" width="13.6640625" bestFit="1" customWidth="1"/>
    <col min="6" max="6" width="19" bestFit="1" customWidth="1"/>
    <col min="7" max="7" width="11.77734375" bestFit="1" customWidth="1"/>
    <col min="8" max="8" width="18.109375" bestFit="1" customWidth="1"/>
    <col min="9" max="9" width="24" bestFit="1" customWidth="1"/>
    <col min="10" max="10" width="20.33203125" bestFit="1" customWidth="1"/>
    <col min="11" max="11" width="18.44140625" bestFit="1" customWidth="1"/>
    <col min="12" max="12" width="16.6640625" bestFit="1" customWidth="1"/>
    <col min="13" max="13" width="19.33203125" bestFit="1" customWidth="1"/>
    <col min="14" max="14" width="19.44140625" bestFit="1" customWidth="1"/>
    <col min="15" max="15" width="23.6640625" bestFit="1" customWidth="1"/>
    <col min="16" max="16" width="18" bestFit="1" customWidth="1"/>
    <col min="17" max="17" width="17.33203125" bestFit="1" customWidth="1"/>
    <col min="18" max="19" width="14.33203125" bestFit="1" customWidth="1"/>
    <col min="20" max="23" width="14" bestFit="1" customWidth="1"/>
    <col min="24" max="24" width="19.33203125" bestFit="1" customWidth="1"/>
    <col min="25" max="25" width="8.109375" bestFit="1" customWidth="1"/>
    <col min="26" max="26" width="10.109375" bestFit="1" customWidth="1"/>
    <col min="27" max="27" width="6.33203125" bestFit="1" customWidth="1"/>
    <col min="28" max="28" width="13.44140625" bestFit="1" customWidth="1"/>
    <col min="30" max="30" width="12.44140625" bestFit="1" customWidth="1"/>
    <col min="32" max="32" width="13.33203125" bestFit="1" customWidth="1"/>
    <col min="33" max="33" width="17.33203125" bestFit="1" customWidth="1"/>
    <col min="34" max="34" width="22.44140625" bestFit="1" customWidth="1"/>
    <col min="35" max="35" width="14.44140625" bestFit="1" customWidth="1"/>
    <col min="36" max="36" width="11.6640625" bestFit="1" customWidth="1"/>
    <col min="37" max="37" width="12" bestFit="1" customWidth="1"/>
    <col min="38" max="38" width="13.664062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1247</v>
      </c>
      <c r="AD1" s="3" t="s">
        <v>1248</v>
      </c>
      <c r="AE1" s="3" t="s">
        <v>1249</v>
      </c>
      <c r="AF1" s="4" t="s">
        <v>1250</v>
      </c>
      <c r="AG1" s="4" t="s">
        <v>1251</v>
      </c>
      <c r="AH1" s="4" t="s">
        <v>1252</v>
      </c>
      <c r="AI1" s="5" t="s">
        <v>1253</v>
      </c>
      <c r="AJ1" s="5" t="s">
        <v>1254</v>
      </c>
      <c r="AK1" s="5" t="s">
        <v>1255</v>
      </c>
      <c r="AL1" s="6" t="s">
        <v>1256</v>
      </c>
    </row>
    <row r="2" spans="1:38">
      <c r="A2" t="s">
        <v>28</v>
      </c>
      <c r="B2" t="s">
        <v>29</v>
      </c>
      <c r="C2" t="s">
        <v>30</v>
      </c>
      <c r="D2">
        <v>1074</v>
      </c>
      <c r="E2" t="s">
        <v>31</v>
      </c>
      <c r="F2">
        <v>-67598.107000000004</v>
      </c>
      <c r="G2">
        <v>-45311.983999999997</v>
      </c>
      <c r="H2">
        <v>567442.59600000002</v>
      </c>
      <c r="I2">
        <v>-52478.093999999997</v>
      </c>
      <c r="J2">
        <v>747937.38300000003</v>
      </c>
      <c r="K2">
        <v>218370.92300000001</v>
      </c>
      <c r="L2">
        <v>862750.91200000001</v>
      </c>
      <c r="M2">
        <v>-114813.52899999999</v>
      </c>
      <c r="N2">
        <v>-51006.868000000002</v>
      </c>
      <c r="O2">
        <v>134814.497</v>
      </c>
      <c r="P2">
        <v>0</v>
      </c>
      <c r="Q2">
        <v>33484.767999999996</v>
      </c>
      <c r="R2">
        <v>793972.22199999995</v>
      </c>
      <c r="S2">
        <v>862750.91200000001</v>
      </c>
      <c r="T2">
        <v>892116.90399999998</v>
      </c>
      <c r="U2">
        <v>844755.52899999998</v>
      </c>
      <c r="V2">
        <v>772974.51800000004</v>
      </c>
      <c r="W2">
        <v>759704.78099999996</v>
      </c>
      <c r="X2">
        <v>-5.8824234542247798E-2</v>
      </c>
      <c r="Y2">
        <v>4</v>
      </c>
      <c r="Z2" t="s">
        <v>32</v>
      </c>
      <c r="AA2" t="s">
        <v>33</v>
      </c>
      <c r="AB2" t="s">
        <v>34</v>
      </c>
      <c r="AC2" s="7">
        <f>F2/((T2+U2)/2)</f>
        <v>-7.7838885246444584E-2</v>
      </c>
      <c r="AD2" s="8">
        <f>G2/H2</f>
        <v>-7.9852983049584089E-2</v>
      </c>
      <c r="AE2" s="9">
        <f>Q2/((R2+S2)/2)</f>
        <v>4.0422889392694381E-2</v>
      </c>
      <c r="AF2" s="8">
        <f>M2/T2</f>
        <v>-0.12869785168872891</v>
      </c>
      <c r="AG2" s="8">
        <f>T2/S2</f>
        <v>1.0340376249871759</v>
      </c>
      <c r="AH2" s="8">
        <f>L2/T2</f>
        <v>0.96708279837728539</v>
      </c>
      <c r="AI2" s="8">
        <f>J2/L2</f>
        <v>0.86692157909883494</v>
      </c>
      <c r="AJ2" s="8">
        <f>I2/T2</f>
        <v>-5.882423454224784E-2</v>
      </c>
      <c r="AK2" s="8">
        <f>J2/S2</f>
        <v>0.86692157909883494</v>
      </c>
      <c r="AL2" s="8">
        <f>H2/M2</f>
        <v>-4.9422973141083402</v>
      </c>
    </row>
    <row r="3" spans="1:38">
      <c r="A3" t="s">
        <v>35</v>
      </c>
      <c r="B3" t="s">
        <v>36</v>
      </c>
      <c r="C3" t="s">
        <v>37</v>
      </c>
      <c r="D3">
        <v>7</v>
      </c>
      <c r="E3" t="s">
        <v>38</v>
      </c>
      <c r="F3">
        <v>-958.05200000000002</v>
      </c>
      <c r="G3">
        <v>1173.192</v>
      </c>
      <c r="H3">
        <v>9333.8709999999992</v>
      </c>
      <c r="I3">
        <v>11065.359</v>
      </c>
      <c r="J3">
        <v>196139.08600000001</v>
      </c>
      <c r="K3">
        <v>190300.166</v>
      </c>
      <c r="L3">
        <v>55629.661999999997</v>
      </c>
      <c r="M3">
        <v>140509.424</v>
      </c>
      <c r="N3">
        <v>-832.82399999999996</v>
      </c>
      <c r="O3">
        <v>398.04199999999997</v>
      </c>
      <c r="P3">
        <v>128940.137</v>
      </c>
      <c r="Q3">
        <v>1843.1980000000001</v>
      </c>
      <c r="R3">
        <v>197558.693</v>
      </c>
      <c r="S3">
        <v>184569.799</v>
      </c>
      <c r="T3">
        <v>196832.03700000001</v>
      </c>
      <c r="U3">
        <v>196716.038</v>
      </c>
      <c r="V3">
        <v>202949.34899999999</v>
      </c>
      <c r="W3">
        <v>203904.96400000001</v>
      </c>
      <c r="X3">
        <v>5.6217266094746601E-2</v>
      </c>
      <c r="Y3">
        <v>4</v>
      </c>
      <c r="Z3" t="s">
        <v>39</v>
      </c>
      <c r="AA3" t="s">
        <v>33</v>
      </c>
      <c r="AB3" t="s">
        <v>34</v>
      </c>
      <c r="AC3" s="7">
        <f t="shared" ref="AC3:AC66" si="0">F3/((T3+U3)/2)</f>
        <v>-4.8687927135712709E-3</v>
      </c>
      <c r="AD3" s="8">
        <f t="shared" ref="AD3:AD66" si="1">G3/H3</f>
        <v>0.12569190210578227</v>
      </c>
      <c r="AE3" s="9">
        <f t="shared" ref="AE3:AE66" si="2">Q3/((R3+S3)/2)</f>
        <v>9.6470063792050351E-3</v>
      </c>
      <c r="AF3" s="8">
        <f t="shared" ref="AF3:AF66" si="3">M3/T3</f>
        <v>0.71385444230300776</v>
      </c>
      <c r="AG3" s="8">
        <f t="shared" ref="AG3:AG66" si="4">T3/S3</f>
        <v>1.0664368605613532</v>
      </c>
      <c r="AH3" s="8">
        <f t="shared" ref="AH3:AH66" si="5">L3/T3</f>
        <v>0.28262503832137853</v>
      </c>
      <c r="AI3" s="8">
        <f t="shared" ref="AI3:AI66" si="6">J3/L3</f>
        <v>3.5258004263984208</v>
      </c>
      <c r="AJ3" s="8">
        <f t="shared" ref="AJ3:AJ66" si="7">I3/T3</f>
        <v>5.621726609474656E-2</v>
      </c>
      <c r="AK3" s="8">
        <f t="shared" ref="AK3:AK66" si="8">J3/S3</f>
        <v>1.0626824489308786</v>
      </c>
      <c r="AL3" s="8">
        <f t="shared" ref="AL3:AL66" si="9">H3/M3</f>
        <v>6.6428789858251777E-2</v>
      </c>
    </row>
    <row r="4" spans="1:38">
      <c r="A4" t="s">
        <v>40</v>
      </c>
      <c r="B4" t="s">
        <v>41</v>
      </c>
      <c r="C4" t="s">
        <v>42</v>
      </c>
      <c r="D4">
        <v>15</v>
      </c>
      <c r="E4" t="s">
        <v>43</v>
      </c>
      <c r="F4">
        <v>-4767.3710000000001</v>
      </c>
      <c r="G4">
        <v>-3169.288</v>
      </c>
      <c r="H4">
        <v>39723.186000000002</v>
      </c>
      <c r="I4">
        <v>-1417.58</v>
      </c>
      <c r="J4">
        <v>136791.39799999999</v>
      </c>
      <c r="K4">
        <v>126484.94100000001</v>
      </c>
      <c r="L4">
        <v>124928.925</v>
      </c>
      <c r="M4">
        <v>11862.473</v>
      </c>
      <c r="N4">
        <v>-3622.7890000000002</v>
      </c>
      <c r="O4">
        <v>123.107</v>
      </c>
      <c r="P4">
        <v>480.88200000000001</v>
      </c>
      <c r="Q4">
        <v>39.42</v>
      </c>
      <c r="R4">
        <v>165005.391</v>
      </c>
      <c r="S4">
        <v>125409.807</v>
      </c>
      <c r="T4">
        <v>136941.50399999999</v>
      </c>
      <c r="U4">
        <v>181300.894</v>
      </c>
      <c r="V4">
        <v>184123.47500000001</v>
      </c>
      <c r="W4">
        <v>210583.40700000001</v>
      </c>
      <c r="X4">
        <v>-1.0351719227503201E-2</v>
      </c>
      <c r="Y4">
        <v>4</v>
      </c>
      <c r="Z4" t="s">
        <v>44</v>
      </c>
      <c r="AA4" t="s">
        <v>33</v>
      </c>
      <c r="AB4" t="s">
        <v>34</v>
      </c>
      <c r="AC4" s="7">
        <f t="shared" si="0"/>
        <v>-2.9960627684812759E-2</v>
      </c>
      <c r="AD4" s="8">
        <f t="shared" si="1"/>
        <v>-7.9784335526359842E-2</v>
      </c>
      <c r="AE4" s="9">
        <f t="shared" si="2"/>
        <v>2.7147339582414006E-4</v>
      </c>
      <c r="AF4" s="8">
        <f t="shared" si="3"/>
        <v>8.6624380874333037E-2</v>
      </c>
      <c r="AG4" s="8">
        <f t="shared" si="4"/>
        <v>1.0919521150367451</v>
      </c>
      <c r="AH4" s="8">
        <f t="shared" si="5"/>
        <v>0.91227948686761917</v>
      </c>
      <c r="AI4" s="8">
        <f t="shared" si="6"/>
        <v>1.0949537747163036</v>
      </c>
      <c r="AJ4" s="8">
        <f t="shared" si="7"/>
        <v>-1.0351719227503154E-2</v>
      </c>
      <c r="AK4" s="8">
        <f t="shared" si="8"/>
        <v>1.0907551910992095</v>
      </c>
      <c r="AL4" s="8">
        <f t="shared" si="9"/>
        <v>3.3486429010207233</v>
      </c>
    </row>
    <row r="5" spans="1:38">
      <c r="A5" t="s">
        <v>45</v>
      </c>
      <c r="B5" t="s">
        <v>46</v>
      </c>
      <c r="C5" t="s">
        <v>47</v>
      </c>
      <c r="D5">
        <v>153</v>
      </c>
      <c r="E5" t="s">
        <v>48</v>
      </c>
      <c r="F5">
        <v>-15396.26</v>
      </c>
      <c r="G5">
        <v>-12261.766</v>
      </c>
      <c r="H5">
        <v>85008.84</v>
      </c>
      <c r="I5">
        <v>-10430.352999999999</v>
      </c>
      <c r="J5">
        <v>107752.243</v>
      </c>
      <c r="K5">
        <v>68371.880999999994</v>
      </c>
      <c r="L5">
        <v>112978.806</v>
      </c>
      <c r="M5">
        <v>-5226.5630000000001</v>
      </c>
      <c r="N5">
        <v>-12731.326999999999</v>
      </c>
      <c r="O5">
        <v>1061.3810000000001</v>
      </c>
      <c r="P5">
        <v>3.496</v>
      </c>
      <c r="Q5">
        <v>464.93900000000002</v>
      </c>
      <c r="R5">
        <v>123120.63400000001</v>
      </c>
      <c r="S5">
        <v>112982.302</v>
      </c>
      <c r="T5">
        <v>108813.624</v>
      </c>
      <c r="U5">
        <v>124964.156</v>
      </c>
      <c r="V5">
        <v>139026.64199999999</v>
      </c>
      <c r="W5">
        <v>121461.235</v>
      </c>
      <c r="X5">
        <v>-9.5855212027493905E-2</v>
      </c>
      <c r="Y5">
        <v>4</v>
      </c>
      <c r="Z5" t="s">
        <v>32</v>
      </c>
      <c r="AA5" t="s">
        <v>33</v>
      </c>
      <c r="AB5" t="s">
        <v>34</v>
      </c>
      <c r="AC5" s="7">
        <f t="shared" si="0"/>
        <v>-0.13171705197987593</v>
      </c>
      <c r="AD5" s="8">
        <f t="shared" si="1"/>
        <v>-0.14424106951700552</v>
      </c>
      <c r="AE5" s="9">
        <f t="shared" si="2"/>
        <v>3.9384431881863595E-3</v>
      </c>
      <c r="AF5" s="8">
        <f t="shared" si="3"/>
        <v>-4.8032248241268026E-2</v>
      </c>
      <c r="AG5" s="8">
        <f t="shared" si="4"/>
        <v>0.96310326550082148</v>
      </c>
      <c r="AH5" s="8">
        <f t="shared" si="5"/>
        <v>1.0382781295842145</v>
      </c>
      <c r="AI5" s="8">
        <f t="shared" si="6"/>
        <v>0.95373855340620262</v>
      </c>
      <c r="AJ5" s="8">
        <f t="shared" si="7"/>
        <v>-9.5855212027493905E-2</v>
      </c>
      <c r="AK5" s="8">
        <f t="shared" si="8"/>
        <v>0.95370904197013096</v>
      </c>
      <c r="AL5" s="8">
        <f t="shared" si="9"/>
        <v>-16.264769026987715</v>
      </c>
    </row>
    <row r="6" spans="1:38">
      <c r="A6" t="s">
        <v>49</v>
      </c>
      <c r="B6" t="s">
        <v>50</v>
      </c>
      <c r="C6" t="s">
        <v>51</v>
      </c>
      <c r="D6">
        <v>114</v>
      </c>
      <c r="E6" t="s">
        <v>52</v>
      </c>
      <c r="F6">
        <v>-49013.315999999999</v>
      </c>
      <c r="G6">
        <v>-21681.666000000001</v>
      </c>
      <c r="H6">
        <v>31119.108</v>
      </c>
      <c r="I6">
        <v>-23385.627</v>
      </c>
      <c r="J6">
        <v>33632.326999999997</v>
      </c>
      <c r="K6">
        <v>22363.202000000001</v>
      </c>
      <c r="L6">
        <v>49919.402000000002</v>
      </c>
      <c r="M6">
        <v>-16287.075000000001</v>
      </c>
      <c r="N6">
        <v>-22852.144</v>
      </c>
      <c r="O6">
        <v>16476.491000000002</v>
      </c>
      <c r="P6">
        <v>9345.5810000000001</v>
      </c>
      <c r="Q6">
        <v>496.35199999999998</v>
      </c>
      <c r="R6">
        <v>58834.400999999998</v>
      </c>
      <c r="S6">
        <v>59264.983</v>
      </c>
      <c r="T6">
        <v>50653.607000000004</v>
      </c>
      <c r="U6">
        <v>85731.62</v>
      </c>
      <c r="V6">
        <v>31997.062999999998</v>
      </c>
      <c r="W6">
        <v>25123.643</v>
      </c>
      <c r="X6">
        <v>-0.46167742802600398</v>
      </c>
      <c r="Y6">
        <v>4</v>
      </c>
      <c r="Z6" t="s">
        <v>39</v>
      </c>
      <c r="AA6" t="s">
        <v>33</v>
      </c>
      <c r="AB6" t="s">
        <v>34</v>
      </c>
      <c r="AC6" s="7">
        <f t="shared" si="0"/>
        <v>-0.71874816764428595</v>
      </c>
      <c r="AD6" s="8">
        <f t="shared" si="1"/>
        <v>-0.69673160297525238</v>
      </c>
      <c r="AE6" s="9">
        <f t="shared" si="2"/>
        <v>8.4056661972089549E-3</v>
      </c>
      <c r="AF6" s="8">
        <f t="shared" si="3"/>
        <v>-0.32153830624539731</v>
      </c>
      <c r="AG6" s="8">
        <f t="shared" si="4"/>
        <v>0.85469706453809335</v>
      </c>
      <c r="AH6" s="8">
        <f t="shared" si="5"/>
        <v>0.98550537575734731</v>
      </c>
      <c r="AI6" s="8">
        <f t="shared" si="6"/>
        <v>0.67373256995346209</v>
      </c>
      <c r="AJ6" s="8">
        <f t="shared" si="7"/>
        <v>-0.46167742802600414</v>
      </c>
      <c r="AK6" s="8">
        <f t="shared" si="8"/>
        <v>0.56749070526182377</v>
      </c>
      <c r="AL6" s="8">
        <f t="shared" si="9"/>
        <v>-1.9106627801492901</v>
      </c>
    </row>
    <row r="7" spans="1:38">
      <c r="A7" t="s">
        <v>53</v>
      </c>
      <c r="B7" t="s">
        <v>54</v>
      </c>
      <c r="C7" t="s">
        <v>55</v>
      </c>
      <c r="D7">
        <v>0</v>
      </c>
      <c r="E7" t="s">
        <v>56</v>
      </c>
      <c r="F7">
        <v>-749.40499999999997</v>
      </c>
      <c r="G7">
        <v>1255.075</v>
      </c>
      <c r="H7">
        <v>1618.5360000000001</v>
      </c>
      <c r="I7">
        <v>2559.2730000000001</v>
      </c>
      <c r="J7">
        <v>5687.7839999999997</v>
      </c>
      <c r="K7">
        <v>0</v>
      </c>
      <c r="L7">
        <v>37884.817000000003</v>
      </c>
      <c r="M7">
        <v>-32197.032999999999</v>
      </c>
      <c r="N7">
        <v>304.41699999999997</v>
      </c>
      <c r="O7">
        <v>38763.578000000001</v>
      </c>
      <c r="P7">
        <v>0</v>
      </c>
      <c r="Q7">
        <v>942.43100000000004</v>
      </c>
      <c r="R7">
        <v>37366.163999999997</v>
      </c>
      <c r="S7">
        <v>37884.817000000003</v>
      </c>
      <c r="T7">
        <v>44451.362000000001</v>
      </c>
      <c r="U7">
        <v>44918.307999999997</v>
      </c>
      <c r="V7">
        <v>45910.989000000001</v>
      </c>
      <c r="W7">
        <v>46122.690999999999</v>
      </c>
      <c r="X7">
        <v>5.7574681288730799E-2</v>
      </c>
      <c r="Y7">
        <v>4</v>
      </c>
      <c r="Z7" t="s">
        <v>57</v>
      </c>
      <c r="AA7" t="s">
        <v>33</v>
      </c>
      <c r="AB7" t="s">
        <v>34</v>
      </c>
      <c r="AC7" s="7">
        <f t="shared" si="0"/>
        <v>-1.6770902253527398E-2</v>
      </c>
      <c r="AD7" s="8">
        <f t="shared" si="1"/>
        <v>0.77543842089394366</v>
      </c>
      <c r="AE7" s="9">
        <f t="shared" si="2"/>
        <v>2.5047673464881477E-2</v>
      </c>
      <c r="AF7" s="8">
        <f t="shared" si="3"/>
        <v>-0.72432050563490047</v>
      </c>
      <c r="AG7" s="8">
        <f t="shared" si="4"/>
        <v>1.1733291993993267</v>
      </c>
      <c r="AH7" s="8">
        <f t="shared" si="5"/>
        <v>0.85227573004399737</v>
      </c>
      <c r="AI7" s="8">
        <f t="shared" si="6"/>
        <v>0.15013360101488676</v>
      </c>
      <c r="AJ7" s="8">
        <f t="shared" si="7"/>
        <v>5.757468128873082E-2</v>
      </c>
      <c r="AK7" s="8">
        <f t="shared" si="8"/>
        <v>0.15013360101488676</v>
      </c>
      <c r="AL7" s="8">
        <f t="shared" si="9"/>
        <v>-5.0269725163806248E-2</v>
      </c>
    </row>
    <row r="8" spans="1:38">
      <c r="A8" t="s">
        <v>58</v>
      </c>
      <c r="B8" t="s">
        <v>59</v>
      </c>
      <c r="C8" t="s">
        <v>60</v>
      </c>
      <c r="D8">
        <v>0</v>
      </c>
      <c r="E8" t="s">
        <v>61</v>
      </c>
      <c r="F8">
        <v>-57.978999999999999</v>
      </c>
      <c r="G8">
        <v>-7.95</v>
      </c>
      <c r="H8">
        <v>207.65899999999999</v>
      </c>
      <c r="I8">
        <v>-291.01900000000001</v>
      </c>
      <c r="J8">
        <v>32933.798999999999</v>
      </c>
      <c r="K8">
        <v>29679.904999999999</v>
      </c>
      <c r="L8">
        <v>11826.547</v>
      </c>
      <c r="M8">
        <v>21107.252</v>
      </c>
      <c r="N8">
        <v>-57.679000000000002</v>
      </c>
      <c r="O8">
        <v>0.93100000000000005</v>
      </c>
      <c r="P8">
        <v>20475.47</v>
      </c>
      <c r="Q8">
        <v>49.048999999999999</v>
      </c>
      <c r="R8">
        <v>32174.789000000001</v>
      </c>
      <c r="S8">
        <v>32302.017</v>
      </c>
      <c r="T8">
        <v>32934.730000000003</v>
      </c>
      <c r="U8">
        <v>32865.483999999997</v>
      </c>
      <c r="V8">
        <v>33359.247000000003</v>
      </c>
      <c r="W8">
        <v>32747.284</v>
      </c>
      <c r="X8">
        <v>-8.8362345766915297E-3</v>
      </c>
      <c r="Y8">
        <v>4</v>
      </c>
      <c r="Z8" t="s">
        <v>62</v>
      </c>
      <c r="AA8" t="s">
        <v>33</v>
      </c>
      <c r="AB8" t="s">
        <v>34</v>
      </c>
      <c r="AC8" s="7">
        <f t="shared" si="0"/>
        <v>-1.7622739038508292E-3</v>
      </c>
      <c r="AD8" s="8">
        <f t="shared" si="1"/>
        <v>-3.8283917383787849E-2</v>
      </c>
      <c r="AE8" s="9">
        <f t="shared" si="2"/>
        <v>1.5214463321895938E-3</v>
      </c>
      <c r="AF8" s="8">
        <f t="shared" si="3"/>
        <v>0.64088128246383069</v>
      </c>
      <c r="AG8" s="8">
        <f t="shared" si="4"/>
        <v>1.0195874146187218</v>
      </c>
      <c r="AH8" s="8">
        <f t="shared" si="5"/>
        <v>0.35909044950421637</v>
      </c>
      <c r="AI8" s="8">
        <f t="shared" si="6"/>
        <v>2.7847349695562023</v>
      </c>
      <c r="AJ8" s="8">
        <f t="shared" si="7"/>
        <v>-8.8362345766915349E-3</v>
      </c>
      <c r="AK8" s="8">
        <f t="shared" si="8"/>
        <v>1.0195585928891067</v>
      </c>
      <c r="AL8" s="8">
        <f t="shared" si="9"/>
        <v>9.8382773844743025E-3</v>
      </c>
    </row>
    <row r="9" spans="1:38">
      <c r="A9" t="s">
        <v>63</v>
      </c>
      <c r="B9" t="s">
        <v>64</v>
      </c>
      <c r="C9" t="s">
        <v>65</v>
      </c>
      <c r="D9">
        <v>373</v>
      </c>
      <c r="E9" t="s">
        <v>66</v>
      </c>
      <c r="F9">
        <v>-1802.8130000000001</v>
      </c>
      <c r="G9">
        <v>-1441.1120000000001</v>
      </c>
      <c r="H9">
        <v>17660.198</v>
      </c>
      <c r="I9">
        <v>6991.9620000000004</v>
      </c>
      <c r="J9">
        <v>26438.055</v>
      </c>
      <c r="K9">
        <v>4251.6310000000003</v>
      </c>
      <c r="L9">
        <v>17894.087</v>
      </c>
      <c r="M9">
        <v>8543.9680000000008</v>
      </c>
      <c r="N9">
        <v>-1549.482</v>
      </c>
      <c r="O9">
        <v>1273.665</v>
      </c>
      <c r="P9">
        <v>2925.6990000000001</v>
      </c>
      <c r="Q9">
        <v>108.37</v>
      </c>
      <c r="R9">
        <v>9370.5679999999993</v>
      </c>
      <c r="S9">
        <v>20819.786</v>
      </c>
      <c r="T9">
        <v>28428.225999999999</v>
      </c>
      <c r="U9">
        <v>23474.704000000002</v>
      </c>
      <c r="V9">
        <v>18142.018</v>
      </c>
      <c r="W9">
        <v>22351.746999999999</v>
      </c>
      <c r="X9">
        <v>0.245951400555209</v>
      </c>
      <c r="Y9">
        <v>4</v>
      </c>
      <c r="Z9" t="s">
        <v>62</v>
      </c>
      <c r="AA9" t="s">
        <v>33</v>
      </c>
      <c r="AB9" t="s">
        <v>34</v>
      </c>
      <c r="AC9" s="7">
        <f t="shared" si="0"/>
        <v>-6.9468640787716612E-2</v>
      </c>
      <c r="AD9" s="8">
        <f t="shared" si="1"/>
        <v>-8.1602256101545409E-2</v>
      </c>
      <c r="AE9" s="9">
        <f t="shared" si="2"/>
        <v>7.1791142296642168E-3</v>
      </c>
      <c r="AF9" s="8">
        <f t="shared" si="3"/>
        <v>0.30054523979090364</v>
      </c>
      <c r="AG9" s="8">
        <f t="shared" si="4"/>
        <v>1.3654427571926051</v>
      </c>
      <c r="AH9" s="8">
        <f t="shared" si="5"/>
        <v>0.62944789449753213</v>
      </c>
      <c r="AI9" s="8">
        <f t="shared" si="6"/>
        <v>1.4774743746355989</v>
      </c>
      <c r="AJ9" s="8">
        <f t="shared" si="7"/>
        <v>0.24595140055520878</v>
      </c>
      <c r="AK9" s="8">
        <f t="shared" si="8"/>
        <v>1.2698523894529943</v>
      </c>
      <c r="AL9" s="8">
        <f t="shared" si="9"/>
        <v>2.0669784811928134</v>
      </c>
    </row>
    <row r="10" spans="1:38">
      <c r="A10" t="s">
        <v>67</v>
      </c>
      <c r="B10" t="s">
        <v>68</v>
      </c>
      <c r="C10" t="s">
        <v>69</v>
      </c>
      <c r="D10">
        <v>36</v>
      </c>
      <c r="E10" t="s">
        <v>70</v>
      </c>
      <c r="F10">
        <v>-7971.0889999999999</v>
      </c>
      <c r="G10">
        <v>-4038.0250000000001</v>
      </c>
      <c r="H10">
        <v>16585.407999999999</v>
      </c>
      <c r="I10">
        <v>207.15700000000001</v>
      </c>
      <c r="J10">
        <v>18639.55</v>
      </c>
      <c r="K10">
        <v>14749.959000000001</v>
      </c>
      <c r="L10">
        <v>18220.425999999999</v>
      </c>
      <c r="M10">
        <v>419.12400000000002</v>
      </c>
      <c r="N10">
        <v>-7950.3810000000003</v>
      </c>
      <c r="O10">
        <v>7254.8209999999999</v>
      </c>
      <c r="P10">
        <v>5941.1580000000004</v>
      </c>
      <c r="Q10">
        <v>1048.1179999999999</v>
      </c>
      <c r="R10">
        <v>25955.776000000002</v>
      </c>
      <c r="S10">
        <v>24161.583999999999</v>
      </c>
      <c r="T10">
        <v>25945.471000000001</v>
      </c>
      <c r="U10">
        <v>35371.366000000002</v>
      </c>
      <c r="V10">
        <v>34632.154000000002</v>
      </c>
      <c r="W10">
        <v>34741.402999999998</v>
      </c>
      <c r="X10">
        <v>7.9843221963478705E-3</v>
      </c>
      <c r="Y10">
        <v>4</v>
      </c>
      <c r="Z10" t="s">
        <v>39</v>
      </c>
      <c r="AA10" t="s">
        <v>33</v>
      </c>
      <c r="AB10" t="s">
        <v>34</v>
      </c>
      <c r="AC10" s="7">
        <f t="shared" si="0"/>
        <v>-0.259996744450468</v>
      </c>
      <c r="AD10" s="8">
        <f t="shared" si="1"/>
        <v>-0.24346853571525043</v>
      </c>
      <c r="AE10" s="9">
        <f t="shared" si="2"/>
        <v>4.1826544734199882E-2</v>
      </c>
      <c r="AF10" s="8">
        <f t="shared" si="3"/>
        <v>1.6154033202943202E-2</v>
      </c>
      <c r="AG10" s="8">
        <f t="shared" si="4"/>
        <v>1.0738315418393101</v>
      </c>
      <c r="AH10" s="8">
        <f t="shared" si="5"/>
        <v>0.7022584404037221</v>
      </c>
      <c r="AI10" s="8">
        <f t="shared" si="6"/>
        <v>1.0230029747932348</v>
      </c>
      <c r="AJ10" s="8">
        <f t="shared" si="7"/>
        <v>7.9843221963478705E-3</v>
      </c>
      <c r="AK10" s="8">
        <f t="shared" si="8"/>
        <v>0.7714539742096379</v>
      </c>
      <c r="AL10" s="8">
        <f t="shared" si="9"/>
        <v>39.571601721686179</v>
      </c>
    </row>
    <row r="11" spans="1:38">
      <c r="A11" t="s">
        <v>71</v>
      </c>
      <c r="B11" t="s">
        <v>72</v>
      </c>
      <c r="C11" t="s">
        <v>73</v>
      </c>
      <c r="D11">
        <v>24</v>
      </c>
      <c r="E11" t="s">
        <v>74</v>
      </c>
      <c r="F11">
        <v>-12599.476000000001</v>
      </c>
      <c r="G11">
        <v>-12578.370999999999</v>
      </c>
      <c r="H11">
        <v>520.24</v>
      </c>
      <c r="I11">
        <v>-14103.718999999999</v>
      </c>
      <c r="J11">
        <v>16541.526000000002</v>
      </c>
      <c r="K11">
        <v>10079.579</v>
      </c>
      <c r="L11">
        <v>645.50400000000002</v>
      </c>
      <c r="M11">
        <v>15896.022000000001</v>
      </c>
      <c r="N11">
        <v>-12598.866</v>
      </c>
      <c r="O11">
        <v>2714.86</v>
      </c>
      <c r="P11">
        <v>26877.263999999999</v>
      </c>
      <c r="Q11">
        <v>20.518000000000001</v>
      </c>
      <c r="R11">
        <v>26613.53</v>
      </c>
      <c r="S11">
        <v>27522.768</v>
      </c>
      <c r="T11">
        <v>19256.417000000001</v>
      </c>
      <c r="U11">
        <v>26752.236000000001</v>
      </c>
      <c r="V11">
        <v>27314.885999999999</v>
      </c>
      <c r="W11">
        <v>29534.960999999999</v>
      </c>
      <c r="X11">
        <v>-0.73241657573161201</v>
      </c>
      <c r="Y11">
        <v>4</v>
      </c>
      <c r="Z11" t="s">
        <v>44</v>
      </c>
      <c r="AA11" t="s">
        <v>33</v>
      </c>
      <c r="AB11" t="s">
        <v>34</v>
      </c>
      <c r="AC11" s="7">
        <f t="shared" si="0"/>
        <v>-0.54770027716308056</v>
      </c>
      <c r="AD11" s="8">
        <f t="shared" si="1"/>
        <v>-24.178015915731198</v>
      </c>
      <c r="AE11" s="9">
        <f t="shared" si="2"/>
        <v>7.580126738625535E-4</v>
      </c>
      <c r="AF11" s="8">
        <f t="shared" si="3"/>
        <v>0.82549219826305176</v>
      </c>
      <c r="AG11" s="8">
        <f t="shared" si="4"/>
        <v>0.69965408275795515</v>
      </c>
      <c r="AH11" s="8">
        <f t="shared" si="5"/>
        <v>3.3521500910579573E-2</v>
      </c>
      <c r="AI11" s="8">
        <f t="shared" si="6"/>
        <v>25.625752900059489</v>
      </c>
      <c r="AJ11" s="8">
        <f t="shared" si="7"/>
        <v>-0.7324165757316119</v>
      </c>
      <c r="AK11" s="8">
        <f t="shared" si="8"/>
        <v>0.6010124417718451</v>
      </c>
      <c r="AL11" s="8">
        <f t="shared" si="9"/>
        <v>3.2727684951618714E-2</v>
      </c>
    </row>
    <row r="12" spans="1:38">
      <c r="A12" t="s">
        <v>75</v>
      </c>
      <c r="B12" t="s">
        <v>76</v>
      </c>
      <c r="C12" t="s">
        <v>65</v>
      </c>
      <c r="D12">
        <v>0</v>
      </c>
      <c r="E12" t="s">
        <v>77</v>
      </c>
      <c r="F12">
        <v>-42.136000000000003</v>
      </c>
      <c r="G12">
        <v>-42.136000000000003</v>
      </c>
      <c r="H12">
        <v>0.03</v>
      </c>
      <c r="I12">
        <v>1006.471</v>
      </c>
      <c r="J12">
        <v>16049.097</v>
      </c>
      <c r="K12">
        <v>15917.754000000001</v>
      </c>
      <c r="L12">
        <v>15031.808999999999</v>
      </c>
      <c r="M12">
        <v>1017.288</v>
      </c>
      <c r="N12">
        <v>-42.136000000000003</v>
      </c>
      <c r="O12">
        <v>0</v>
      </c>
      <c r="P12">
        <v>0</v>
      </c>
      <c r="Q12">
        <v>0</v>
      </c>
      <c r="R12">
        <v>14992.51</v>
      </c>
      <c r="S12">
        <v>15031.808999999999</v>
      </c>
      <c r="T12">
        <v>16049.097</v>
      </c>
      <c r="U12">
        <v>16051.862999999999</v>
      </c>
      <c r="V12">
        <v>16566.513999999999</v>
      </c>
      <c r="W12">
        <v>16561.155999999999</v>
      </c>
      <c r="X12">
        <v>6.2712001802967501E-2</v>
      </c>
      <c r="Y12">
        <v>4</v>
      </c>
      <c r="Z12" t="s">
        <v>62</v>
      </c>
      <c r="AA12" t="s">
        <v>33</v>
      </c>
      <c r="AB12" t="s">
        <v>34</v>
      </c>
      <c r="AC12" s="7">
        <f t="shared" si="0"/>
        <v>-2.6252174389800181E-3</v>
      </c>
      <c r="AD12" s="8">
        <f t="shared" si="1"/>
        <v>-1404.5333333333335</v>
      </c>
      <c r="AE12" s="9">
        <f t="shared" si="2"/>
        <v>0</v>
      </c>
      <c r="AF12" s="8">
        <f t="shared" si="3"/>
        <v>6.3385996109313822E-2</v>
      </c>
      <c r="AG12" s="8">
        <f t="shared" si="4"/>
        <v>1.0676756869382786</v>
      </c>
      <c r="AH12" s="8">
        <f t="shared" si="5"/>
        <v>0.93661400389068616</v>
      </c>
      <c r="AI12" s="8">
        <f t="shared" si="6"/>
        <v>1.0676756869382786</v>
      </c>
      <c r="AJ12" s="8">
        <f t="shared" si="7"/>
        <v>6.2712001802967487E-2</v>
      </c>
      <c r="AK12" s="8">
        <f t="shared" si="8"/>
        <v>1.0676756869382786</v>
      </c>
      <c r="AL12" s="8">
        <f t="shared" si="9"/>
        <v>2.9490173874065161E-5</v>
      </c>
    </row>
    <row r="13" spans="1:38">
      <c r="A13" t="s">
        <v>78</v>
      </c>
      <c r="B13" t="s">
        <v>79</v>
      </c>
      <c r="C13" t="s">
        <v>69</v>
      </c>
      <c r="D13">
        <v>23</v>
      </c>
      <c r="E13" t="s">
        <v>80</v>
      </c>
      <c r="F13">
        <v>-1530.106</v>
      </c>
      <c r="G13">
        <v>-304.04199999999997</v>
      </c>
      <c r="H13">
        <v>10749.58</v>
      </c>
      <c r="I13">
        <v>505.5</v>
      </c>
      <c r="J13">
        <v>10622.43</v>
      </c>
      <c r="K13">
        <v>1261.7329999999999</v>
      </c>
      <c r="L13">
        <v>10914.492</v>
      </c>
      <c r="M13">
        <v>-292.06200000000001</v>
      </c>
      <c r="N13">
        <v>-491.142</v>
      </c>
      <c r="O13">
        <v>4501.5079999999998</v>
      </c>
      <c r="P13">
        <v>3384.8649999999998</v>
      </c>
      <c r="Q13">
        <v>249.756</v>
      </c>
      <c r="R13">
        <v>12056.021000000001</v>
      </c>
      <c r="S13">
        <v>14299.357</v>
      </c>
      <c r="T13">
        <v>15451.442999999999</v>
      </c>
      <c r="U13">
        <v>14852.67</v>
      </c>
      <c r="V13">
        <v>10439.217000000001</v>
      </c>
      <c r="W13">
        <v>6744.8670000000002</v>
      </c>
      <c r="X13">
        <v>3.2715391047942903E-2</v>
      </c>
      <c r="Y13">
        <v>4</v>
      </c>
      <c r="Z13" t="s">
        <v>39</v>
      </c>
      <c r="AA13" t="s">
        <v>33</v>
      </c>
      <c r="AB13" t="s">
        <v>34</v>
      </c>
      <c r="AC13" s="7">
        <f t="shared" si="0"/>
        <v>-0.10098338796453142</v>
      </c>
      <c r="AD13" s="8">
        <f t="shared" si="1"/>
        <v>-2.8284081796684148E-2</v>
      </c>
      <c r="AE13" s="9">
        <f t="shared" si="2"/>
        <v>1.895294387354262E-2</v>
      </c>
      <c r="AF13" s="8">
        <f t="shared" si="3"/>
        <v>-1.8901923917397232E-2</v>
      </c>
      <c r="AG13" s="8">
        <f t="shared" si="4"/>
        <v>1.0805690773368342</v>
      </c>
      <c r="AH13" s="8">
        <f t="shared" si="5"/>
        <v>0.70637363772432138</v>
      </c>
      <c r="AI13" s="8">
        <f t="shared" si="6"/>
        <v>0.97324089843118677</v>
      </c>
      <c r="AJ13" s="8">
        <f t="shared" si="7"/>
        <v>3.2715391047942903E-2</v>
      </c>
      <c r="AK13" s="8">
        <f t="shared" si="8"/>
        <v>0.74286067548351997</v>
      </c>
      <c r="AL13" s="8">
        <f t="shared" si="9"/>
        <v>-36.805815203621144</v>
      </c>
    </row>
    <row r="14" spans="1:38">
      <c r="A14" t="s">
        <v>81</v>
      </c>
      <c r="B14" t="s">
        <v>82</v>
      </c>
      <c r="C14" t="s">
        <v>37</v>
      </c>
      <c r="D14">
        <v>0</v>
      </c>
      <c r="E14" t="s">
        <v>83</v>
      </c>
      <c r="F14">
        <v>-240.797</v>
      </c>
      <c r="G14">
        <v>-181.5</v>
      </c>
      <c r="H14">
        <v>103</v>
      </c>
      <c r="I14">
        <v>83.531999999999996</v>
      </c>
      <c r="J14">
        <v>11594.963</v>
      </c>
      <c r="K14">
        <v>11468.894</v>
      </c>
      <c r="L14">
        <v>488.267</v>
      </c>
      <c r="M14">
        <v>11106.696</v>
      </c>
      <c r="N14">
        <v>-181.5</v>
      </c>
      <c r="O14">
        <v>3221.556</v>
      </c>
      <c r="P14">
        <v>14244.72</v>
      </c>
      <c r="Q14">
        <v>0</v>
      </c>
      <c r="R14">
        <v>14602.055</v>
      </c>
      <c r="S14">
        <v>14732.986999999999</v>
      </c>
      <c r="T14">
        <v>14816.519</v>
      </c>
      <c r="U14">
        <v>14926.386</v>
      </c>
      <c r="V14">
        <v>15555.87</v>
      </c>
      <c r="W14">
        <v>15650.796</v>
      </c>
      <c r="X14">
        <v>5.6377614742032199E-3</v>
      </c>
      <c r="Y14">
        <v>4</v>
      </c>
      <c r="Z14" t="s">
        <v>39</v>
      </c>
      <c r="AA14" t="s">
        <v>33</v>
      </c>
      <c r="AB14" t="s">
        <v>34</v>
      </c>
      <c r="AC14" s="7">
        <f t="shared" si="0"/>
        <v>-1.6191895176345419E-2</v>
      </c>
      <c r="AD14" s="8">
        <f t="shared" si="1"/>
        <v>-1.7621359223300972</v>
      </c>
      <c r="AE14" s="9">
        <f t="shared" si="2"/>
        <v>0</v>
      </c>
      <c r="AF14" s="8">
        <f t="shared" si="3"/>
        <v>0.74961574982625812</v>
      </c>
      <c r="AG14" s="8">
        <f t="shared" si="4"/>
        <v>1.0056697260372252</v>
      </c>
      <c r="AH14" s="8">
        <f t="shared" si="5"/>
        <v>3.295423169234285E-2</v>
      </c>
      <c r="AI14" s="8">
        <f t="shared" si="6"/>
        <v>23.747177261621204</v>
      </c>
      <c r="AJ14" s="8">
        <f t="shared" si="7"/>
        <v>5.6377614742032182E-3</v>
      </c>
      <c r="AK14" s="8">
        <f t="shared" si="8"/>
        <v>0.78700693891876783</v>
      </c>
      <c r="AL14" s="8">
        <f t="shared" si="9"/>
        <v>9.2736849914682104E-3</v>
      </c>
    </row>
    <row r="15" spans="1:38">
      <c r="A15" t="s">
        <v>84</v>
      </c>
      <c r="B15" t="s">
        <v>85</v>
      </c>
      <c r="C15" t="s">
        <v>86</v>
      </c>
      <c r="D15">
        <v>1</v>
      </c>
      <c r="E15" t="s">
        <v>87</v>
      </c>
      <c r="F15">
        <v>-159.66</v>
      </c>
      <c r="G15">
        <v>-159.62299999999999</v>
      </c>
      <c r="H15">
        <v>38.694000000000003</v>
      </c>
      <c r="I15">
        <v>-2825.194</v>
      </c>
      <c r="J15">
        <v>14555.231</v>
      </c>
      <c r="K15">
        <v>13219.989</v>
      </c>
      <c r="L15">
        <v>16287.768</v>
      </c>
      <c r="M15">
        <v>-1732.537</v>
      </c>
      <c r="N15">
        <v>-159.66</v>
      </c>
      <c r="O15">
        <v>75.882000000000005</v>
      </c>
      <c r="P15">
        <v>0</v>
      </c>
      <c r="Q15">
        <v>3.6999999999999998E-2</v>
      </c>
      <c r="R15">
        <v>15962.958000000001</v>
      </c>
      <c r="S15">
        <v>16287.768</v>
      </c>
      <c r="T15">
        <v>14632.540999999999</v>
      </c>
      <c r="U15">
        <v>14606.913</v>
      </c>
      <c r="V15">
        <v>14573.352000000001</v>
      </c>
      <c r="W15">
        <v>13461.163</v>
      </c>
      <c r="X15">
        <v>-0.19307610346008899</v>
      </c>
      <c r="Y15">
        <v>4</v>
      </c>
      <c r="Z15" t="s">
        <v>57</v>
      </c>
      <c r="AA15" t="s">
        <v>33</v>
      </c>
      <c r="AB15" t="s">
        <v>34</v>
      </c>
      <c r="AC15" s="7">
        <f t="shared" si="0"/>
        <v>-1.0920860560528935E-2</v>
      </c>
      <c r="AD15" s="8">
        <f t="shared" si="1"/>
        <v>-4.125264898950741</v>
      </c>
      <c r="AE15" s="9">
        <f t="shared" si="2"/>
        <v>2.2945219899855896E-6</v>
      </c>
      <c r="AF15" s="8">
        <f t="shared" si="3"/>
        <v>-0.11840301694695406</v>
      </c>
      <c r="AG15" s="8">
        <f t="shared" si="4"/>
        <v>0.89837606969843864</v>
      </c>
      <c r="AH15" s="8">
        <f t="shared" si="5"/>
        <v>1.1131195873635344</v>
      </c>
      <c r="AI15" s="8">
        <f t="shared" si="6"/>
        <v>0.89362956299475782</v>
      </c>
      <c r="AJ15" s="8">
        <f t="shared" si="7"/>
        <v>-0.19307610346008941</v>
      </c>
      <c r="AK15" s="8">
        <f t="shared" si="8"/>
        <v>0.89362956299475782</v>
      </c>
      <c r="AL15" s="8">
        <f t="shared" si="9"/>
        <v>-2.2333722165818106E-2</v>
      </c>
    </row>
    <row r="16" spans="1:38">
      <c r="A16" t="s">
        <v>88</v>
      </c>
      <c r="B16" t="s">
        <v>89</v>
      </c>
      <c r="C16" t="s">
        <v>69</v>
      </c>
      <c r="D16">
        <v>0</v>
      </c>
      <c r="E16" t="s">
        <v>90</v>
      </c>
      <c r="F16">
        <v>-1982.0160000000001</v>
      </c>
      <c r="G16">
        <v>315.88499999999999</v>
      </c>
      <c r="H16">
        <v>827.024</v>
      </c>
      <c r="I16">
        <v>-1614.203</v>
      </c>
      <c r="J16">
        <v>8651.2049999999999</v>
      </c>
      <c r="K16">
        <v>8526.4439999999995</v>
      </c>
      <c r="L16">
        <v>9514.2610000000004</v>
      </c>
      <c r="M16">
        <v>-863.05600000000004</v>
      </c>
      <c r="N16">
        <v>-454.19499999999999</v>
      </c>
      <c r="O16">
        <v>5298.3590000000004</v>
      </c>
      <c r="P16">
        <v>4546.7610000000004</v>
      </c>
      <c r="Q16">
        <v>770.08</v>
      </c>
      <c r="R16">
        <v>14331.304</v>
      </c>
      <c r="S16">
        <v>14061.022000000001</v>
      </c>
      <c r="T16">
        <v>13949.769</v>
      </c>
      <c r="U16">
        <v>14710.643</v>
      </c>
      <c r="V16">
        <v>15884.678</v>
      </c>
      <c r="W16">
        <v>15886.987999999999</v>
      </c>
      <c r="X16">
        <v>-0.115715392849874</v>
      </c>
      <c r="Y16">
        <v>4</v>
      </c>
      <c r="Z16" t="s">
        <v>39</v>
      </c>
      <c r="AA16" t="s">
        <v>33</v>
      </c>
      <c r="AB16" t="s">
        <v>34</v>
      </c>
      <c r="AC16" s="7">
        <f t="shared" si="0"/>
        <v>-0.13831036343790173</v>
      </c>
      <c r="AD16" s="8">
        <f t="shared" si="1"/>
        <v>0.38195384898140805</v>
      </c>
      <c r="AE16" s="9">
        <f t="shared" si="2"/>
        <v>5.4245643699639121E-2</v>
      </c>
      <c r="AF16" s="8">
        <f t="shared" si="3"/>
        <v>-6.1868838114810365E-2</v>
      </c>
      <c r="AG16" s="8">
        <f t="shared" si="4"/>
        <v>0.99208784397037419</v>
      </c>
      <c r="AH16" s="8">
        <f t="shared" si="5"/>
        <v>0.68203717208507186</v>
      </c>
      <c r="AI16" s="8">
        <f t="shared" si="6"/>
        <v>0.90928817277558394</v>
      </c>
      <c r="AJ16" s="8">
        <f t="shared" si="7"/>
        <v>-0.11571539284987442</v>
      </c>
      <c r="AK16" s="8">
        <f t="shared" si="8"/>
        <v>0.61526146534725568</v>
      </c>
      <c r="AL16" s="8">
        <f t="shared" si="9"/>
        <v>-0.95825068129993873</v>
      </c>
    </row>
    <row r="17" spans="1:38">
      <c r="A17" t="s">
        <v>91</v>
      </c>
      <c r="B17" t="s">
        <v>92</v>
      </c>
      <c r="C17" t="s">
        <v>30</v>
      </c>
      <c r="D17">
        <v>4</v>
      </c>
      <c r="E17" t="s">
        <v>93</v>
      </c>
      <c r="F17">
        <v>-4511.7759999999998</v>
      </c>
      <c r="G17">
        <v>-1735.8779999999999</v>
      </c>
      <c r="H17">
        <v>1042.625</v>
      </c>
      <c r="I17">
        <v>-5979.259</v>
      </c>
      <c r="J17">
        <v>11279.08</v>
      </c>
      <c r="K17">
        <v>10986.797</v>
      </c>
      <c r="L17">
        <v>17769.440999999999</v>
      </c>
      <c r="M17">
        <v>-6490.3609999999999</v>
      </c>
      <c r="N17">
        <v>-2748.2629999999999</v>
      </c>
      <c r="O17">
        <v>1460.383</v>
      </c>
      <c r="P17">
        <v>0</v>
      </c>
      <c r="Q17">
        <v>932.19899999999996</v>
      </c>
      <c r="R17">
        <v>17290.941999999999</v>
      </c>
      <c r="S17">
        <v>17769.440999999999</v>
      </c>
      <c r="T17">
        <v>12786.255999999999</v>
      </c>
      <c r="U17">
        <v>15996.741</v>
      </c>
      <c r="V17">
        <v>17670.918000000001</v>
      </c>
      <c r="W17">
        <v>22893.991000000002</v>
      </c>
      <c r="X17">
        <v>-0.46763172894395399</v>
      </c>
      <c r="Y17">
        <v>4</v>
      </c>
      <c r="Z17" t="s">
        <v>32</v>
      </c>
      <c r="AA17" t="s">
        <v>33</v>
      </c>
      <c r="AB17" t="s">
        <v>34</v>
      </c>
      <c r="AC17" s="7">
        <f t="shared" si="0"/>
        <v>-0.31350286420833801</v>
      </c>
      <c r="AD17" s="8">
        <f t="shared" si="1"/>
        <v>-1.6649111617312071</v>
      </c>
      <c r="AE17" s="9">
        <f t="shared" si="2"/>
        <v>5.3176772198980253E-2</v>
      </c>
      <c r="AF17" s="8">
        <f t="shared" si="3"/>
        <v>-0.50760449344984182</v>
      </c>
      <c r="AG17" s="8">
        <f t="shared" si="4"/>
        <v>0.7195643351977139</v>
      </c>
      <c r="AH17" s="8">
        <f t="shared" si="5"/>
        <v>1.389729800498285</v>
      </c>
      <c r="AI17" s="8">
        <f t="shared" si="6"/>
        <v>0.63474591012739234</v>
      </c>
      <c r="AJ17" s="8">
        <f t="shared" si="7"/>
        <v>-0.46763172894395361</v>
      </c>
      <c r="AK17" s="8">
        <f t="shared" si="8"/>
        <v>0.63474591012739234</v>
      </c>
      <c r="AL17" s="8">
        <f t="shared" si="9"/>
        <v>-0.1606420659806134</v>
      </c>
    </row>
    <row r="18" spans="1:38">
      <c r="A18" t="s">
        <v>94</v>
      </c>
      <c r="B18" t="s">
        <v>95</v>
      </c>
      <c r="C18" t="s">
        <v>69</v>
      </c>
      <c r="D18">
        <v>49</v>
      </c>
      <c r="E18" t="s">
        <v>96</v>
      </c>
      <c r="F18">
        <v>-3697.18</v>
      </c>
      <c r="G18">
        <v>-3367.2660000000001</v>
      </c>
      <c r="H18">
        <v>7778.0140000000001</v>
      </c>
      <c r="I18">
        <v>-3497.6990000000001</v>
      </c>
      <c r="J18">
        <v>11870.576999999999</v>
      </c>
      <c r="K18">
        <v>5713.5119999999997</v>
      </c>
      <c r="L18">
        <v>15522.553</v>
      </c>
      <c r="M18">
        <v>-3651.9760000000001</v>
      </c>
      <c r="N18">
        <v>-3580.1390000000001</v>
      </c>
      <c r="O18">
        <v>474.10599999999999</v>
      </c>
      <c r="P18">
        <v>203.655</v>
      </c>
      <c r="Q18">
        <v>214.68600000000001</v>
      </c>
      <c r="R18">
        <v>11987.866</v>
      </c>
      <c r="S18">
        <v>15726.208000000001</v>
      </c>
      <c r="T18">
        <v>12407.572</v>
      </c>
      <c r="U18">
        <v>12305.665000000001</v>
      </c>
      <c r="V18">
        <v>6825.8379999999997</v>
      </c>
      <c r="W18">
        <v>4291.5940000000001</v>
      </c>
      <c r="X18">
        <v>-0.28190035890986598</v>
      </c>
      <c r="Y18">
        <v>4</v>
      </c>
      <c r="Z18" t="s">
        <v>39</v>
      </c>
      <c r="AA18" t="s">
        <v>33</v>
      </c>
      <c r="AB18" t="s">
        <v>34</v>
      </c>
      <c r="AC18" s="7">
        <f t="shared" si="0"/>
        <v>-0.2992064536102656</v>
      </c>
      <c r="AD18" s="8">
        <f t="shared" si="1"/>
        <v>-0.43292105156920518</v>
      </c>
      <c r="AE18" s="9">
        <f t="shared" si="2"/>
        <v>1.5492922476861395E-2</v>
      </c>
      <c r="AF18" s="8">
        <f t="shared" si="3"/>
        <v>-0.29433445963481009</v>
      </c>
      <c r="AG18" s="8">
        <f t="shared" si="4"/>
        <v>0.78897417610144793</v>
      </c>
      <c r="AH18" s="8">
        <f t="shared" si="5"/>
        <v>1.2510548397381858</v>
      </c>
      <c r="AI18" s="8">
        <f t="shared" si="6"/>
        <v>0.76473096919044181</v>
      </c>
      <c r="AJ18" s="8">
        <f t="shared" si="7"/>
        <v>-0.2819003589098657</v>
      </c>
      <c r="AK18" s="8">
        <f t="shared" si="8"/>
        <v>0.75482767365152481</v>
      </c>
      <c r="AL18" s="8">
        <f t="shared" si="9"/>
        <v>-2.1298097249269983</v>
      </c>
    </row>
    <row r="19" spans="1:38">
      <c r="A19" t="s">
        <v>97</v>
      </c>
      <c r="B19" t="s">
        <v>98</v>
      </c>
      <c r="C19" t="s">
        <v>69</v>
      </c>
      <c r="D19">
        <v>70</v>
      </c>
      <c r="E19" t="s">
        <v>99</v>
      </c>
      <c r="F19">
        <v>-2291.9830000000002</v>
      </c>
      <c r="G19">
        <v>1276.2619999999999</v>
      </c>
      <c r="H19">
        <v>10962.406999999999</v>
      </c>
      <c r="I19">
        <v>-1842.5989999999999</v>
      </c>
      <c r="J19">
        <v>11406.029</v>
      </c>
      <c r="K19">
        <v>0</v>
      </c>
      <c r="L19">
        <v>12889.273999999999</v>
      </c>
      <c r="M19">
        <v>-1483.2449999999999</v>
      </c>
      <c r="N19">
        <v>1140.979</v>
      </c>
      <c r="O19">
        <v>915.26400000000001</v>
      </c>
      <c r="P19">
        <v>840.89499999999998</v>
      </c>
      <c r="Q19">
        <v>135.94499999999999</v>
      </c>
      <c r="R19">
        <v>20666.263999999999</v>
      </c>
      <c r="S19">
        <v>13730.169</v>
      </c>
      <c r="T19">
        <v>12321.294</v>
      </c>
      <c r="U19">
        <v>21583.188999999998</v>
      </c>
      <c r="V19">
        <v>14400.957</v>
      </c>
      <c r="W19">
        <v>7427.2809999999999</v>
      </c>
      <c r="X19">
        <v>-0.14954589996797399</v>
      </c>
      <c r="Y19">
        <v>4</v>
      </c>
      <c r="Z19" t="s">
        <v>39</v>
      </c>
      <c r="AA19" t="s">
        <v>33</v>
      </c>
      <c r="AB19" t="s">
        <v>34</v>
      </c>
      <c r="AC19" s="7">
        <f t="shared" si="0"/>
        <v>-0.13520235657331806</v>
      </c>
      <c r="AD19" s="8">
        <f t="shared" si="1"/>
        <v>0.11642169461506037</v>
      </c>
      <c r="AE19" s="9">
        <f t="shared" si="2"/>
        <v>7.9045987123141526E-3</v>
      </c>
      <c r="AF19" s="8">
        <f t="shared" si="3"/>
        <v>-0.1203806191135444</v>
      </c>
      <c r="AG19" s="8">
        <f t="shared" si="4"/>
        <v>0.89738837154881346</v>
      </c>
      <c r="AH19" s="8">
        <f t="shared" si="5"/>
        <v>1.0460974310003479</v>
      </c>
      <c r="AI19" s="8">
        <f t="shared" si="6"/>
        <v>0.88492408494070351</v>
      </c>
      <c r="AJ19" s="8">
        <f t="shared" si="7"/>
        <v>-0.14954589996797413</v>
      </c>
      <c r="AK19" s="8">
        <f t="shared" si="8"/>
        <v>0.8307275023344578</v>
      </c>
      <c r="AL19" s="8">
        <f t="shared" si="9"/>
        <v>-7.3908268694652604</v>
      </c>
    </row>
    <row r="20" spans="1:38">
      <c r="A20" t="s">
        <v>100</v>
      </c>
      <c r="B20" t="s">
        <v>101</v>
      </c>
      <c r="C20" t="s">
        <v>69</v>
      </c>
      <c r="D20">
        <v>0</v>
      </c>
      <c r="E20" t="s">
        <v>102</v>
      </c>
      <c r="F20">
        <v>15.491</v>
      </c>
      <c r="G20">
        <v>27.670999999999999</v>
      </c>
      <c r="H20">
        <v>60.372</v>
      </c>
      <c r="I20">
        <v>-91.221999999999994</v>
      </c>
      <c r="J20">
        <v>10307.834000000001</v>
      </c>
      <c r="K20">
        <v>9344.7270000000008</v>
      </c>
      <c r="L20">
        <v>10898.289000000001</v>
      </c>
      <c r="M20">
        <v>-590.45500000000004</v>
      </c>
      <c r="N20">
        <v>15.491</v>
      </c>
      <c r="O20">
        <v>1044.595</v>
      </c>
      <c r="P20">
        <v>524.30899999999997</v>
      </c>
      <c r="Q20">
        <v>11.775</v>
      </c>
      <c r="R20">
        <v>11274.445</v>
      </c>
      <c r="S20">
        <v>11422.598</v>
      </c>
      <c r="T20">
        <v>11408.169</v>
      </c>
      <c r="U20">
        <v>11374.654</v>
      </c>
      <c r="V20">
        <v>11382.638999999999</v>
      </c>
      <c r="W20">
        <v>12706.171</v>
      </c>
      <c r="X20">
        <v>-7.9961999160426192E-3</v>
      </c>
      <c r="Y20">
        <v>4</v>
      </c>
      <c r="Z20" t="s">
        <v>39</v>
      </c>
      <c r="AA20" t="s">
        <v>33</v>
      </c>
      <c r="AB20" t="s">
        <v>34</v>
      </c>
      <c r="AC20" s="7">
        <f t="shared" si="0"/>
        <v>1.3598841548301541E-3</v>
      </c>
      <c r="AD20" s="8">
        <f t="shared" si="1"/>
        <v>0.45834161531835949</v>
      </c>
      <c r="AE20" s="9">
        <f t="shared" si="2"/>
        <v>1.0375800935831158E-3</v>
      </c>
      <c r="AF20" s="8">
        <f t="shared" si="3"/>
        <v>-5.1757210118468622E-2</v>
      </c>
      <c r="AG20" s="8">
        <f t="shared" si="4"/>
        <v>0.99873680225812023</v>
      </c>
      <c r="AH20" s="8">
        <f t="shared" si="5"/>
        <v>0.95530571119695029</v>
      </c>
      <c r="AI20" s="8">
        <f t="shared" si="6"/>
        <v>0.94582131195089436</v>
      </c>
      <c r="AJ20" s="8">
        <f t="shared" si="7"/>
        <v>-7.9961999160426175E-3</v>
      </c>
      <c r="AK20" s="8">
        <f t="shared" si="8"/>
        <v>0.90240714065224048</v>
      </c>
      <c r="AL20" s="8">
        <f t="shared" si="9"/>
        <v>-0.10224657255845068</v>
      </c>
    </row>
    <row r="21" spans="1:38">
      <c r="A21" t="s">
        <v>103</v>
      </c>
      <c r="B21" t="s">
        <v>104</v>
      </c>
      <c r="C21" t="s">
        <v>69</v>
      </c>
      <c r="D21">
        <v>0</v>
      </c>
      <c r="E21" t="s">
        <v>105</v>
      </c>
      <c r="F21">
        <v>76.686000000000007</v>
      </c>
      <c r="G21">
        <v>156.74</v>
      </c>
      <c r="H21">
        <v>200</v>
      </c>
      <c r="I21">
        <v>-204.88</v>
      </c>
      <c r="J21">
        <v>9596.2180000000008</v>
      </c>
      <c r="K21">
        <v>9062.6350000000002</v>
      </c>
      <c r="L21">
        <v>11293.56</v>
      </c>
      <c r="M21">
        <v>-1697.3420000000001</v>
      </c>
      <c r="N21">
        <v>78.852999999999994</v>
      </c>
      <c r="O21">
        <v>1492.4559999999999</v>
      </c>
      <c r="P21">
        <v>0</v>
      </c>
      <c r="Q21">
        <v>24.315999999999999</v>
      </c>
      <c r="R21">
        <v>11125.664000000001</v>
      </c>
      <c r="S21">
        <v>11293.56</v>
      </c>
      <c r="T21">
        <v>11088.68</v>
      </c>
      <c r="U21">
        <v>10557.519</v>
      </c>
      <c r="V21">
        <v>10833.66</v>
      </c>
      <c r="W21">
        <v>10397.290999999999</v>
      </c>
      <c r="X21">
        <v>-1.8476500358924602E-2</v>
      </c>
      <c r="Y21">
        <v>4</v>
      </c>
      <c r="Z21" t="s">
        <v>39</v>
      </c>
      <c r="AA21" t="s">
        <v>33</v>
      </c>
      <c r="AB21" t="s">
        <v>34</v>
      </c>
      <c r="AC21" s="7">
        <f t="shared" si="0"/>
        <v>7.085400998115189E-3</v>
      </c>
      <c r="AD21" s="8">
        <f t="shared" si="1"/>
        <v>0.78370000000000006</v>
      </c>
      <c r="AE21" s="9">
        <f t="shared" si="2"/>
        <v>2.169209781748021E-3</v>
      </c>
      <c r="AF21" s="8">
        <f t="shared" si="3"/>
        <v>-0.15306979730680298</v>
      </c>
      <c r="AG21" s="8">
        <f t="shared" si="4"/>
        <v>0.9818586876060339</v>
      </c>
      <c r="AH21" s="8">
        <f t="shared" si="5"/>
        <v>1.0184765003589245</v>
      </c>
      <c r="AI21" s="8">
        <f t="shared" si="6"/>
        <v>0.84970708970422093</v>
      </c>
      <c r="AJ21" s="8">
        <f t="shared" si="7"/>
        <v>-1.8476500358924595E-2</v>
      </c>
      <c r="AK21" s="8">
        <f t="shared" si="8"/>
        <v>0.84970708970422093</v>
      </c>
      <c r="AL21" s="8">
        <f t="shared" si="9"/>
        <v>-0.11783129151343688</v>
      </c>
    </row>
    <row r="22" spans="1:38">
      <c r="A22" t="s">
        <v>106</v>
      </c>
      <c r="B22" t="s">
        <v>107</v>
      </c>
      <c r="C22" t="s">
        <v>86</v>
      </c>
      <c r="D22">
        <v>73</v>
      </c>
      <c r="E22" t="s">
        <v>108</v>
      </c>
      <c r="F22">
        <v>-902.86599999999999</v>
      </c>
      <c r="G22">
        <v>-140.57</v>
      </c>
      <c r="H22">
        <v>3170.9679999999998</v>
      </c>
      <c r="I22">
        <v>-3983.5140000000001</v>
      </c>
      <c r="J22">
        <v>1850.8440000000001</v>
      </c>
      <c r="K22">
        <v>483.53500000000003</v>
      </c>
      <c r="L22">
        <v>8172.0039999999999</v>
      </c>
      <c r="M22">
        <v>-6321.16</v>
      </c>
      <c r="N22">
        <v>-706.33500000000004</v>
      </c>
      <c r="O22">
        <v>8944.1260000000002</v>
      </c>
      <c r="P22">
        <v>4225.7860000000001</v>
      </c>
      <c r="Q22">
        <v>559.29600000000005</v>
      </c>
      <c r="R22">
        <v>13142.663</v>
      </c>
      <c r="S22">
        <v>12397.79</v>
      </c>
      <c r="T22">
        <v>10795.619000000001</v>
      </c>
      <c r="U22">
        <v>12491.539000000001</v>
      </c>
      <c r="V22">
        <v>13362.334000000001</v>
      </c>
      <c r="W22">
        <v>13754.403</v>
      </c>
      <c r="X22">
        <v>-0.36899357044741898</v>
      </c>
      <c r="Y22">
        <v>4</v>
      </c>
      <c r="Z22" t="s">
        <v>57</v>
      </c>
      <c r="AA22" t="s">
        <v>33</v>
      </c>
      <c r="AB22" t="s">
        <v>34</v>
      </c>
      <c r="AC22" s="7">
        <f t="shared" si="0"/>
        <v>-7.7541965404279892E-2</v>
      </c>
      <c r="AD22" s="8">
        <f t="shared" si="1"/>
        <v>-4.4330311753382562E-2</v>
      </c>
      <c r="AE22" s="9">
        <f t="shared" si="2"/>
        <v>4.3796873923888507E-2</v>
      </c>
      <c r="AF22" s="8">
        <f t="shared" si="3"/>
        <v>-0.58553011179812842</v>
      </c>
      <c r="AG22" s="8">
        <f t="shared" si="4"/>
        <v>0.87076962910325151</v>
      </c>
      <c r="AH22" s="8">
        <f t="shared" si="5"/>
        <v>0.75697410217978234</v>
      </c>
      <c r="AI22" s="8">
        <f t="shared" si="6"/>
        <v>0.22648593906708808</v>
      </c>
      <c r="AJ22" s="8">
        <f t="shared" si="7"/>
        <v>-0.36899357044741943</v>
      </c>
      <c r="AK22" s="8">
        <f t="shared" si="8"/>
        <v>0.14928821991661417</v>
      </c>
      <c r="AL22" s="8">
        <f t="shared" si="9"/>
        <v>-0.50164336925501019</v>
      </c>
    </row>
    <row r="23" spans="1:38">
      <c r="A23" t="s">
        <v>109</v>
      </c>
      <c r="B23" t="s">
        <v>110</v>
      </c>
      <c r="C23" t="s">
        <v>42</v>
      </c>
      <c r="D23">
        <v>0</v>
      </c>
      <c r="E23" t="s">
        <v>111</v>
      </c>
      <c r="F23">
        <v>-633.31200000000001</v>
      </c>
      <c r="G23">
        <v>-621.18499999999995</v>
      </c>
      <c r="H23">
        <v>64.8</v>
      </c>
      <c r="I23">
        <v>4294.3050000000003</v>
      </c>
      <c r="J23">
        <v>6022.38</v>
      </c>
      <c r="K23">
        <v>5816.5420000000004</v>
      </c>
      <c r="L23">
        <v>5172.8609999999999</v>
      </c>
      <c r="M23">
        <v>849.51900000000001</v>
      </c>
      <c r="N23">
        <v>-625.89</v>
      </c>
      <c r="O23">
        <v>4571.5780000000004</v>
      </c>
      <c r="P23">
        <v>0</v>
      </c>
      <c r="Q23">
        <v>4.7050000000000001</v>
      </c>
      <c r="R23">
        <v>4548.9229999999998</v>
      </c>
      <c r="S23">
        <v>5172.8609999999999</v>
      </c>
      <c r="T23">
        <v>10593.958000000001</v>
      </c>
      <c r="U23">
        <v>10603.284</v>
      </c>
      <c r="V23">
        <v>10648.295</v>
      </c>
      <c r="W23">
        <v>6580.143</v>
      </c>
      <c r="X23">
        <v>0.40535416508164401</v>
      </c>
      <c r="Y23">
        <v>4</v>
      </c>
      <c r="Z23" t="s">
        <v>44</v>
      </c>
      <c r="AA23" t="s">
        <v>33</v>
      </c>
      <c r="AB23" t="s">
        <v>34</v>
      </c>
      <c r="AC23" s="7">
        <f t="shared" si="0"/>
        <v>-5.975418877606814E-2</v>
      </c>
      <c r="AD23" s="8">
        <f t="shared" si="1"/>
        <v>-9.5861882716049376</v>
      </c>
      <c r="AE23" s="9">
        <f t="shared" si="2"/>
        <v>9.6792934300947236E-4</v>
      </c>
      <c r="AF23" s="8">
        <f t="shared" si="3"/>
        <v>8.0189009622277152E-2</v>
      </c>
      <c r="AG23" s="8">
        <f t="shared" si="4"/>
        <v>2.0479881442783792</v>
      </c>
      <c r="AH23" s="8">
        <f t="shared" si="5"/>
        <v>0.48828407664066625</v>
      </c>
      <c r="AI23" s="8">
        <f t="shared" si="6"/>
        <v>1.1642261410078485</v>
      </c>
      <c r="AJ23" s="8">
        <f t="shared" si="7"/>
        <v>0.40535416508164374</v>
      </c>
      <c r="AK23" s="8">
        <f t="shared" si="8"/>
        <v>1.1642261410078485</v>
      </c>
      <c r="AL23" s="8">
        <f t="shared" si="9"/>
        <v>7.6278458751364006E-2</v>
      </c>
    </row>
    <row r="24" spans="1:38">
      <c r="A24" t="s">
        <v>112</v>
      </c>
      <c r="B24" t="s">
        <v>113</v>
      </c>
      <c r="C24" t="s">
        <v>60</v>
      </c>
      <c r="D24">
        <v>0</v>
      </c>
      <c r="E24" t="s">
        <v>114</v>
      </c>
      <c r="F24">
        <v>-256.13099999999997</v>
      </c>
      <c r="G24">
        <v>-239.19800000000001</v>
      </c>
      <c r="H24">
        <v>794.90700000000004</v>
      </c>
      <c r="I24">
        <v>-19580.669000000002</v>
      </c>
      <c r="J24">
        <v>5452.4210000000003</v>
      </c>
      <c r="K24">
        <v>4491.2889999999998</v>
      </c>
      <c r="L24">
        <v>25830.48</v>
      </c>
      <c r="M24">
        <v>-20378.059000000001</v>
      </c>
      <c r="N24">
        <v>-228.95500000000001</v>
      </c>
      <c r="O24">
        <v>5110.3</v>
      </c>
      <c r="P24">
        <v>24.881</v>
      </c>
      <c r="Q24">
        <v>0.151</v>
      </c>
      <c r="R24">
        <v>25703.576000000001</v>
      </c>
      <c r="S24">
        <v>25855.361000000001</v>
      </c>
      <c r="T24">
        <v>10564.722</v>
      </c>
      <c r="U24">
        <v>11333.353999999999</v>
      </c>
      <c r="V24">
        <v>12612.477999999999</v>
      </c>
      <c r="W24">
        <v>13179.928</v>
      </c>
      <c r="X24">
        <v>-1.85340125371969</v>
      </c>
      <c r="Y24">
        <v>4</v>
      </c>
      <c r="Z24" t="s">
        <v>62</v>
      </c>
      <c r="AA24" t="s">
        <v>33</v>
      </c>
      <c r="AB24" t="s">
        <v>34</v>
      </c>
      <c r="AC24" s="7">
        <f t="shared" si="0"/>
        <v>-2.3393014071190543E-2</v>
      </c>
      <c r="AD24" s="8">
        <f t="shared" si="1"/>
        <v>-0.30091318858684096</v>
      </c>
      <c r="AE24" s="9">
        <f t="shared" si="2"/>
        <v>5.8573744450937763E-6</v>
      </c>
      <c r="AF24" s="8">
        <f t="shared" si="3"/>
        <v>-1.9288779203087409</v>
      </c>
      <c r="AG24" s="8">
        <f t="shared" si="4"/>
        <v>0.40860856671078771</v>
      </c>
      <c r="AH24" s="8">
        <f t="shared" si="5"/>
        <v>2.4449748890694898</v>
      </c>
      <c r="AI24" s="8">
        <f t="shared" si="6"/>
        <v>0.21108477271812218</v>
      </c>
      <c r="AJ24" s="8">
        <f t="shared" si="7"/>
        <v>-1.8534012537196911</v>
      </c>
      <c r="AK24" s="8">
        <f t="shared" si="8"/>
        <v>0.21088164268911194</v>
      </c>
      <c r="AL24" s="8">
        <f t="shared" si="9"/>
        <v>-3.9007984028312022E-2</v>
      </c>
    </row>
    <row r="25" spans="1:38">
      <c r="A25" t="s">
        <v>115</v>
      </c>
      <c r="B25" t="s">
        <v>116</v>
      </c>
      <c r="C25" t="s">
        <v>73</v>
      </c>
      <c r="D25">
        <v>0</v>
      </c>
      <c r="E25" t="s">
        <v>117</v>
      </c>
      <c r="F25">
        <v>-267.01600000000002</v>
      </c>
      <c r="G25">
        <v>-172.17</v>
      </c>
      <c r="H25">
        <v>391.22699999999998</v>
      </c>
      <c r="I25">
        <v>-3439.384</v>
      </c>
      <c r="J25">
        <v>8037.3990000000003</v>
      </c>
      <c r="K25">
        <v>3919.8009999999999</v>
      </c>
      <c r="L25">
        <v>12893.856</v>
      </c>
      <c r="M25">
        <v>-4856.4570000000003</v>
      </c>
      <c r="N25">
        <v>-251.82300000000001</v>
      </c>
      <c r="O25">
        <v>2468.7890000000002</v>
      </c>
      <c r="P25">
        <v>864.62599999999998</v>
      </c>
      <c r="Q25">
        <v>79.653000000000006</v>
      </c>
      <c r="R25">
        <v>13865.423000000001</v>
      </c>
      <c r="S25">
        <v>13758.482</v>
      </c>
      <c r="T25">
        <v>10506.188</v>
      </c>
      <c r="U25">
        <v>10815.145</v>
      </c>
      <c r="V25">
        <v>17237.419999999998</v>
      </c>
      <c r="W25">
        <v>23506.118999999999</v>
      </c>
      <c r="X25">
        <v>-0.32736745240043302</v>
      </c>
      <c r="Y25">
        <v>4</v>
      </c>
      <c r="Z25" t="s">
        <v>44</v>
      </c>
      <c r="AA25" t="s">
        <v>33</v>
      </c>
      <c r="AB25" t="s">
        <v>34</v>
      </c>
      <c r="AC25" s="7">
        <f t="shared" si="0"/>
        <v>-2.5046839238428483E-2</v>
      </c>
      <c r="AD25" s="8">
        <f t="shared" si="1"/>
        <v>-0.44007698855140365</v>
      </c>
      <c r="AE25" s="9">
        <f t="shared" si="2"/>
        <v>5.766961622551193E-3</v>
      </c>
      <c r="AF25" s="8">
        <f t="shared" si="3"/>
        <v>-0.46224729654561675</v>
      </c>
      <c r="AG25" s="8">
        <f t="shared" si="4"/>
        <v>0.76361534651860574</v>
      </c>
      <c r="AH25" s="8">
        <f t="shared" si="5"/>
        <v>1.2272630187085933</v>
      </c>
      <c r="AI25" s="8">
        <f t="shared" si="6"/>
        <v>0.62335107511670673</v>
      </c>
      <c r="AJ25" s="8">
        <f t="shared" si="7"/>
        <v>-0.32736745240043297</v>
      </c>
      <c r="AK25" s="8">
        <f t="shared" si="8"/>
        <v>0.58417774577166293</v>
      </c>
      <c r="AL25" s="8">
        <f t="shared" si="9"/>
        <v>-8.0558110573201808E-2</v>
      </c>
    </row>
    <row r="26" spans="1:38">
      <c r="A26" t="s">
        <v>118</v>
      </c>
      <c r="B26" t="s">
        <v>119</v>
      </c>
      <c r="C26" t="s">
        <v>120</v>
      </c>
      <c r="D26">
        <v>1</v>
      </c>
      <c r="E26" t="s">
        <v>121</v>
      </c>
      <c r="F26">
        <v>-2938.5720000000001</v>
      </c>
      <c r="G26">
        <v>-1882.1320000000001</v>
      </c>
      <c r="H26">
        <v>111.839</v>
      </c>
      <c r="I26">
        <v>-321.90699999999998</v>
      </c>
      <c r="J26">
        <v>6010.6549999999997</v>
      </c>
      <c r="K26">
        <v>3708.6390000000001</v>
      </c>
      <c r="L26">
        <v>9580.2369999999992</v>
      </c>
      <c r="M26">
        <v>-3569.5819999999999</v>
      </c>
      <c r="N26">
        <v>-2037.5640000000001</v>
      </c>
      <c r="O26">
        <v>3257.24</v>
      </c>
      <c r="P26">
        <v>0</v>
      </c>
      <c r="Q26">
        <v>248.011</v>
      </c>
      <c r="R26">
        <v>7873.7219999999998</v>
      </c>
      <c r="S26">
        <v>9580.2369999999992</v>
      </c>
      <c r="T26">
        <v>9267.8950000000004</v>
      </c>
      <c r="U26">
        <v>11442.925999999999</v>
      </c>
      <c r="V26">
        <v>11449.35</v>
      </c>
      <c r="W26">
        <v>11059.173000000001</v>
      </c>
      <c r="X26">
        <v>-3.4733561396627803E-2</v>
      </c>
      <c r="Y26">
        <v>4</v>
      </c>
      <c r="Z26" t="s">
        <v>44</v>
      </c>
      <c r="AA26" t="s">
        <v>33</v>
      </c>
      <c r="AB26" t="s">
        <v>34</v>
      </c>
      <c r="AC26" s="7">
        <f t="shared" si="0"/>
        <v>-0.28377165733796839</v>
      </c>
      <c r="AD26" s="8">
        <f t="shared" si="1"/>
        <v>-16.828941603555112</v>
      </c>
      <c r="AE26" s="9">
        <f t="shared" si="2"/>
        <v>2.8418881928163119E-2</v>
      </c>
      <c r="AF26" s="8">
        <f t="shared" si="3"/>
        <v>-0.38515563674383446</v>
      </c>
      <c r="AG26" s="8">
        <f t="shared" si="4"/>
        <v>0.96739725749999728</v>
      </c>
      <c r="AH26" s="8">
        <f t="shared" si="5"/>
        <v>1.0337015039553208</v>
      </c>
      <c r="AI26" s="8">
        <f t="shared" si="6"/>
        <v>0.62740149330334938</v>
      </c>
      <c r="AJ26" s="8">
        <f t="shared" si="7"/>
        <v>-3.4733561396627817E-2</v>
      </c>
      <c r="AK26" s="8">
        <f t="shared" si="8"/>
        <v>0.62740149330334938</v>
      </c>
      <c r="AL26" s="8">
        <f t="shared" si="9"/>
        <v>-3.1331119441996291E-2</v>
      </c>
    </row>
    <row r="27" spans="1:38">
      <c r="A27" t="s">
        <v>122</v>
      </c>
      <c r="B27" t="s">
        <v>123</v>
      </c>
      <c r="C27" t="s">
        <v>124</v>
      </c>
      <c r="D27">
        <v>10</v>
      </c>
      <c r="E27" t="s">
        <v>125</v>
      </c>
      <c r="F27">
        <v>-992.88199999999995</v>
      </c>
      <c r="G27">
        <v>8.4469999999999992</v>
      </c>
      <c r="H27">
        <v>1452.126</v>
      </c>
      <c r="I27">
        <v>-15780.368</v>
      </c>
      <c r="J27">
        <v>7001.7280000000001</v>
      </c>
      <c r="K27">
        <v>1690.299</v>
      </c>
      <c r="L27">
        <v>19418.294000000002</v>
      </c>
      <c r="M27">
        <v>-12416.566000000001</v>
      </c>
      <c r="N27">
        <v>-159.191</v>
      </c>
      <c r="O27">
        <v>1821.471</v>
      </c>
      <c r="P27">
        <v>3894.77</v>
      </c>
      <c r="Q27">
        <v>18.481999999999999</v>
      </c>
      <c r="R27">
        <v>22377.944</v>
      </c>
      <c r="S27">
        <v>23313.063999999998</v>
      </c>
      <c r="T27">
        <v>8853.1489999999994</v>
      </c>
      <c r="U27">
        <v>8797.3520000000008</v>
      </c>
      <c r="V27">
        <v>24636.460999999999</v>
      </c>
      <c r="W27">
        <v>28783.196</v>
      </c>
      <c r="X27">
        <v>-1.7824581965129001</v>
      </c>
      <c r="Y27">
        <v>4</v>
      </c>
      <c r="Z27" t="s">
        <v>62</v>
      </c>
      <c r="AA27" t="s">
        <v>33</v>
      </c>
      <c r="AB27" t="s">
        <v>34</v>
      </c>
      <c r="AC27" s="7">
        <f t="shared" si="0"/>
        <v>-0.11250468187843506</v>
      </c>
      <c r="AD27" s="8">
        <f t="shared" si="1"/>
        <v>5.8169883329683512E-3</v>
      </c>
      <c r="AE27" s="9">
        <f t="shared" si="2"/>
        <v>8.0899944251612912E-4</v>
      </c>
      <c r="AF27" s="8">
        <f t="shared" si="3"/>
        <v>-1.4025027704831357</v>
      </c>
      <c r="AG27" s="8">
        <f t="shared" si="4"/>
        <v>0.37975055531096213</v>
      </c>
      <c r="AH27" s="8">
        <f t="shared" si="5"/>
        <v>2.1933770684306797</v>
      </c>
      <c r="AI27" s="8">
        <f t="shared" si="6"/>
        <v>0.36057379705961806</v>
      </c>
      <c r="AJ27" s="8">
        <f t="shared" si="7"/>
        <v>-1.782458196512902</v>
      </c>
      <c r="AK27" s="8">
        <f t="shared" si="8"/>
        <v>0.30033495382674713</v>
      </c>
      <c r="AL27" s="8">
        <f t="shared" si="9"/>
        <v>-0.11695069313045169</v>
      </c>
    </row>
    <row r="28" spans="1:38">
      <c r="A28" t="s">
        <v>126</v>
      </c>
      <c r="B28" t="s">
        <v>127</v>
      </c>
      <c r="C28" t="s">
        <v>86</v>
      </c>
      <c r="D28">
        <v>0</v>
      </c>
      <c r="E28" t="s">
        <v>128</v>
      </c>
      <c r="F28">
        <v>-832.29</v>
      </c>
      <c r="G28">
        <v>-228.416</v>
      </c>
      <c r="H28">
        <v>114</v>
      </c>
      <c r="I28">
        <v>655.93899999999996</v>
      </c>
      <c r="J28">
        <v>488.90600000000001</v>
      </c>
      <c r="K28">
        <v>0</v>
      </c>
      <c r="L28">
        <v>934.59199999999998</v>
      </c>
      <c r="M28">
        <v>-445.68599999999998</v>
      </c>
      <c r="N28">
        <v>-832.29</v>
      </c>
      <c r="O28">
        <v>7833.1750000000002</v>
      </c>
      <c r="P28">
        <v>6206.4870000000001</v>
      </c>
      <c r="Q28">
        <v>572.846</v>
      </c>
      <c r="R28">
        <v>5691.1530000000002</v>
      </c>
      <c r="S28">
        <v>7141.0789999999997</v>
      </c>
      <c r="T28">
        <v>8322.0810000000001</v>
      </c>
      <c r="U28">
        <v>7694.4769999999999</v>
      </c>
      <c r="V28">
        <v>7425.4639999999999</v>
      </c>
      <c r="W28">
        <v>8203.2579999999998</v>
      </c>
      <c r="X28">
        <v>7.8819107864967902E-2</v>
      </c>
      <c r="Y28">
        <v>4</v>
      </c>
      <c r="Z28" t="s">
        <v>57</v>
      </c>
      <c r="AA28" t="s">
        <v>33</v>
      </c>
      <c r="AB28" t="s">
        <v>34</v>
      </c>
      <c r="AC28" s="7">
        <f t="shared" si="0"/>
        <v>-0.10392869678990953</v>
      </c>
      <c r="AD28" s="8">
        <f t="shared" si="1"/>
        <v>-2.0036491228070177</v>
      </c>
      <c r="AE28" s="9">
        <f t="shared" si="2"/>
        <v>8.9282363348792318E-2</v>
      </c>
      <c r="AF28" s="8">
        <f t="shared" si="3"/>
        <v>-5.3554633750861107E-2</v>
      </c>
      <c r="AG28" s="8">
        <f t="shared" si="4"/>
        <v>1.1653814500581776</v>
      </c>
      <c r="AH28" s="8">
        <f t="shared" si="5"/>
        <v>0.11230268006283524</v>
      </c>
      <c r="AI28" s="8">
        <f t="shared" si="6"/>
        <v>0.52312238923508869</v>
      </c>
      <c r="AJ28" s="8">
        <f t="shared" si="7"/>
        <v>7.8819107864967902E-2</v>
      </c>
      <c r="AK28" s="8">
        <f t="shared" si="8"/>
        <v>6.8463883399133382E-2</v>
      </c>
      <c r="AL28" s="8">
        <f t="shared" si="9"/>
        <v>-0.25578546330824842</v>
      </c>
    </row>
    <row r="29" spans="1:38">
      <c r="A29" t="s">
        <v>129</v>
      </c>
      <c r="B29" t="s">
        <v>130</v>
      </c>
      <c r="C29" t="s">
        <v>131</v>
      </c>
      <c r="D29">
        <v>0</v>
      </c>
      <c r="E29" t="s">
        <v>132</v>
      </c>
      <c r="F29">
        <v>-145.946</v>
      </c>
      <c r="G29">
        <v>-133.946</v>
      </c>
      <c r="H29">
        <v>1.2450000000000001</v>
      </c>
      <c r="I29">
        <v>-4821.7430000000004</v>
      </c>
      <c r="J29">
        <v>1845.6859999999999</v>
      </c>
      <c r="K29">
        <v>1636</v>
      </c>
      <c r="L29">
        <v>12409.467000000001</v>
      </c>
      <c r="M29">
        <v>-10563.781000000001</v>
      </c>
      <c r="N29">
        <v>-145.946</v>
      </c>
      <c r="O29">
        <v>6170.598</v>
      </c>
      <c r="P29">
        <v>415.505</v>
      </c>
      <c r="Q29">
        <v>12</v>
      </c>
      <c r="R29">
        <v>12721.467000000001</v>
      </c>
      <c r="S29">
        <v>12824.972</v>
      </c>
      <c r="T29">
        <v>8016.2839999999997</v>
      </c>
      <c r="U29">
        <v>8066.9129999999996</v>
      </c>
      <c r="V29">
        <v>8238.86</v>
      </c>
      <c r="W29">
        <v>15801.436</v>
      </c>
      <c r="X29">
        <v>-0.60149353490969104</v>
      </c>
      <c r="Y29">
        <v>4</v>
      </c>
      <c r="Z29" t="s">
        <v>32</v>
      </c>
      <c r="AA29" t="s">
        <v>33</v>
      </c>
      <c r="AB29" t="s">
        <v>34</v>
      </c>
      <c r="AC29" s="7">
        <f t="shared" si="0"/>
        <v>-1.8148879230914104E-2</v>
      </c>
      <c r="AD29" s="8">
        <f t="shared" si="1"/>
        <v>-107.5871485943775</v>
      </c>
      <c r="AE29" s="9">
        <f t="shared" si="2"/>
        <v>9.3946557483021414E-4</v>
      </c>
      <c r="AF29" s="8">
        <f t="shared" si="3"/>
        <v>-1.3177902629198268</v>
      </c>
      <c r="AG29" s="8">
        <f t="shared" si="4"/>
        <v>0.62505274865317439</v>
      </c>
      <c r="AH29" s="8">
        <f t="shared" si="5"/>
        <v>1.5480323551411104</v>
      </c>
      <c r="AI29" s="8">
        <f t="shared" si="6"/>
        <v>0.14873209300608961</v>
      </c>
      <c r="AJ29" s="8">
        <f t="shared" si="7"/>
        <v>-0.60149353490969137</v>
      </c>
      <c r="AK29" s="8">
        <f t="shared" si="8"/>
        <v>0.14391345259857097</v>
      </c>
      <c r="AL29" s="8">
        <f t="shared" si="9"/>
        <v>-1.1785552918978536E-4</v>
      </c>
    </row>
    <row r="30" spans="1:38">
      <c r="A30" t="s">
        <v>133</v>
      </c>
      <c r="B30" t="s">
        <v>134</v>
      </c>
      <c r="C30" t="s">
        <v>69</v>
      </c>
      <c r="D30">
        <v>0</v>
      </c>
      <c r="E30" t="s">
        <v>135</v>
      </c>
      <c r="F30">
        <v>-650.07299999999998</v>
      </c>
      <c r="G30">
        <v>-486.404</v>
      </c>
      <c r="H30">
        <v>535.553</v>
      </c>
      <c r="I30">
        <v>-6678.9040000000005</v>
      </c>
      <c r="J30">
        <v>7756.7389999999996</v>
      </c>
      <c r="K30">
        <v>7299.8459999999995</v>
      </c>
      <c r="L30">
        <v>1830.508</v>
      </c>
      <c r="M30">
        <v>5926.2309999999998</v>
      </c>
      <c r="N30">
        <v>-649.27499999999998</v>
      </c>
      <c r="O30">
        <v>2.3580000000000001</v>
      </c>
      <c r="P30">
        <v>11151.833000000001</v>
      </c>
      <c r="Q30">
        <v>162.88200000000001</v>
      </c>
      <c r="R30">
        <v>17512.672999999999</v>
      </c>
      <c r="S30">
        <v>12982.341</v>
      </c>
      <c r="T30">
        <v>7765.6260000000002</v>
      </c>
      <c r="U30">
        <v>12783.315000000001</v>
      </c>
      <c r="V30">
        <v>12747.07</v>
      </c>
      <c r="W30">
        <v>12748.896000000001</v>
      </c>
      <c r="X30">
        <v>-0.86005996168241905</v>
      </c>
      <c r="Y30">
        <v>4</v>
      </c>
      <c r="Z30" t="s">
        <v>39</v>
      </c>
      <c r="AA30" t="s">
        <v>33</v>
      </c>
      <c r="AB30" t="s">
        <v>34</v>
      </c>
      <c r="AC30" s="7">
        <f t="shared" si="0"/>
        <v>-6.3270705775056724E-2</v>
      </c>
      <c r="AD30" s="8">
        <f t="shared" si="1"/>
        <v>-0.9082275703805226</v>
      </c>
      <c r="AE30" s="9">
        <f t="shared" si="2"/>
        <v>1.0682533216741596E-2</v>
      </c>
      <c r="AF30" s="8">
        <f t="shared" si="3"/>
        <v>0.76313628804683609</v>
      </c>
      <c r="AG30" s="8">
        <f t="shared" si="4"/>
        <v>0.59816838889072477</v>
      </c>
      <c r="AH30" s="8">
        <f t="shared" si="5"/>
        <v>0.23571930968604463</v>
      </c>
      <c r="AI30" s="8">
        <f t="shared" si="6"/>
        <v>4.2374788856426742</v>
      </c>
      <c r="AJ30" s="8">
        <f t="shared" si="7"/>
        <v>-0.86005996168241949</v>
      </c>
      <c r="AK30" s="8">
        <f t="shared" si="8"/>
        <v>0.59748384363035911</v>
      </c>
      <c r="AL30" s="8">
        <f t="shared" si="9"/>
        <v>9.0369916393741659E-2</v>
      </c>
    </row>
    <row r="31" spans="1:38">
      <c r="A31" t="s">
        <v>136</v>
      </c>
      <c r="B31" t="s">
        <v>137</v>
      </c>
      <c r="C31" t="s">
        <v>124</v>
      </c>
      <c r="D31">
        <v>7</v>
      </c>
      <c r="E31" t="s">
        <v>138</v>
      </c>
      <c r="F31">
        <v>-6.38</v>
      </c>
      <c r="G31">
        <v>101.72799999999999</v>
      </c>
      <c r="H31">
        <v>516.404</v>
      </c>
      <c r="I31">
        <v>2440.8159999999998</v>
      </c>
      <c r="J31">
        <v>6431.7389999999996</v>
      </c>
      <c r="K31">
        <v>313.79399999999998</v>
      </c>
      <c r="L31">
        <v>4138.3180000000002</v>
      </c>
      <c r="M31">
        <v>2293.4209999999998</v>
      </c>
      <c r="N31">
        <v>70.174000000000007</v>
      </c>
      <c r="O31">
        <v>1193.4570000000001</v>
      </c>
      <c r="P31">
        <v>980.94899999999996</v>
      </c>
      <c r="Q31">
        <v>56.996000000000002</v>
      </c>
      <c r="R31">
        <v>5129.3140000000003</v>
      </c>
      <c r="S31">
        <v>5119.2669999999998</v>
      </c>
      <c r="T31">
        <v>7705.2579999999998</v>
      </c>
      <c r="U31">
        <v>7717.9219999999996</v>
      </c>
      <c r="V31">
        <v>7831.5609999999997</v>
      </c>
      <c r="W31">
        <v>7789.5050000000001</v>
      </c>
      <c r="X31">
        <v>0.31677278035336398</v>
      </c>
      <c r="Y31">
        <v>4</v>
      </c>
      <c r="Z31" t="s">
        <v>62</v>
      </c>
      <c r="AA31" t="s">
        <v>33</v>
      </c>
      <c r="AB31" t="s">
        <v>34</v>
      </c>
      <c r="AC31" s="7">
        <f t="shared" si="0"/>
        <v>-8.2732614156094913E-4</v>
      </c>
      <c r="AD31" s="8">
        <f t="shared" si="1"/>
        <v>0.1969930519515728</v>
      </c>
      <c r="AE31" s="9">
        <f t="shared" si="2"/>
        <v>1.1122710548904282E-2</v>
      </c>
      <c r="AF31" s="8">
        <f t="shared" si="3"/>
        <v>0.29764363503467373</v>
      </c>
      <c r="AG31" s="8">
        <f t="shared" si="4"/>
        <v>1.5051486863256009</v>
      </c>
      <c r="AH31" s="8">
        <f t="shared" si="5"/>
        <v>0.53707714913634308</v>
      </c>
      <c r="AI31" s="8">
        <f t="shared" si="6"/>
        <v>1.5541915821838725</v>
      </c>
      <c r="AJ31" s="8">
        <f t="shared" si="7"/>
        <v>0.31677278035336387</v>
      </c>
      <c r="AK31" s="8">
        <f t="shared" si="8"/>
        <v>1.2563788917436813</v>
      </c>
      <c r="AL31" s="8">
        <f t="shared" si="9"/>
        <v>0.22516755536815963</v>
      </c>
    </row>
    <row r="32" spans="1:38">
      <c r="A32" t="s">
        <v>139</v>
      </c>
      <c r="B32" t="s">
        <v>140</v>
      </c>
      <c r="C32" t="s">
        <v>69</v>
      </c>
      <c r="D32">
        <v>18</v>
      </c>
      <c r="E32" t="s">
        <v>141</v>
      </c>
      <c r="F32">
        <v>166.60900000000001</v>
      </c>
      <c r="G32">
        <v>375.35300000000001</v>
      </c>
      <c r="H32">
        <v>9005.41</v>
      </c>
      <c r="I32">
        <v>502.94</v>
      </c>
      <c r="J32">
        <v>6254.3270000000002</v>
      </c>
      <c r="K32">
        <v>720</v>
      </c>
      <c r="L32">
        <v>4162.4340000000002</v>
      </c>
      <c r="M32">
        <v>2091.893</v>
      </c>
      <c r="N32">
        <v>234.78299999999999</v>
      </c>
      <c r="O32">
        <v>967.30899999999997</v>
      </c>
      <c r="P32">
        <v>2437.386</v>
      </c>
      <c r="Q32">
        <v>70.817999999999998</v>
      </c>
      <c r="R32">
        <v>3728.8020000000001</v>
      </c>
      <c r="S32">
        <v>6599.82</v>
      </c>
      <c r="T32">
        <v>7260.2179999999998</v>
      </c>
      <c r="U32">
        <v>4852.3050000000003</v>
      </c>
      <c r="V32">
        <v>1414.3209999999999</v>
      </c>
      <c r="W32">
        <v>950.83600000000001</v>
      </c>
      <c r="X32">
        <v>6.9273401983246205E-2</v>
      </c>
      <c r="Y32">
        <v>4</v>
      </c>
      <c r="Z32" t="s">
        <v>39</v>
      </c>
      <c r="AA32" t="s">
        <v>33</v>
      </c>
      <c r="AB32" t="s">
        <v>34</v>
      </c>
      <c r="AC32" s="7">
        <f t="shared" si="0"/>
        <v>2.7510205759774409E-2</v>
      </c>
      <c r="AD32" s="8">
        <f t="shared" si="1"/>
        <v>4.1680834076405188E-2</v>
      </c>
      <c r="AE32" s="9">
        <f t="shared" si="2"/>
        <v>1.3712961903340058E-2</v>
      </c>
      <c r="AF32" s="8">
        <f t="shared" si="3"/>
        <v>0.2881308798165565</v>
      </c>
      <c r="AG32" s="8">
        <f t="shared" si="4"/>
        <v>1.1000630320220854</v>
      </c>
      <c r="AH32" s="8">
        <f t="shared" si="5"/>
        <v>0.57332080111093087</v>
      </c>
      <c r="AI32" s="8">
        <f t="shared" si="6"/>
        <v>1.5025648454726248</v>
      </c>
      <c r="AJ32" s="8">
        <f t="shared" si="7"/>
        <v>6.9273401983246233E-2</v>
      </c>
      <c r="AK32" s="8">
        <f t="shared" si="8"/>
        <v>0.94765114806161388</v>
      </c>
      <c r="AL32" s="8">
        <f t="shared" si="9"/>
        <v>4.3049094767275378</v>
      </c>
    </row>
    <row r="33" spans="1:38">
      <c r="A33" t="s">
        <v>142</v>
      </c>
      <c r="B33" t="s">
        <v>143</v>
      </c>
      <c r="C33" t="s">
        <v>120</v>
      </c>
      <c r="D33">
        <v>0</v>
      </c>
      <c r="E33" t="s">
        <v>144</v>
      </c>
      <c r="F33">
        <v>-762.12900000000002</v>
      </c>
      <c r="G33">
        <v>-675.76</v>
      </c>
      <c r="H33">
        <v>50.351999999999997</v>
      </c>
      <c r="I33">
        <v>-14064.576999999999</v>
      </c>
      <c r="J33">
        <v>5474.5050000000001</v>
      </c>
      <c r="K33">
        <v>0</v>
      </c>
      <c r="L33">
        <v>17336.481</v>
      </c>
      <c r="M33">
        <v>-11861.976000000001</v>
      </c>
      <c r="N33">
        <v>-762.12900000000002</v>
      </c>
      <c r="O33">
        <v>1600.962</v>
      </c>
      <c r="P33">
        <v>3302.4380000000001</v>
      </c>
      <c r="Q33">
        <v>8.4920000000000009</v>
      </c>
      <c r="R33">
        <v>16781.534</v>
      </c>
      <c r="S33">
        <v>20638.919000000002</v>
      </c>
      <c r="T33">
        <v>7092.4610000000002</v>
      </c>
      <c r="U33">
        <v>7466.4409999999998</v>
      </c>
      <c r="V33">
        <v>8022.2929999999997</v>
      </c>
      <c r="W33">
        <v>22484.335999999999</v>
      </c>
      <c r="X33">
        <v>-1.9830319828336</v>
      </c>
      <c r="Y33">
        <v>4</v>
      </c>
      <c r="Z33" t="s">
        <v>44</v>
      </c>
      <c r="AA33" t="s">
        <v>33</v>
      </c>
      <c r="AB33" t="s">
        <v>34</v>
      </c>
      <c r="AC33" s="7">
        <f t="shared" si="0"/>
        <v>-0.10469594479034203</v>
      </c>
      <c r="AD33" s="8">
        <f t="shared" si="1"/>
        <v>-13.420718144264379</v>
      </c>
      <c r="AE33" s="9">
        <f t="shared" si="2"/>
        <v>4.5386943872646334E-4</v>
      </c>
      <c r="AF33" s="8">
        <f t="shared" si="3"/>
        <v>-1.6724767326884138</v>
      </c>
      <c r="AG33" s="8">
        <f t="shared" si="4"/>
        <v>0.34364498450718273</v>
      </c>
      <c r="AH33" s="8">
        <f t="shared" si="5"/>
        <v>2.4443533774806796</v>
      </c>
      <c r="AI33" s="8">
        <f t="shared" si="6"/>
        <v>0.31577948258357624</v>
      </c>
      <c r="AJ33" s="8">
        <f t="shared" si="7"/>
        <v>-1.9830319828336029</v>
      </c>
      <c r="AK33" s="8">
        <f t="shared" si="8"/>
        <v>0.26525153764109444</v>
      </c>
      <c r="AL33" s="8">
        <f t="shared" si="9"/>
        <v>-4.2448239652482849E-3</v>
      </c>
    </row>
    <row r="34" spans="1:38">
      <c r="A34" t="s">
        <v>145</v>
      </c>
      <c r="B34" t="s">
        <v>146</v>
      </c>
      <c r="C34" t="s">
        <v>131</v>
      </c>
      <c r="D34">
        <v>0</v>
      </c>
      <c r="E34" t="s">
        <v>147</v>
      </c>
      <c r="F34">
        <v>-0.82199999999999995</v>
      </c>
      <c r="G34">
        <v>8.3239999999999998</v>
      </c>
      <c r="H34">
        <v>118.386</v>
      </c>
      <c r="I34">
        <v>364.36900000000003</v>
      </c>
      <c r="J34">
        <v>6951.7839999999997</v>
      </c>
      <c r="K34">
        <v>6739.616</v>
      </c>
      <c r="L34">
        <v>5786.9319999999998</v>
      </c>
      <c r="M34">
        <v>1164.8520000000001</v>
      </c>
      <c r="N34">
        <v>8.3130000000000006</v>
      </c>
      <c r="O34">
        <v>33.439</v>
      </c>
      <c r="P34">
        <v>842.85400000000004</v>
      </c>
      <c r="Q34">
        <v>1.0999999999999999E-2</v>
      </c>
      <c r="R34">
        <v>6517.8789999999999</v>
      </c>
      <c r="S34">
        <v>6629.7860000000001</v>
      </c>
      <c r="T34">
        <v>6994.3239999999996</v>
      </c>
      <c r="U34">
        <v>6887.8140000000003</v>
      </c>
      <c r="V34">
        <v>6860.5069999999996</v>
      </c>
      <c r="W34">
        <v>6859.9269999999997</v>
      </c>
      <c r="X34">
        <v>5.2094955852774301E-2</v>
      </c>
      <c r="Y34">
        <v>4</v>
      </c>
      <c r="Z34" t="s">
        <v>32</v>
      </c>
      <c r="AA34" t="s">
        <v>33</v>
      </c>
      <c r="AB34" t="s">
        <v>34</v>
      </c>
      <c r="AC34" s="7">
        <f t="shared" si="0"/>
        <v>-1.1842556240256364E-4</v>
      </c>
      <c r="AD34" s="8">
        <f t="shared" si="1"/>
        <v>7.0312368016488436E-2</v>
      </c>
      <c r="AE34" s="9">
        <f t="shared" si="2"/>
        <v>1.6733009245367901E-6</v>
      </c>
      <c r="AF34" s="8">
        <f t="shared" si="3"/>
        <v>0.16654247072340375</v>
      </c>
      <c r="AG34" s="8">
        <f t="shared" si="4"/>
        <v>1.0549848818649652</v>
      </c>
      <c r="AH34" s="8">
        <f t="shared" si="5"/>
        <v>0.8273754547258606</v>
      </c>
      <c r="AI34" s="8">
        <f t="shared" si="6"/>
        <v>1.2012900790954515</v>
      </c>
      <c r="AJ34" s="8">
        <f t="shared" si="7"/>
        <v>5.2094955852774343E-2</v>
      </c>
      <c r="AK34" s="8">
        <f t="shared" si="8"/>
        <v>1.0485683851635632</v>
      </c>
      <c r="AL34" s="8">
        <f t="shared" si="9"/>
        <v>0.10163179528386437</v>
      </c>
    </row>
    <row r="35" spans="1:38">
      <c r="A35" t="s">
        <v>148</v>
      </c>
      <c r="B35" t="s">
        <v>149</v>
      </c>
      <c r="C35" t="s">
        <v>51</v>
      </c>
      <c r="D35">
        <v>79</v>
      </c>
      <c r="E35" t="s">
        <v>150</v>
      </c>
      <c r="F35">
        <v>-1546.7629999999999</v>
      </c>
      <c r="G35">
        <v>1141.7439999999999</v>
      </c>
      <c r="H35">
        <v>3782.3020000000001</v>
      </c>
      <c r="I35">
        <v>-141.71299999999999</v>
      </c>
      <c r="J35">
        <v>2897.4720000000002</v>
      </c>
      <c r="K35">
        <v>300.91699999999997</v>
      </c>
      <c r="L35">
        <v>5520.5060000000003</v>
      </c>
      <c r="M35">
        <v>-2623.0340000000001</v>
      </c>
      <c r="N35">
        <v>914.61300000000006</v>
      </c>
      <c r="O35">
        <v>4029.2379999999998</v>
      </c>
      <c r="P35">
        <v>810.46400000000006</v>
      </c>
      <c r="Q35">
        <v>181.27199999999999</v>
      </c>
      <c r="R35">
        <v>9530.2090000000007</v>
      </c>
      <c r="S35">
        <v>6330.97</v>
      </c>
      <c r="T35">
        <v>6926.71</v>
      </c>
      <c r="U35">
        <v>11557.494000000001</v>
      </c>
      <c r="V35">
        <v>10657.866</v>
      </c>
      <c r="W35">
        <v>6454.9780000000001</v>
      </c>
      <c r="X35">
        <v>-2.04589191694181E-2</v>
      </c>
      <c r="Y35">
        <v>4</v>
      </c>
      <c r="Z35" t="s">
        <v>39</v>
      </c>
      <c r="AA35" t="s">
        <v>33</v>
      </c>
      <c r="AB35" t="s">
        <v>34</v>
      </c>
      <c r="AC35" s="7">
        <f t="shared" si="0"/>
        <v>-0.16736052036647073</v>
      </c>
      <c r="AD35" s="8">
        <f t="shared" si="1"/>
        <v>0.30186484315636347</v>
      </c>
      <c r="AE35" s="9">
        <f t="shared" si="2"/>
        <v>2.2857317227174601E-2</v>
      </c>
      <c r="AF35" s="8">
        <f t="shared" si="3"/>
        <v>-0.37868396395980197</v>
      </c>
      <c r="AG35" s="8">
        <f t="shared" si="4"/>
        <v>1.0940993244321171</v>
      </c>
      <c r="AH35" s="8">
        <f t="shared" si="5"/>
        <v>0.79698818053592546</v>
      </c>
      <c r="AI35" s="8">
        <f t="shared" si="6"/>
        <v>0.52485623600445319</v>
      </c>
      <c r="AJ35" s="8">
        <f t="shared" si="7"/>
        <v>-2.0458919169418093E-2</v>
      </c>
      <c r="AK35" s="8">
        <f t="shared" si="8"/>
        <v>0.45766636076304262</v>
      </c>
      <c r="AL35" s="8">
        <f t="shared" si="9"/>
        <v>-1.4419569094415092</v>
      </c>
    </row>
    <row r="36" spans="1:38">
      <c r="A36" t="s">
        <v>151</v>
      </c>
      <c r="B36" t="s">
        <v>152</v>
      </c>
      <c r="C36" t="s">
        <v>131</v>
      </c>
      <c r="D36">
        <v>6</v>
      </c>
      <c r="E36" t="s">
        <v>153</v>
      </c>
      <c r="F36">
        <v>-11775.634</v>
      </c>
      <c r="G36">
        <v>-7838.3140000000003</v>
      </c>
      <c r="H36">
        <v>4434.0990000000002</v>
      </c>
      <c r="I36">
        <v>-8969.4480000000003</v>
      </c>
      <c r="J36">
        <v>3641.9760000000001</v>
      </c>
      <c r="K36">
        <v>300</v>
      </c>
      <c r="L36">
        <v>10919.084000000001</v>
      </c>
      <c r="M36">
        <v>-7277.1080000000002</v>
      </c>
      <c r="N36">
        <v>-9737.8889999999992</v>
      </c>
      <c r="O36">
        <v>2935.5329999999999</v>
      </c>
      <c r="P36">
        <v>2144.7579999999998</v>
      </c>
      <c r="Q36">
        <v>40.784999999999997</v>
      </c>
      <c r="R36">
        <v>14411.772000000001</v>
      </c>
      <c r="S36">
        <v>13063.842000000001</v>
      </c>
      <c r="T36">
        <v>6628.8490000000002</v>
      </c>
      <c r="U36">
        <v>17408.991999999998</v>
      </c>
      <c r="V36">
        <v>16709.116000000002</v>
      </c>
      <c r="W36">
        <v>16485.425999999999</v>
      </c>
      <c r="X36">
        <v>-1.3530928219967</v>
      </c>
      <c r="Y36">
        <v>4</v>
      </c>
      <c r="Z36" t="s">
        <v>32</v>
      </c>
      <c r="AA36" t="s">
        <v>33</v>
      </c>
      <c r="AB36" t="s">
        <v>34</v>
      </c>
      <c r="AC36" s="7">
        <f t="shared" si="0"/>
        <v>-0.97975804066596495</v>
      </c>
      <c r="AD36" s="8">
        <f t="shared" si="1"/>
        <v>-1.7677354520050184</v>
      </c>
      <c r="AE36" s="9">
        <f t="shared" si="2"/>
        <v>2.968814454883519E-3</v>
      </c>
      <c r="AF36" s="8">
        <f t="shared" si="3"/>
        <v>-1.097793598858565</v>
      </c>
      <c r="AG36" s="8">
        <f t="shared" si="4"/>
        <v>0.50741956309636937</v>
      </c>
      <c r="AH36" s="8">
        <f t="shared" si="5"/>
        <v>1.6472066266707841</v>
      </c>
      <c r="AI36" s="8">
        <f t="shared" si="6"/>
        <v>0.33354226416794669</v>
      </c>
      <c r="AJ36" s="8">
        <f t="shared" si="7"/>
        <v>-1.3530928219966996</v>
      </c>
      <c r="AK36" s="8">
        <f t="shared" si="8"/>
        <v>0.2787829185319296</v>
      </c>
      <c r="AL36" s="8">
        <f t="shared" si="9"/>
        <v>-0.60932158764168409</v>
      </c>
    </row>
    <row r="37" spans="1:38">
      <c r="A37" t="s">
        <v>154</v>
      </c>
      <c r="B37" t="s">
        <v>155</v>
      </c>
      <c r="C37" t="s">
        <v>47</v>
      </c>
      <c r="D37">
        <v>50</v>
      </c>
      <c r="E37" t="s">
        <v>156</v>
      </c>
      <c r="F37">
        <v>67.031999999999996</v>
      </c>
      <c r="G37">
        <v>492.02499999999998</v>
      </c>
      <c r="H37">
        <v>4671.7809999999999</v>
      </c>
      <c r="I37">
        <v>623.73</v>
      </c>
      <c r="J37">
        <v>5342.3540000000003</v>
      </c>
      <c r="K37">
        <v>1079.307</v>
      </c>
      <c r="L37">
        <v>4954.2309999999998</v>
      </c>
      <c r="M37">
        <v>388.12299999999999</v>
      </c>
      <c r="N37">
        <v>338.95</v>
      </c>
      <c r="O37">
        <v>1044.723</v>
      </c>
      <c r="P37">
        <v>523.75099999999998</v>
      </c>
      <c r="Q37">
        <v>99.376000000000005</v>
      </c>
      <c r="R37">
        <v>4965.59</v>
      </c>
      <c r="S37">
        <v>5477.982</v>
      </c>
      <c r="T37">
        <v>6409.8810000000003</v>
      </c>
      <c r="U37">
        <v>5790.28</v>
      </c>
      <c r="V37">
        <v>5385.58</v>
      </c>
      <c r="W37">
        <v>3662.36</v>
      </c>
      <c r="X37">
        <v>9.7307578721040205E-2</v>
      </c>
      <c r="Y37">
        <v>4</v>
      </c>
      <c r="Z37" t="s">
        <v>32</v>
      </c>
      <c r="AA37" t="s">
        <v>33</v>
      </c>
      <c r="AB37" t="s">
        <v>34</v>
      </c>
      <c r="AC37" s="7">
        <f t="shared" si="0"/>
        <v>1.0988707444106679E-2</v>
      </c>
      <c r="AD37" s="8">
        <f t="shared" si="1"/>
        <v>0.10531850701049557</v>
      </c>
      <c r="AE37" s="9">
        <f t="shared" si="2"/>
        <v>1.9031036507432514E-2</v>
      </c>
      <c r="AF37" s="8">
        <f t="shared" si="3"/>
        <v>6.0550734093191429E-2</v>
      </c>
      <c r="AG37" s="8">
        <f t="shared" si="4"/>
        <v>1.1701172073949859</v>
      </c>
      <c r="AH37" s="8">
        <f t="shared" si="5"/>
        <v>0.77290530042601413</v>
      </c>
      <c r="AI37" s="8">
        <f t="shared" si="6"/>
        <v>1.0783417244775224</v>
      </c>
      <c r="AJ37" s="8">
        <f t="shared" si="7"/>
        <v>9.7307578721040219E-2</v>
      </c>
      <c r="AK37" s="8">
        <f t="shared" si="8"/>
        <v>0.97524124759811193</v>
      </c>
      <c r="AL37" s="8">
        <f t="shared" si="9"/>
        <v>12.03685687269242</v>
      </c>
    </row>
    <row r="38" spans="1:38">
      <c r="A38" t="s">
        <v>157</v>
      </c>
      <c r="B38" t="s">
        <v>158</v>
      </c>
      <c r="C38" t="s">
        <v>37</v>
      </c>
      <c r="D38">
        <v>2</v>
      </c>
      <c r="E38" t="s">
        <v>159</v>
      </c>
      <c r="F38">
        <v>-50.609000000000002</v>
      </c>
      <c r="G38">
        <v>-48.052</v>
      </c>
      <c r="H38">
        <v>13.518000000000001</v>
      </c>
      <c r="I38">
        <v>121.61799999999999</v>
      </c>
      <c r="J38">
        <v>4520.2920000000004</v>
      </c>
      <c r="K38">
        <v>918.11400000000003</v>
      </c>
      <c r="L38">
        <v>3235.9670000000001</v>
      </c>
      <c r="M38">
        <v>1284.325</v>
      </c>
      <c r="N38">
        <v>-50.609000000000002</v>
      </c>
      <c r="O38">
        <v>1848.7070000000001</v>
      </c>
      <c r="P38">
        <v>2949.1329999999998</v>
      </c>
      <c r="Q38">
        <v>0.15</v>
      </c>
      <c r="R38">
        <v>6182.14</v>
      </c>
      <c r="S38">
        <v>6185.1</v>
      </c>
      <c r="T38">
        <v>6370.2020000000002</v>
      </c>
      <c r="U38">
        <v>6258.143</v>
      </c>
      <c r="V38">
        <v>10619.295</v>
      </c>
      <c r="W38">
        <v>10008.678</v>
      </c>
      <c r="X38">
        <v>1.90917022725496E-2</v>
      </c>
      <c r="Y38">
        <v>4</v>
      </c>
      <c r="Z38" t="s">
        <v>39</v>
      </c>
      <c r="AA38" t="s">
        <v>33</v>
      </c>
      <c r="AB38" t="s">
        <v>34</v>
      </c>
      <c r="AC38" s="7">
        <f t="shared" si="0"/>
        <v>-8.0151437104386998E-3</v>
      </c>
      <c r="AD38" s="8">
        <f t="shared" si="1"/>
        <v>-3.554667850273709</v>
      </c>
      <c r="AE38" s="9">
        <f t="shared" si="2"/>
        <v>2.4257635495065993E-5</v>
      </c>
      <c r="AF38" s="8">
        <f t="shared" si="3"/>
        <v>0.20161448569448817</v>
      </c>
      <c r="AG38" s="8">
        <f t="shared" si="4"/>
        <v>1.0299270828280869</v>
      </c>
      <c r="AH38" s="8">
        <f t="shared" si="5"/>
        <v>0.50798499011491316</v>
      </c>
      <c r="AI38" s="8">
        <f t="shared" si="6"/>
        <v>1.3968906357821327</v>
      </c>
      <c r="AJ38" s="8">
        <f t="shared" si="7"/>
        <v>1.9091702272549596E-2</v>
      </c>
      <c r="AK38" s="8">
        <f t="shared" si="8"/>
        <v>0.73083571809671632</v>
      </c>
      <c r="AL38" s="8">
        <f t="shared" si="9"/>
        <v>1.0525373250540168E-2</v>
      </c>
    </row>
    <row r="39" spans="1:38">
      <c r="A39" t="s">
        <v>160</v>
      </c>
      <c r="B39" t="s">
        <v>161</v>
      </c>
      <c r="C39" t="s">
        <v>131</v>
      </c>
      <c r="D39">
        <v>14</v>
      </c>
      <c r="E39" t="s">
        <v>162</v>
      </c>
      <c r="F39">
        <v>-6622.64</v>
      </c>
      <c r="G39">
        <v>-4551.3860000000004</v>
      </c>
      <c r="H39">
        <v>11688.686</v>
      </c>
      <c r="I39">
        <v>-6464.6139999999996</v>
      </c>
      <c r="J39">
        <v>6083.5389999999998</v>
      </c>
      <c r="K39">
        <v>670</v>
      </c>
      <c r="L39">
        <v>10804.166999999999</v>
      </c>
      <c r="M39">
        <v>-4720.6279999999997</v>
      </c>
      <c r="N39">
        <v>-4725.4009999999998</v>
      </c>
      <c r="O39">
        <v>29.277000000000001</v>
      </c>
      <c r="P39">
        <v>102.283</v>
      </c>
      <c r="Q39">
        <v>174.01499999999999</v>
      </c>
      <c r="R39">
        <v>11084.253000000001</v>
      </c>
      <c r="S39">
        <v>10906.45</v>
      </c>
      <c r="T39">
        <v>6132.5519999999997</v>
      </c>
      <c r="U39">
        <v>11445.107</v>
      </c>
      <c r="V39">
        <v>10137.721</v>
      </c>
      <c r="W39">
        <v>5094.6270000000004</v>
      </c>
      <c r="X39">
        <v>-1.05414744139145</v>
      </c>
      <c r="Y39">
        <v>4</v>
      </c>
      <c r="Z39" t="s">
        <v>32</v>
      </c>
      <c r="AA39" t="s">
        <v>33</v>
      </c>
      <c r="AB39" t="s">
        <v>34</v>
      </c>
      <c r="AC39" s="7">
        <f t="shared" si="0"/>
        <v>-0.75352923844978448</v>
      </c>
      <c r="AD39" s="8">
        <f t="shared" si="1"/>
        <v>-0.38938388797508983</v>
      </c>
      <c r="AE39" s="9">
        <f t="shared" si="2"/>
        <v>1.5826233476937956E-2</v>
      </c>
      <c r="AF39" s="8">
        <f t="shared" si="3"/>
        <v>-0.76976567014841457</v>
      </c>
      <c r="AG39" s="8">
        <f t="shared" si="4"/>
        <v>0.56228672024352555</v>
      </c>
      <c r="AH39" s="8">
        <f t="shared" si="5"/>
        <v>1.7617734020029507</v>
      </c>
      <c r="AI39" s="8">
        <f t="shared" si="6"/>
        <v>0.5630733956629882</v>
      </c>
      <c r="AJ39" s="8">
        <f t="shared" si="7"/>
        <v>-1.0541474413914469</v>
      </c>
      <c r="AK39" s="8">
        <f t="shared" si="8"/>
        <v>0.55779277400070593</v>
      </c>
      <c r="AL39" s="8">
        <f t="shared" si="9"/>
        <v>-2.4760870799393642</v>
      </c>
    </row>
    <row r="40" spans="1:38">
      <c r="A40" t="s">
        <v>163</v>
      </c>
      <c r="B40" t="s">
        <v>164</v>
      </c>
      <c r="C40" t="s">
        <v>47</v>
      </c>
      <c r="D40">
        <v>0</v>
      </c>
      <c r="E40" t="s">
        <v>165</v>
      </c>
      <c r="F40">
        <v>-436.56700000000001</v>
      </c>
      <c r="G40">
        <v>-230.37299999999999</v>
      </c>
      <c r="H40">
        <v>7.266</v>
      </c>
      <c r="I40">
        <v>-6477.9059999999999</v>
      </c>
      <c r="J40">
        <v>6122.8360000000002</v>
      </c>
      <c r="K40">
        <v>6094.259</v>
      </c>
      <c r="L40">
        <v>12568.134</v>
      </c>
      <c r="M40">
        <v>-6445.2979999999998</v>
      </c>
      <c r="N40">
        <v>-308.798</v>
      </c>
      <c r="O40">
        <v>0</v>
      </c>
      <c r="P40">
        <v>0</v>
      </c>
      <c r="Q40">
        <v>78.432000000000002</v>
      </c>
      <c r="R40">
        <v>12374.165999999999</v>
      </c>
      <c r="S40">
        <v>12568.134</v>
      </c>
      <c r="T40">
        <v>6127.576</v>
      </c>
      <c r="U40">
        <v>6369.7749999999996</v>
      </c>
      <c r="V40">
        <v>7122.0810000000001</v>
      </c>
      <c r="W40">
        <v>12961.796</v>
      </c>
      <c r="X40">
        <v>-1.05717268949418</v>
      </c>
      <c r="Y40">
        <v>4</v>
      </c>
      <c r="Z40" t="s">
        <v>32</v>
      </c>
      <c r="AA40" t="s">
        <v>33</v>
      </c>
      <c r="AB40" t="s">
        <v>34</v>
      </c>
      <c r="AC40" s="7">
        <f t="shared" si="0"/>
        <v>-6.9865525902249218E-2</v>
      </c>
      <c r="AD40" s="8">
        <f t="shared" si="1"/>
        <v>-31.705615194054499</v>
      </c>
      <c r="AE40" s="9">
        <f t="shared" si="2"/>
        <v>6.2890751855281994E-3</v>
      </c>
      <c r="AF40" s="8">
        <f t="shared" si="3"/>
        <v>-1.0518511724701578</v>
      </c>
      <c r="AG40" s="8">
        <f t="shared" si="4"/>
        <v>0.4875485891541258</v>
      </c>
      <c r="AH40" s="8">
        <f t="shared" si="5"/>
        <v>2.0510776202530985</v>
      </c>
      <c r="AI40" s="8">
        <f t="shared" si="6"/>
        <v>0.48717144486206149</v>
      </c>
      <c r="AJ40" s="8">
        <f t="shared" si="7"/>
        <v>-1.0571726894941817</v>
      </c>
      <c r="AK40" s="8">
        <f t="shared" si="8"/>
        <v>0.48717144486206149</v>
      </c>
      <c r="AL40" s="8">
        <f t="shared" si="9"/>
        <v>-1.1273334452495448E-3</v>
      </c>
    </row>
    <row r="41" spans="1:38">
      <c r="A41" t="s">
        <v>166</v>
      </c>
      <c r="B41" t="s">
        <v>167</v>
      </c>
      <c r="C41" t="s">
        <v>168</v>
      </c>
      <c r="D41">
        <v>390</v>
      </c>
      <c r="E41" t="s">
        <v>169</v>
      </c>
      <c r="F41">
        <v>41.813000000000002</v>
      </c>
      <c r="G41">
        <v>120.976</v>
      </c>
      <c r="H41">
        <v>3963.83</v>
      </c>
      <c r="I41">
        <v>-1034.761</v>
      </c>
      <c r="J41">
        <v>5454.3639999999996</v>
      </c>
      <c r="K41">
        <v>11.773</v>
      </c>
      <c r="L41">
        <v>5540.8320000000003</v>
      </c>
      <c r="M41">
        <v>-86.468000000000004</v>
      </c>
      <c r="N41">
        <v>106.02200000000001</v>
      </c>
      <c r="O41">
        <v>550.32799999999997</v>
      </c>
      <c r="P41">
        <v>417.435</v>
      </c>
      <c r="Q41">
        <v>4.9649999999999999</v>
      </c>
      <c r="R41">
        <v>4579.8590000000004</v>
      </c>
      <c r="S41">
        <v>5958.2669999999998</v>
      </c>
      <c r="T41">
        <v>6005.2359999999999</v>
      </c>
      <c r="U41">
        <v>4564.6710000000003</v>
      </c>
      <c r="V41">
        <v>6868.5619999999999</v>
      </c>
      <c r="W41">
        <v>6208.9170000000004</v>
      </c>
      <c r="X41">
        <v>-0.172309797649917</v>
      </c>
      <c r="Y41">
        <v>4</v>
      </c>
      <c r="Z41" t="s">
        <v>44</v>
      </c>
      <c r="AA41" t="s">
        <v>33</v>
      </c>
      <c r="AB41" t="s">
        <v>34</v>
      </c>
      <c r="AC41" s="7">
        <f t="shared" si="0"/>
        <v>7.911706318702711E-3</v>
      </c>
      <c r="AD41" s="8">
        <f t="shared" si="1"/>
        <v>3.0519976891037203E-2</v>
      </c>
      <c r="AE41" s="9">
        <f t="shared" si="2"/>
        <v>9.4229277577436441E-4</v>
      </c>
      <c r="AF41" s="8">
        <f t="shared" si="3"/>
        <v>-1.4398768008451293E-2</v>
      </c>
      <c r="AG41" s="8">
        <f t="shared" si="4"/>
        <v>1.0078829968512657</v>
      </c>
      <c r="AH41" s="8">
        <f t="shared" si="5"/>
        <v>0.92266681942225093</v>
      </c>
      <c r="AI41" s="8">
        <f t="shared" si="6"/>
        <v>0.98439440141841505</v>
      </c>
      <c r="AJ41" s="8">
        <f t="shared" si="7"/>
        <v>-0.1723097976499175</v>
      </c>
      <c r="AK41" s="8">
        <f t="shared" si="8"/>
        <v>0.91542792560319963</v>
      </c>
      <c r="AL41" s="8">
        <f t="shared" si="9"/>
        <v>-45.841583013369103</v>
      </c>
    </row>
    <row r="42" spans="1:38">
      <c r="A42" t="s">
        <v>170</v>
      </c>
      <c r="B42" t="s">
        <v>171</v>
      </c>
      <c r="C42" t="s">
        <v>86</v>
      </c>
      <c r="D42">
        <v>26</v>
      </c>
      <c r="E42" t="s">
        <v>172</v>
      </c>
      <c r="F42">
        <v>-1796.5319999999999</v>
      </c>
      <c r="G42">
        <v>-981.59100000000001</v>
      </c>
      <c r="H42">
        <v>1781.712</v>
      </c>
      <c r="I42">
        <v>149.29499999999999</v>
      </c>
      <c r="J42">
        <v>5098.6859999999997</v>
      </c>
      <c r="K42">
        <v>2852.8420000000001</v>
      </c>
      <c r="L42">
        <v>2905.16</v>
      </c>
      <c r="M42">
        <v>2193.5259999999998</v>
      </c>
      <c r="N42">
        <v>-1046.5319999999999</v>
      </c>
      <c r="O42">
        <v>876.82500000000005</v>
      </c>
      <c r="P42">
        <v>2149.1680000000001</v>
      </c>
      <c r="Q42">
        <v>64.941000000000003</v>
      </c>
      <c r="R42">
        <v>4601.5330000000004</v>
      </c>
      <c r="S42">
        <v>5054.3280000000004</v>
      </c>
      <c r="T42">
        <v>5986.866</v>
      </c>
      <c r="U42">
        <v>6594.3779999999997</v>
      </c>
      <c r="V42">
        <v>5660.2439999999997</v>
      </c>
      <c r="W42">
        <v>5617.5709999999999</v>
      </c>
      <c r="X42">
        <v>2.49370872840648E-2</v>
      </c>
      <c r="Y42">
        <v>4</v>
      </c>
      <c r="Z42" t="s">
        <v>57</v>
      </c>
      <c r="AA42" t="s">
        <v>33</v>
      </c>
      <c r="AB42" t="s">
        <v>34</v>
      </c>
      <c r="AC42" s="7">
        <f t="shared" si="0"/>
        <v>-0.2855889290439006</v>
      </c>
      <c r="AD42" s="8">
        <f t="shared" si="1"/>
        <v>-0.55092573883994722</v>
      </c>
      <c r="AE42" s="9">
        <f t="shared" si="2"/>
        <v>1.3451104981730784E-2</v>
      </c>
      <c r="AF42" s="8">
        <f t="shared" si="3"/>
        <v>0.36638969370618951</v>
      </c>
      <c r="AG42" s="8">
        <f t="shared" si="4"/>
        <v>1.1845028656628536</v>
      </c>
      <c r="AH42" s="8">
        <f t="shared" si="5"/>
        <v>0.48525555774924639</v>
      </c>
      <c r="AI42" s="8">
        <f t="shared" si="6"/>
        <v>1.7550448168087127</v>
      </c>
      <c r="AJ42" s="8">
        <f t="shared" si="7"/>
        <v>2.4937087284064817E-2</v>
      </c>
      <c r="AK42" s="8">
        <f t="shared" si="8"/>
        <v>1.0087762408771253</v>
      </c>
      <c r="AL42" s="8">
        <f t="shared" si="9"/>
        <v>0.81225934864688187</v>
      </c>
    </row>
    <row r="43" spans="1:38">
      <c r="A43" t="s">
        <v>173</v>
      </c>
      <c r="B43" t="s">
        <v>174</v>
      </c>
      <c r="C43" t="s">
        <v>69</v>
      </c>
      <c r="D43">
        <v>0</v>
      </c>
      <c r="E43" t="s">
        <v>175</v>
      </c>
      <c r="F43">
        <v>-29.033999999999999</v>
      </c>
      <c r="G43">
        <v>-28.597000000000001</v>
      </c>
      <c r="H43">
        <v>47.021999999999998</v>
      </c>
      <c r="I43">
        <v>-1599.1880000000001</v>
      </c>
      <c r="J43">
        <v>1184.2380000000001</v>
      </c>
      <c r="K43">
        <v>38.423999999999999</v>
      </c>
      <c r="L43">
        <v>3681.3870000000002</v>
      </c>
      <c r="M43">
        <v>-2497.1489999999999</v>
      </c>
      <c r="N43">
        <v>-29.033999999999999</v>
      </c>
      <c r="O43">
        <v>4776.8109999999997</v>
      </c>
      <c r="P43">
        <v>3027.7869999999998</v>
      </c>
      <c r="Q43">
        <v>0.48699999999999999</v>
      </c>
      <c r="R43">
        <v>6851.2449999999999</v>
      </c>
      <c r="S43">
        <v>6709.174</v>
      </c>
      <c r="T43">
        <v>5968.9380000000001</v>
      </c>
      <c r="U43">
        <v>6132.3620000000001</v>
      </c>
      <c r="V43">
        <v>7236.4859999999999</v>
      </c>
      <c r="W43">
        <v>13414.008</v>
      </c>
      <c r="X43">
        <v>-0.26791834661375302</v>
      </c>
      <c r="Y43">
        <v>4</v>
      </c>
      <c r="Z43" t="s">
        <v>39</v>
      </c>
      <c r="AA43" t="s">
        <v>33</v>
      </c>
      <c r="AB43" t="s">
        <v>34</v>
      </c>
      <c r="AC43" s="7">
        <f t="shared" si="0"/>
        <v>-4.7984927239222231E-3</v>
      </c>
      <c r="AD43" s="8">
        <f t="shared" si="1"/>
        <v>-0.60816213687210252</v>
      </c>
      <c r="AE43" s="9">
        <f t="shared" si="2"/>
        <v>7.1826689131065932E-5</v>
      </c>
      <c r="AF43" s="8">
        <f t="shared" si="3"/>
        <v>-0.41835733592809976</v>
      </c>
      <c r="AG43" s="8">
        <f t="shared" si="4"/>
        <v>0.88966808730851221</v>
      </c>
      <c r="AH43" s="8">
        <f t="shared" si="5"/>
        <v>0.61675745333592003</v>
      </c>
      <c r="AI43" s="8">
        <f t="shared" si="6"/>
        <v>0.3216825614910902</v>
      </c>
      <c r="AJ43" s="8">
        <f t="shared" si="7"/>
        <v>-0.26791834661375274</v>
      </c>
      <c r="AK43" s="8">
        <f t="shared" si="8"/>
        <v>0.17651025297599973</v>
      </c>
      <c r="AL43" s="8">
        <f t="shared" si="9"/>
        <v>-1.8830274044520371E-2</v>
      </c>
    </row>
    <row r="44" spans="1:38">
      <c r="A44" t="s">
        <v>176</v>
      </c>
      <c r="B44" t="s">
        <v>177</v>
      </c>
      <c r="C44" t="s">
        <v>69</v>
      </c>
      <c r="D44">
        <v>15</v>
      </c>
      <c r="E44" t="s">
        <v>178</v>
      </c>
      <c r="F44">
        <v>-3134.0680000000002</v>
      </c>
      <c r="G44">
        <v>-3702.7779999999998</v>
      </c>
      <c r="H44">
        <v>3600.82</v>
      </c>
      <c r="I44">
        <v>-2571.203</v>
      </c>
      <c r="J44">
        <v>5336.6790000000001</v>
      </c>
      <c r="K44">
        <v>2838.2530000000002</v>
      </c>
      <c r="L44">
        <v>6547.4679999999998</v>
      </c>
      <c r="M44">
        <v>-1210.789</v>
      </c>
      <c r="N44">
        <v>-3128.828</v>
      </c>
      <c r="O44">
        <v>456.80099999999999</v>
      </c>
      <c r="P44">
        <v>1742.7829999999999</v>
      </c>
      <c r="Q44">
        <v>81.986000000000004</v>
      </c>
      <c r="R44">
        <v>3962.509</v>
      </c>
      <c r="S44">
        <v>8290.2510000000002</v>
      </c>
      <c r="T44">
        <v>5873.7860000000001</v>
      </c>
      <c r="U44">
        <v>4917.777</v>
      </c>
      <c r="V44">
        <v>5002.8670000000002</v>
      </c>
      <c r="W44">
        <v>5251.9690000000001</v>
      </c>
      <c r="X44">
        <v>-0.43774202873580997</v>
      </c>
      <c r="Y44">
        <v>4</v>
      </c>
      <c r="Z44" t="s">
        <v>39</v>
      </c>
      <c r="AA44" t="s">
        <v>33</v>
      </c>
      <c r="AB44" t="s">
        <v>34</v>
      </c>
      <c r="AC44" s="7">
        <f t="shared" si="0"/>
        <v>-0.58083671475577725</v>
      </c>
      <c r="AD44" s="8">
        <f t="shared" si="1"/>
        <v>-1.0283152170894407</v>
      </c>
      <c r="AE44" s="9">
        <f t="shared" si="2"/>
        <v>1.3382454238881689E-2</v>
      </c>
      <c r="AF44" s="8">
        <f t="shared" si="3"/>
        <v>-0.20613433992998723</v>
      </c>
      <c r="AG44" s="8">
        <f t="shared" si="4"/>
        <v>0.70851726926000191</v>
      </c>
      <c r="AH44" s="8">
        <f t="shared" si="5"/>
        <v>1.1146929765571982</v>
      </c>
      <c r="AI44" s="8">
        <f t="shared" si="6"/>
        <v>0.81507523213553701</v>
      </c>
      <c r="AJ44" s="8">
        <f t="shared" si="7"/>
        <v>-0.43774202873581025</v>
      </c>
      <c r="AK44" s="8">
        <f t="shared" si="8"/>
        <v>0.64372948418570197</v>
      </c>
      <c r="AL44" s="8">
        <f t="shared" si="9"/>
        <v>-2.9739450886983612</v>
      </c>
    </row>
    <row r="45" spans="1:38">
      <c r="A45" t="s">
        <v>179</v>
      </c>
      <c r="B45" t="s">
        <v>180</v>
      </c>
      <c r="C45" t="s">
        <v>47</v>
      </c>
      <c r="D45">
        <v>1</v>
      </c>
      <c r="E45" t="s">
        <v>181</v>
      </c>
      <c r="F45">
        <v>-87.524000000000001</v>
      </c>
      <c r="G45">
        <v>7.4740000000000002</v>
      </c>
      <c r="H45">
        <v>71.260999999999996</v>
      </c>
      <c r="I45">
        <v>-72.725999999999999</v>
      </c>
      <c r="J45">
        <v>2858.6970000000001</v>
      </c>
      <c r="K45">
        <v>2180.578</v>
      </c>
      <c r="L45">
        <v>4491.5950000000003</v>
      </c>
      <c r="M45">
        <v>-1632.8979999999999</v>
      </c>
      <c r="N45">
        <v>-13.303000000000001</v>
      </c>
      <c r="O45">
        <v>2819.25</v>
      </c>
      <c r="P45">
        <v>1248.123</v>
      </c>
      <c r="Q45">
        <v>20.847999999999999</v>
      </c>
      <c r="R45">
        <v>5731.1530000000002</v>
      </c>
      <c r="S45">
        <v>5739.7179999999998</v>
      </c>
      <c r="T45">
        <v>5681.8609999999999</v>
      </c>
      <c r="U45">
        <v>5760.25</v>
      </c>
      <c r="V45">
        <v>5895.9129999999996</v>
      </c>
      <c r="W45">
        <v>5995.6210000000001</v>
      </c>
      <c r="X45">
        <v>-1.2799679541615001E-2</v>
      </c>
      <c r="Y45">
        <v>4</v>
      </c>
      <c r="Z45" t="s">
        <v>32</v>
      </c>
      <c r="AA45" t="s">
        <v>33</v>
      </c>
      <c r="AB45" t="s">
        <v>34</v>
      </c>
      <c r="AC45" s="7">
        <f t="shared" si="0"/>
        <v>-1.5298575586270749E-2</v>
      </c>
      <c r="AD45" s="8">
        <f t="shared" si="1"/>
        <v>0.10488205329703486</v>
      </c>
      <c r="AE45" s="9">
        <f t="shared" si="2"/>
        <v>3.634946291349628E-3</v>
      </c>
      <c r="AF45" s="8">
        <f t="shared" si="3"/>
        <v>-0.2873878822449194</v>
      </c>
      <c r="AG45" s="8">
        <f t="shared" si="4"/>
        <v>0.98991988805024911</v>
      </c>
      <c r="AH45" s="8">
        <f t="shared" si="5"/>
        <v>0.7905147626807485</v>
      </c>
      <c r="AI45" s="8">
        <f t="shared" si="6"/>
        <v>0.63645475604991097</v>
      </c>
      <c r="AJ45" s="8">
        <f t="shared" si="7"/>
        <v>-1.2799679541614975E-2</v>
      </c>
      <c r="AK45" s="8">
        <f t="shared" si="8"/>
        <v>0.49805530515610702</v>
      </c>
      <c r="AL45" s="8">
        <f t="shared" si="9"/>
        <v>-4.3640815286686611E-2</v>
      </c>
    </row>
    <row r="46" spans="1:38">
      <c r="A46" t="s">
        <v>182</v>
      </c>
      <c r="B46" t="s">
        <v>183</v>
      </c>
      <c r="C46" t="s">
        <v>69</v>
      </c>
      <c r="D46">
        <v>0</v>
      </c>
      <c r="E46" t="s">
        <v>184</v>
      </c>
      <c r="F46">
        <v>-63.843000000000004</v>
      </c>
      <c r="G46">
        <v>-28.87</v>
      </c>
      <c r="H46">
        <v>51.244</v>
      </c>
      <c r="I46">
        <v>-12468.088</v>
      </c>
      <c r="J46">
        <v>4737.6679999999997</v>
      </c>
      <c r="K46">
        <v>1826.8150000000001</v>
      </c>
      <c r="L46">
        <v>16121.753000000001</v>
      </c>
      <c r="M46">
        <v>-11384.084999999999</v>
      </c>
      <c r="N46">
        <v>-49.051000000000002</v>
      </c>
      <c r="O46">
        <v>636.00699999999995</v>
      </c>
      <c r="P46">
        <v>0</v>
      </c>
      <c r="Q46">
        <v>20.199000000000002</v>
      </c>
      <c r="R46">
        <v>16024.531000000001</v>
      </c>
      <c r="S46">
        <v>16121.753000000001</v>
      </c>
      <c r="T46">
        <v>5390.8069999999998</v>
      </c>
      <c r="U46">
        <v>5357.4279999999999</v>
      </c>
      <c r="V46">
        <v>5184.6239999999998</v>
      </c>
      <c r="W46">
        <v>5135.6329999999998</v>
      </c>
      <c r="X46">
        <v>-2.3128425855349701</v>
      </c>
      <c r="Y46">
        <v>4</v>
      </c>
      <c r="Z46" t="s">
        <v>39</v>
      </c>
      <c r="AA46" t="s">
        <v>33</v>
      </c>
      <c r="AB46" t="s">
        <v>34</v>
      </c>
      <c r="AC46" s="7">
        <f t="shared" si="0"/>
        <v>-1.1879717925780372E-2</v>
      </c>
      <c r="AD46" s="8">
        <f t="shared" si="1"/>
        <v>-0.56338303020841463</v>
      </c>
      <c r="AE46" s="9">
        <f t="shared" si="2"/>
        <v>1.2566926864703866E-3</v>
      </c>
      <c r="AF46" s="8">
        <f t="shared" si="3"/>
        <v>-2.1117589629901423</v>
      </c>
      <c r="AG46" s="8">
        <f t="shared" si="4"/>
        <v>0.3343809448017222</v>
      </c>
      <c r="AH46" s="8">
        <f t="shared" si="5"/>
        <v>2.9906010361713933</v>
      </c>
      <c r="AI46" s="8">
        <f t="shared" si="6"/>
        <v>0.29386804276185097</v>
      </c>
      <c r="AJ46" s="8">
        <f t="shared" si="7"/>
        <v>-2.3128425855349675</v>
      </c>
      <c r="AK46" s="8">
        <f t="shared" si="8"/>
        <v>0.29386804276185097</v>
      </c>
      <c r="AL46" s="8">
        <f t="shared" si="9"/>
        <v>-4.5013718713449525E-3</v>
      </c>
    </row>
    <row r="47" spans="1:38">
      <c r="A47" t="s">
        <v>185</v>
      </c>
      <c r="B47" t="s">
        <v>186</v>
      </c>
      <c r="C47" t="s">
        <v>65</v>
      </c>
      <c r="D47">
        <v>7</v>
      </c>
      <c r="E47" t="s">
        <v>187</v>
      </c>
      <c r="F47">
        <v>-3477.4560000000001</v>
      </c>
      <c r="G47">
        <v>-3247.7809999999999</v>
      </c>
      <c r="H47">
        <v>1655.25</v>
      </c>
      <c r="I47">
        <v>-2706.3530000000001</v>
      </c>
      <c r="J47">
        <v>4311.6080000000002</v>
      </c>
      <c r="K47">
        <v>2028.4870000000001</v>
      </c>
      <c r="L47">
        <v>4065.2689999999998</v>
      </c>
      <c r="M47">
        <v>246.339</v>
      </c>
      <c r="N47">
        <v>-3460.9279999999999</v>
      </c>
      <c r="O47">
        <v>1001.741</v>
      </c>
      <c r="P47">
        <v>0</v>
      </c>
      <c r="Q47">
        <v>245.126</v>
      </c>
      <c r="R47">
        <v>4986.8940000000002</v>
      </c>
      <c r="S47">
        <v>4065.2689999999998</v>
      </c>
      <c r="T47">
        <v>5328.1329999999998</v>
      </c>
      <c r="U47">
        <v>9859.9</v>
      </c>
      <c r="V47">
        <v>9101.9449999999997</v>
      </c>
      <c r="W47">
        <v>9162.8140000000003</v>
      </c>
      <c r="X47">
        <v>-0.50793645729188797</v>
      </c>
      <c r="Y47">
        <v>4</v>
      </c>
      <c r="Z47" t="s">
        <v>62</v>
      </c>
      <c r="AA47" t="s">
        <v>33</v>
      </c>
      <c r="AB47" t="s">
        <v>34</v>
      </c>
      <c r="AC47" s="7">
        <f t="shared" si="0"/>
        <v>-0.45792052203204986</v>
      </c>
      <c r="AD47" s="8">
        <f t="shared" si="1"/>
        <v>-1.9621090469717566</v>
      </c>
      <c r="AE47" s="9">
        <f t="shared" si="2"/>
        <v>5.4158547520631255E-2</v>
      </c>
      <c r="AF47" s="8">
        <f t="shared" si="3"/>
        <v>4.6233643191714621E-2</v>
      </c>
      <c r="AG47" s="8">
        <f t="shared" si="4"/>
        <v>1.310647093710158</v>
      </c>
      <c r="AH47" s="8">
        <f t="shared" si="5"/>
        <v>0.76298189253158655</v>
      </c>
      <c r="AI47" s="8">
        <f t="shared" si="6"/>
        <v>1.0605959900808533</v>
      </c>
      <c r="AJ47" s="8">
        <f t="shared" si="7"/>
        <v>-0.50793645729188819</v>
      </c>
      <c r="AK47" s="8">
        <f t="shared" si="8"/>
        <v>1.0605959900808533</v>
      </c>
      <c r="AL47" s="8">
        <f t="shared" si="9"/>
        <v>6.7193988771570883</v>
      </c>
    </row>
    <row r="48" spans="1:38">
      <c r="A48" t="s">
        <v>188</v>
      </c>
      <c r="B48" t="s">
        <v>189</v>
      </c>
      <c r="C48" t="s">
        <v>86</v>
      </c>
      <c r="D48">
        <v>18</v>
      </c>
      <c r="E48" t="s">
        <v>190</v>
      </c>
      <c r="F48">
        <v>184.279</v>
      </c>
      <c r="G48">
        <v>286.60700000000003</v>
      </c>
      <c r="H48">
        <v>577.33699999999999</v>
      </c>
      <c r="I48">
        <v>548.00699999999995</v>
      </c>
      <c r="J48">
        <v>4186.0140000000001</v>
      </c>
      <c r="K48">
        <v>2016.806</v>
      </c>
      <c r="L48">
        <v>4106.3130000000001</v>
      </c>
      <c r="M48">
        <v>79.700999999999993</v>
      </c>
      <c r="N48">
        <v>266.80200000000002</v>
      </c>
      <c r="O48">
        <v>672.99900000000002</v>
      </c>
      <c r="P48">
        <v>25</v>
      </c>
      <c r="Q48">
        <v>1.829</v>
      </c>
      <c r="R48">
        <v>3834.4290000000001</v>
      </c>
      <c r="S48">
        <v>4131.3130000000001</v>
      </c>
      <c r="T48">
        <v>4859.0129999999999</v>
      </c>
      <c r="U48">
        <v>4321.0619999999999</v>
      </c>
      <c r="V48">
        <v>4043.3510000000001</v>
      </c>
      <c r="W48">
        <v>3575.761</v>
      </c>
      <c r="X48">
        <v>0.112781546375776</v>
      </c>
      <c r="Y48">
        <v>4</v>
      </c>
      <c r="Z48" t="s">
        <v>57</v>
      </c>
      <c r="AA48" t="s">
        <v>33</v>
      </c>
      <c r="AB48" t="s">
        <v>34</v>
      </c>
      <c r="AC48" s="7">
        <f t="shared" si="0"/>
        <v>4.0147602279937793E-2</v>
      </c>
      <c r="AD48" s="8">
        <f t="shared" si="1"/>
        <v>0.4964292951950075</v>
      </c>
      <c r="AE48" s="9">
        <f t="shared" si="2"/>
        <v>4.5921647977049718E-4</v>
      </c>
      <c r="AF48" s="8">
        <f t="shared" si="3"/>
        <v>1.6402713884486417E-2</v>
      </c>
      <c r="AG48" s="8">
        <f t="shared" si="4"/>
        <v>1.1761425483859489</v>
      </c>
      <c r="AH48" s="8">
        <f t="shared" si="5"/>
        <v>0.84509199707841909</v>
      </c>
      <c r="AI48" s="8">
        <f t="shared" si="6"/>
        <v>1.0194093825775092</v>
      </c>
      <c r="AJ48" s="8">
        <f t="shared" si="7"/>
        <v>0.11278154637577631</v>
      </c>
      <c r="AK48" s="8">
        <f t="shared" si="8"/>
        <v>1.0132405847729282</v>
      </c>
      <c r="AL48" s="8">
        <f t="shared" si="9"/>
        <v>7.2437861507383854</v>
      </c>
    </row>
    <row r="49" spans="1:38">
      <c r="A49" t="s">
        <v>191</v>
      </c>
      <c r="B49" t="s">
        <v>192</v>
      </c>
      <c r="C49" t="s">
        <v>193</v>
      </c>
      <c r="D49">
        <v>28</v>
      </c>
      <c r="E49" t="s">
        <v>194</v>
      </c>
      <c r="F49">
        <v>-1937.3520000000001</v>
      </c>
      <c r="G49">
        <v>-794.90599999999995</v>
      </c>
      <c r="H49">
        <v>1800.471</v>
      </c>
      <c r="I49">
        <v>-4625.9859999999999</v>
      </c>
      <c r="J49">
        <v>2454.0630000000001</v>
      </c>
      <c r="K49">
        <v>535.29100000000005</v>
      </c>
      <c r="L49">
        <v>8324.3060000000005</v>
      </c>
      <c r="M49">
        <v>-5870.2430000000004</v>
      </c>
      <c r="N49">
        <v>-1207.373</v>
      </c>
      <c r="O49">
        <v>2190.0300000000002</v>
      </c>
      <c r="P49">
        <v>639.04499999999996</v>
      </c>
      <c r="Q49">
        <v>180.107</v>
      </c>
      <c r="R49">
        <v>9535.0630000000001</v>
      </c>
      <c r="S49">
        <v>8963.3510000000006</v>
      </c>
      <c r="T49">
        <v>4713.2529999999997</v>
      </c>
      <c r="U49">
        <v>7388.0290000000005</v>
      </c>
      <c r="V49">
        <v>8769.5660000000007</v>
      </c>
      <c r="W49">
        <v>8460.2129999999997</v>
      </c>
      <c r="X49">
        <v>-0.98148476222260905</v>
      </c>
      <c r="Y49">
        <v>4</v>
      </c>
      <c r="Z49" t="s">
        <v>32</v>
      </c>
      <c r="AA49" t="s">
        <v>33</v>
      </c>
      <c r="AB49" t="s">
        <v>34</v>
      </c>
      <c r="AC49" s="7">
        <f t="shared" si="0"/>
        <v>-0.32018954685958068</v>
      </c>
      <c r="AD49" s="8">
        <f t="shared" si="1"/>
        <v>-0.4414989188940005</v>
      </c>
      <c r="AE49" s="9">
        <f t="shared" si="2"/>
        <v>1.947269641602788E-2</v>
      </c>
      <c r="AF49" s="8">
        <f t="shared" si="3"/>
        <v>-1.2454758953105214</v>
      </c>
      <c r="AG49" s="8">
        <f t="shared" si="4"/>
        <v>0.5258360405611695</v>
      </c>
      <c r="AH49" s="8">
        <f t="shared" si="5"/>
        <v>1.766148772408356</v>
      </c>
      <c r="AI49" s="8">
        <f t="shared" si="6"/>
        <v>0.29480691843860618</v>
      </c>
      <c r="AJ49" s="8">
        <f t="shared" si="7"/>
        <v>-0.98148476222260939</v>
      </c>
      <c r="AK49" s="8">
        <f t="shared" si="8"/>
        <v>0.27378856412071778</v>
      </c>
      <c r="AL49" s="8">
        <f t="shared" si="9"/>
        <v>-0.3067114938853468</v>
      </c>
    </row>
    <row r="50" spans="1:38">
      <c r="A50" t="s">
        <v>195</v>
      </c>
      <c r="B50" t="s">
        <v>196</v>
      </c>
      <c r="C50" t="s">
        <v>73</v>
      </c>
      <c r="D50">
        <v>3</v>
      </c>
      <c r="E50" t="s">
        <v>197</v>
      </c>
      <c r="F50">
        <v>-543.74099999999999</v>
      </c>
      <c r="G50">
        <v>-522.22699999999998</v>
      </c>
      <c r="H50">
        <v>13.462</v>
      </c>
      <c r="I50">
        <v>-408.98899999999998</v>
      </c>
      <c r="J50">
        <v>4590.7460000000001</v>
      </c>
      <c r="K50">
        <v>4025.2669999999998</v>
      </c>
      <c r="L50">
        <v>3793.2469999999998</v>
      </c>
      <c r="M50">
        <v>797.49900000000002</v>
      </c>
      <c r="N50">
        <v>-543.74</v>
      </c>
      <c r="O50">
        <v>23.58</v>
      </c>
      <c r="P50">
        <v>1232.143</v>
      </c>
      <c r="Q50">
        <v>21.513000000000002</v>
      </c>
      <c r="R50">
        <v>4294.8379999999997</v>
      </c>
      <c r="S50">
        <v>5025.3900000000003</v>
      </c>
      <c r="T50">
        <v>4616.4009999999998</v>
      </c>
      <c r="U50">
        <v>4567.6450000000004</v>
      </c>
      <c r="V50">
        <v>3655.971</v>
      </c>
      <c r="W50">
        <v>4458.6639999999998</v>
      </c>
      <c r="X50">
        <v>-8.8594773287675802E-2</v>
      </c>
      <c r="Y50">
        <v>4</v>
      </c>
      <c r="Z50" t="s">
        <v>44</v>
      </c>
      <c r="AA50" t="s">
        <v>33</v>
      </c>
      <c r="AB50" t="s">
        <v>34</v>
      </c>
      <c r="AC50" s="7">
        <f t="shared" si="0"/>
        <v>-0.11840990343471711</v>
      </c>
      <c r="AD50" s="8">
        <f t="shared" si="1"/>
        <v>-38.79267567969098</v>
      </c>
      <c r="AE50" s="9">
        <f t="shared" si="2"/>
        <v>4.6164106714985951E-3</v>
      </c>
      <c r="AF50" s="8">
        <f t="shared" si="3"/>
        <v>0.17275340682059467</v>
      </c>
      <c r="AG50" s="8">
        <f t="shared" si="4"/>
        <v>0.91861547064008953</v>
      </c>
      <c r="AH50" s="8">
        <f t="shared" si="5"/>
        <v>0.82168923366925883</v>
      </c>
      <c r="AI50" s="8">
        <f t="shared" si="6"/>
        <v>1.2102417796679206</v>
      </c>
      <c r="AJ50" s="8">
        <f t="shared" si="7"/>
        <v>-8.8594773287675829E-2</v>
      </c>
      <c r="AK50" s="8">
        <f t="shared" si="8"/>
        <v>0.91351039421816016</v>
      </c>
      <c r="AL50" s="8">
        <f t="shared" si="9"/>
        <v>1.6880271950184263E-2</v>
      </c>
    </row>
    <row r="51" spans="1:38">
      <c r="A51" t="s">
        <v>198</v>
      </c>
      <c r="B51" t="s">
        <v>199</v>
      </c>
      <c r="C51" t="s">
        <v>120</v>
      </c>
      <c r="D51">
        <v>6</v>
      </c>
      <c r="E51" t="s">
        <v>200</v>
      </c>
      <c r="F51">
        <v>-599.93200000000002</v>
      </c>
      <c r="G51">
        <v>-524.61500000000001</v>
      </c>
      <c r="H51">
        <v>2061.5239999999999</v>
      </c>
      <c r="I51">
        <v>-942.04600000000005</v>
      </c>
      <c r="J51">
        <v>4340.4080000000004</v>
      </c>
      <c r="K51">
        <v>3599.9749999999999</v>
      </c>
      <c r="L51">
        <v>5259.5119999999997</v>
      </c>
      <c r="M51">
        <v>-919.10400000000004</v>
      </c>
      <c r="N51">
        <v>-562.19299999999998</v>
      </c>
      <c r="O51">
        <v>141.405</v>
      </c>
      <c r="P51">
        <v>18.949000000000002</v>
      </c>
      <c r="Q51">
        <v>30.4</v>
      </c>
      <c r="R51">
        <v>6652.4359999999997</v>
      </c>
      <c r="S51">
        <v>5278.4610000000002</v>
      </c>
      <c r="T51">
        <v>4505.7520000000004</v>
      </c>
      <c r="U51">
        <v>6528.6049999999996</v>
      </c>
      <c r="V51">
        <v>5004.1220000000003</v>
      </c>
      <c r="W51">
        <v>3097.7249999999999</v>
      </c>
      <c r="X51">
        <v>-0.20907630957052201</v>
      </c>
      <c r="Y51">
        <v>4</v>
      </c>
      <c r="Z51" t="s">
        <v>44</v>
      </c>
      <c r="AA51" t="s">
        <v>33</v>
      </c>
      <c r="AB51" t="s">
        <v>34</v>
      </c>
      <c r="AC51" s="7">
        <f t="shared" si="0"/>
        <v>-0.10873891428381373</v>
      </c>
      <c r="AD51" s="8">
        <f t="shared" si="1"/>
        <v>-0.25447921052580519</v>
      </c>
      <c r="AE51" s="9">
        <f t="shared" si="2"/>
        <v>5.0960124791958215E-3</v>
      </c>
      <c r="AF51" s="8">
        <f t="shared" si="3"/>
        <v>-0.20398459569013119</v>
      </c>
      <c r="AG51" s="8">
        <f t="shared" si="4"/>
        <v>0.85361092939779226</v>
      </c>
      <c r="AH51" s="8">
        <f t="shared" si="5"/>
        <v>1.1672883904839857</v>
      </c>
      <c r="AI51" s="8">
        <f t="shared" si="6"/>
        <v>0.82524918661655311</v>
      </c>
      <c r="AJ51" s="8">
        <f t="shared" si="7"/>
        <v>-0.20907630957052228</v>
      </c>
      <c r="AK51" s="8">
        <f t="shared" si="8"/>
        <v>0.82228664756640246</v>
      </c>
      <c r="AL51" s="8">
        <f t="shared" si="9"/>
        <v>-2.242971415639579</v>
      </c>
    </row>
    <row r="52" spans="1:38">
      <c r="A52" t="s">
        <v>201</v>
      </c>
      <c r="B52" t="s">
        <v>202</v>
      </c>
      <c r="C52" t="s">
        <v>124</v>
      </c>
      <c r="D52">
        <v>0</v>
      </c>
      <c r="E52" t="s">
        <v>203</v>
      </c>
      <c r="F52">
        <v>-46.716000000000001</v>
      </c>
      <c r="G52">
        <v>-34.901000000000003</v>
      </c>
      <c r="H52">
        <v>112.29</v>
      </c>
      <c r="I52">
        <v>-741.89</v>
      </c>
      <c r="J52">
        <v>4177.0420000000004</v>
      </c>
      <c r="K52">
        <v>3679.8180000000002</v>
      </c>
      <c r="L52">
        <v>4700.6139999999996</v>
      </c>
      <c r="M52">
        <v>-523.572</v>
      </c>
      <c r="N52">
        <v>-35.036999999999999</v>
      </c>
      <c r="O52">
        <v>297.07600000000002</v>
      </c>
      <c r="P52">
        <v>514.66600000000005</v>
      </c>
      <c r="Q52">
        <v>0.13600000000000001</v>
      </c>
      <c r="R52">
        <v>5043.223</v>
      </c>
      <c r="S52">
        <v>5215.28</v>
      </c>
      <c r="T52">
        <v>4474.3969999999999</v>
      </c>
      <c r="U52">
        <v>4349.3919999999998</v>
      </c>
      <c r="V52">
        <v>4222.9610000000002</v>
      </c>
      <c r="W52">
        <v>4452.5870000000004</v>
      </c>
      <c r="X52">
        <v>-0.165807817232132</v>
      </c>
      <c r="Y52">
        <v>4</v>
      </c>
      <c r="Z52" t="s">
        <v>62</v>
      </c>
      <c r="AA52" t="s">
        <v>33</v>
      </c>
      <c r="AB52" t="s">
        <v>34</v>
      </c>
      <c r="AC52" s="7">
        <f t="shared" si="0"/>
        <v>-1.0588648481961661E-2</v>
      </c>
      <c r="AD52" s="8">
        <f t="shared" si="1"/>
        <v>-0.31081129218986553</v>
      </c>
      <c r="AE52" s="9">
        <f t="shared" si="2"/>
        <v>2.6514589896790985E-5</v>
      </c>
      <c r="AF52" s="8">
        <f t="shared" si="3"/>
        <v>-0.11701509722986136</v>
      </c>
      <c r="AG52" s="8">
        <f t="shared" si="4"/>
        <v>0.85793993802825541</v>
      </c>
      <c r="AH52" s="8">
        <f t="shared" si="5"/>
        <v>1.0505580975492339</v>
      </c>
      <c r="AI52" s="8">
        <f t="shared" si="6"/>
        <v>0.88861625311076398</v>
      </c>
      <c r="AJ52" s="8">
        <f t="shared" si="7"/>
        <v>-0.16580781723213206</v>
      </c>
      <c r="AK52" s="8">
        <f t="shared" si="8"/>
        <v>0.80092382384071437</v>
      </c>
      <c r="AL52" s="8">
        <f t="shared" si="9"/>
        <v>-0.2144690701565401</v>
      </c>
    </row>
    <row r="53" spans="1:38">
      <c r="A53" t="s">
        <v>204</v>
      </c>
      <c r="B53" t="s">
        <v>205</v>
      </c>
      <c r="C53" t="s">
        <v>69</v>
      </c>
      <c r="D53">
        <v>9</v>
      </c>
      <c r="E53" t="s">
        <v>206</v>
      </c>
      <c r="F53">
        <v>-2730.7359999999999</v>
      </c>
      <c r="G53">
        <v>-1940.693</v>
      </c>
      <c r="H53">
        <v>6546.6890000000003</v>
      </c>
      <c r="I53">
        <v>-2388.4650000000001</v>
      </c>
      <c r="J53">
        <v>2507.9450000000002</v>
      </c>
      <c r="K53">
        <v>206.85400000000001</v>
      </c>
      <c r="L53">
        <v>6543.2839999999997</v>
      </c>
      <c r="M53">
        <v>-4035.3389999999999</v>
      </c>
      <c r="N53">
        <v>-2061.4989999999998</v>
      </c>
      <c r="O53">
        <v>1911.971</v>
      </c>
      <c r="P53">
        <v>0</v>
      </c>
      <c r="Q53">
        <v>121.83</v>
      </c>
      <c r="R53">
        <v>8523.8050000000003</v>
      </c>
      <c r="S53">
        <v>6543.2839999999997</v>
      </c>
      <c r="T53">
        <v>4429.7619999999997</v>
      </c>
      <c r="U53">
        <v>9129.2119999999995</v>
      </c>
      <c r="V53">
        <v>6741.3680000000004</v>
      </c>
      <c r="W53">
        <v>4821.4579999999996</v>
      </c>
      <c r="X53">
        <v>-0.53918585242277095</v>
      </c>
      <c r="Y53">
        <v>4</v>
      </c>
      <c r="Z53" t="s">
        <v>39</v>
      </c>
      <c r="AA53" t="s">
        <v>33</v>
      </c>
      <c r="AB53" t="s">
        <v>34</v>
      </c>
      <c r="AC53" s="7">
        <f t="shared" si="0"/>
        <v>-0.40279389871239524</v>
      </c>
      <c r="AD53" s="8">
        <f t="shared" si="1"/>
        <v>-0.29643885634402367</v>
      </c>
      <c r="AE53" s="9">
        <f t="shared" si="2"/>
        <v>1.6171670586136448E-2</v>
      </c>
      <c r="AF53" s="8">
        <f t="shared" si="3"/>
        <v>-0.91096067915161139</v>
      </c>
      <c r="AG53" s="8">
        <f t="shared" si="4"/>
        <v>0.67699369307522028</v>
      </c>
      <c r="AH53" s="8">
        <f t="shared" si="5"/>
        <v>1.4771186352675381</v>
      </c>
      <c r="AI53" s="8">
        <f t="shared" si="6"/>
        <v>0.38328536557483983</v>
      </c>
      <c r="AJ53" s="8">
        <f t="shared" si="7"/>
        <v>-0.53918585242277128</v>
      </c>
      <c r="AK53" s="8">
        <f t="shared" si="8"/>
        <v>0.38328536557483983</v>
      </c>
      <c r="AL53" s="8">
        <f t="shared" si="9"/>
        <v>-1.622339287975558</v>
      </c>
    </row>
    <row r="54" spans="1:38">
      <c r="A54" t="s">
        <v>207</v>
      </c>
      <c r="B54" t="s">
        <v>208</v>
      </c>
      <c r="C54" t="s">
        <v>168</v>
      </c>
      <c r="D54">
        <v>0</v>
      </c>
      <c r="E54" t="s">
        <v>209</v>
      </c>
      <c r="F54">
        <v>14.396000000000001</v>
      </c>
      <c r="G54">
        <v>14.731</v>
      </c>
      <c r="H54">
        <v>20.184000000000001</v>
      </c>
      <c r="I54">
        <v>679.23400000000004</v>
      </c>
      <c r="J54">
        <v>524.79700000000003</v>
      </c>
      <c r="K54">
        <v>0</v>
      </c>
      <c r="L54">
        <v>3580.527</v>
      </c>
      <c r="M54">
        <v>-3055.73</v>
      </c>
      <c r="N54">
        <v>14.396000000000001</v>
      </c>
      <c r="O54">
        <v>3735.6469999999999</v>
      </c>
      <c r="P54">
        <v>0</v>
      </c>
      <c r="Q54">
        <v>0.33500000000000002</v>
      </c>
      <c r="R54">
        <v>3558.355</v>
      </c>
      <c r="S54">
        <v>3580.527</v>
      </c>
      <c r="T54">
        <v>4260.4440000000004</v>
      </c>
      <c r="U54">
        <v>4223.3029999999999</v>
      </c>
      <c r="V54">
        <v>4171.8069999999998</v>
      </c>
      <c r="W54">
        <v>3995.2130000000002</v>
      </c>
      <c r="X54">
        <v>0.15942798450114601</v>
      </c>
      <c r="Y54">
        <v>4</v>
      </c>
      <c r="Z54" t="s">
        <v>44</v>
      </c>
      <c r="AA54" t="s">
        <v>33</v>
      </c>
      <c r="AB54" t="s">
        <v>34</v>
      </c>
      <c r="AC54" s="7">
        <f t="shared" si="0"/>
        <v>3.3937834308354555E-3</v>
      </c>
      <c r="AD54" s="8">
        <f t="shared" si="1"/>
        <v>0.72983551327784379</v>
      </c>
      <c r="AE54" s="9">
        <f t="shared" si="2"/>
        <v>9.3852230643397673E-5</v>
      </c>
      <c r="AF54" s="8">
        <f t="shared" si="3"/>
        <v>-0.71723275790035024</v>
      </c>
      <c r="AG54" s="8">
        <f t="shared" si="4"/>
        <v>1.1898929961986044</v>
      </c>
      <c r="AH54" s="8">
        <f t="shared" si="5"/>
        <v>0.8404117035689237</v>
      </c>
      <c r="AI54" s="8">
        <f t="shared" si="6"/>
        <v>0.14656976473016403</v>
      </c>
      <c r="AJ54" s="8">
        <f t="shared" si="7"/>
        <v>0.15942798450114587</v>
      </c>
      <c r="AK54" s="8">
        <f t="shared" si="8"/>
        <v>0.14656976473016403</v>
      </c>
      <c r="AL54" s="8">
        <f t="shared" si="9"/>
        <v>-6.6052956249406857E-3</v>
      </c>
    </row>
    <row r="55" spans="1:38">
      <c r="A55" t="s">
        <v>210</v>
      </c>
      <c r="B55" t="s">
        <v>211</v>
      </c>
      <c r="C55" t="s">
        <v>65</v>
      </c>
      <c r="D55">
        <v>27</v>
      </c>
      <c r="E55" t="s">
        <v>212</v>
      </c>
      <c r="F55">
        <v>-14891.603999999999</v>
      </c>
      <c r="G55">
        <v>-14861.633</v>
      </c>
      <c r="H55">
        <v>7729.5010000000002</v>
      </c>
      <c r="I55">
        <v>-12232.853999999999</v>
      </c>
      <c r="J55">
        <v>3900.7750000000001</v>
      </c>
      <c r="K55">
        <v>0</v>
      </c>
      <c r="L55">
        <v>16311.161</v>
      </c>
      <c r="M55">
        <v>-12410.386</v>
      </c>
      <c r="N55">
        <v>-14891.603999999999</v>
      </c>
      <c r="O55">
        <v>318.18799999999999</v>
      </c>
      <c r="P55">
        <v>0</v>
      </c>
      <c r="Q55">
        <v>29.972000000000001</v>
      </c>
      <c r="R55">
        <v>19093.264999999999</v>
      </c>
      <c r="S55">
        <v>16311.161</v>
      </c>
      <c r="T55">
        <v>4218.9629999999997</v>
      </c>
      <c r="U55">
        <v>24099.435000000001</v>
      </c>
      <c r="V55">
        <v>16824.851999999999</v>
      </c>
      <c r="W55">
        <v>11284.146000000001</v>
      </c>
      <c r="X55">
        <v>-2.8994930744829901</v>
      </c>
      <c r="Y55">
        <v>4</v>
      </c>
      <c r="Z55" t="s">
        <v>62</v>
      </c>
      <c r="AA55" t="s">
        <v>33</v>
      </c>
      <c r="AB55" t="s">
        <v>34</v>
      </c>
      <c r="AC55" s="7">
        <f t="shared" si="0"/>
        <v>-1.0517264430000595</v>
      </c>
      <c r="AD55" s="8">
        <f t="shared" si="1"/>
        <v>-1.9227157095910847</v>
      </c>
      <c r="AE55" s="9">
        <f t="shared" si="2"/>
        <v>1.6931216452993759E-3</v>
      </c>
      <c r="AF55" s="8">
        <f t="shared" si="3"/>
        <v>-2.9415726091933019</v>
      </c>
      <c r="AG55" s="8">
        <f t="shared" si="4"/>
        <v>0.25865497863702036</v>
      </c>
      <c r="AH55" s="8">
        <f t="shared" si="5"/>
        <v>3.8661540762504911</v>
      </c>
      <c r="AI55" s="8">
        <f t="shared" si="6"/>
        <v>0.23914759960986223</v>
      </c>
      <c r="AJ55" s="8">
        <f t="shared" si="7"/>
        <v>-2.899493074482995</v>
      </c>
      <c r="AK55" s="8">
        <f t="shared" si="8"/>
        <v>0.23914759960986223</v>
      </c>
      <c r="AL55" s="8">
        <f t="shared" si="9"/>
        <v>-0.62282518851549018</v>
      </c>
    </row>
    <row r="56" spans="1:38">
      <c r="A56" t="s">
        <v>213</v>
      </c>
      <c r="B56" t="s">
        <v>214</v>
      </c>
      <c r="C56" t="s">
        <v>124</v>
      </c>
      <c r="D56">
        <v>0</v>
      </c>
      <c r="E56" t="s">
        <v>215</v>
      </c>
      <c r="F56">
        <v>-579.59699999999998</v>
      </c>
      <c r="G56">
        <v>-578.69600000000003</v>
      </c>
      <c r="H56">
        <v>2893.498</v>
      </c>
      <c r="I56">
        <v>-4774.9319999999998</v>
      </c>
      <c r="J56">
        <v>4162.8440000000001</v>
      </c>
      <c r="K56">
        <v>4060.3119999999999</v>
      </c>
      <c r="L56">
        <v>8941.9240000000009</v>
      </c>
      <c r="M56">
        <v>-4779.08</v>
      </c>
      <c r="N56">
        <v>-579.59699999999998</v>
      </c>
      <c r="O56">
        <v>5.0000000000000001E-3</v>
      </c>
      <c r="P56">
        <v>0</v>
      </c>
      <c r="Q56">
        <v>0.90100000000000002</v>
      </c>
      <c r="R56">
        <v>11345.478999999999</v>
      </c>
      <c r="S56">
        <v>8941.9240000000009</v>
      </c>
      <c r="T56">
        <v>4166.9920000000002</v>
      </c>
      <c r="U56">
        <v>7150.1419999999998</v>
      </c>
      <c r="V56">
        <v>7351.4849999999997</v>
      </c>
      <c r="W56">
        <v>7920.9889999999996</v>
      </c>
      <c r="X56">
        <v>-1.14589420858019</v>
      </c>
      <c r="Y56">
        <v>4</v>
      </c>
      <c r="Z56" t="s">
        <v>62</v>
      </c>
      <c r="AA56" t="s">
        <v>33</v>
      </c>
      <c r="AB56" t="s">
        <v>34</v>
      </c>
      <c r="AC56" s="7">
        <f t="shared" si="0"/>
        <v>-0.10242822962067957</v>
      </c>
      <c r="AD56" s="8">
        <f t="shared" si="1"/>
        <v>-0.19999875583117735</v>
      </c>
      <c r="AE56" s="9">
        <f t="shared" si="2"/>
        <v>8.8823591664246039E-5</v>
      </c>
      <c r="AF56" s="8">
        <f t="shared" si="3"/>
        <v>-1.1468896508560611</v>
      </c>
      <c r="AG56" s="8">
        <f t="shared" si="4"/>
        <v>0.46600619732397636</v>
      </c>
      <c r="AH56" s="8">
        <f t="shared" si="5"/>
        <v>2.1458942085801942</v>
      </c>
      <c r="AI56" s="8">
        <f t="shared" si="6"/>
        <v>0.46554231505434396</v>
      </c>
      <c r="AJ56" s="8">
        <f t="shared" si="7"/>
        <v>-1.145894208580194</v>
      </c>
      <c r="AK56" s="8">
        <f t="shared" si="8"/>
        <v>0.46554231505434396</v>
      </c>
      <c r="AL56" s="8">
        <f t="shared" si="9"/>
        <v>-0.60545083991061044</v>
      </c>
    </row>
    <row r="57" spans="1:38">
      <c r="A57" t="s">
        <v>216</v>
      </c>
      <c r="B57" t="s">
        <v>217</v>
      </c>
      <c r="C57" t="s">
        <v>69</v>
      </c>
      <c r="D57">
        <v>38</v>
      </c>
      <c r="E57" t="s">
        <v>218</v>
      </c>
      <c r="F57">
        <v>-171.64</v>
      </c>
      <c r="G57">
        <v>-106.586</v>
      </c>
      <c r="H57">
        <v>2325.2800000000002</v>
      </c>
      <c r="I57">
        <v>377.28500000000003</v>
      </c>
      <c r="J57">
        <v>3986.77</v>
      </c>
      <c r="K57">
        <v>1115.3620000000001</v>
      </c>
      <c r="L57">
        <v>2010.8430000000001</v>
      </c>
      <c r="M57">
        <v>1975.9269999999999</v>
      </c>
      <c r="N57">
        <v>-152.012</v>
      </c>
      <c r="O57">
        <v>65.033000000000001</v>
      </c>
      <c r="P57">
        <v>1279.2860000000001</v>
      </c>
      <c r="Q57">
        <v>95.384</v>
      </c>
      <c r="R57">
        <v>3222.6970000000001</v>
      </c>
      <c r="S57">
        <v>3290.1289999999999</v>
      </c>
      <c r="T57">
        <v>4072.4569999999999</v>
      </c>
      <c r="U57">
        <v>4116.8710000000001</v>
      </c>
      <c r="V57">
        <v>4243.5640000000003</v>
      </c>
      <c r="W57">
        <v>2794.277</v>
      </c>
      <c r="X57">
        <v>9.2643089908622703E-2</v>
      </c>
      <c r="Y57">
        <v>4</v>
      </c>
      <c r="Z57" t="s">
        <v>39</v>
      </c>
      <c r="AA57" t="s">
        <v>33</v>
      </c>
      <c r="AB57" t="s">
        <v>34</v>
      </c>
      <c r="AC57" s="7">
        <f t="shared" si="0"/>
        <v>-4.1917969337655056E-2</v>
      </c>
      <c r="AD57" s="8">
        <f t="shared" si="1"/>
        <v>-4.5837920594509043E-2</v>
      </c>
      <c r="AE57" s="9">
        <f t="shared" si="2"/>
        <v>2.9291124927949864E-2</v>
      </c>
      <c r="AF57" s="8">
        <f t="shared" si="3"/>
        <v>0.48519284549843006</v>
      </c>
      <c r="AG57" s="8">
        <f t="shared" si="4"/>
        <v>1.2377803423513181</v>
      </c>
      <c r="AH57" s="8">
        <f t="shared" si="5"/>
        <v>0.49376653946254073</v>
      </c>
      <c r="AI57" s="8">
        <f t="shared" si="6"/>
        <v>1.982636138176874</v>
      </c>
      <c r="AJ57" s="8">
        <f t="shared" si="7"/>
        <v>9.2643089908622744E-2</v>
      </c>
      <c r="AK57" s="8">
        <f t="shared" si="8"/>
        <v>1.2117366826650262</v>
      </c>
      <c r="AL57" s="8">
        <f t="shared" si="9"/>
        <v>1.1768046086722841</v>
      </c>
    </row>
    <row r="58" spans="1:38">
      <c r="A58" t="s">
        <v>219</v>
      </c>
      <c r="B58" t="s">
        <v>220</v>
      </c>
      <c r="C58" t="s">
        <v>221</v>
      </c>
      <c r="D58">
        <v>0</v>
      </c>
      <c r="E58" t="s">
        <v>222</v>
      </c>
      <c r="F58">
        <v>15.74</v>
      </c>
      <c r="G58">
        <v>34.25</v>
      </c>
      <c r="H58">
        <v>38.448</v>
      </c>
      <c r="I58">
        <v>130.273</v>
      </c>
      <c r="J58">
        <v>3276.857</v>
      </c>
      <c r="K58">
        <v>1675.1479999999999</v>
      </c>
      <c r="L58">
        <v>805.48699999999997</v>
      </c>
      <c r="M58">
        <v>2471.37</v>
      </c>
      <c r="N58">
        <v>33.851999999999997</v>
      </c>
      <c r="O58">
        <v>769.94</v>
      </c>
      <c r="P58">
        <v>3055.1060000000002</v>
      </c>
      <c r="Q58">
        <v>3.0000000000000001E-3</v>
      </c>
      <c r="R58">
        <v>3859.7669999999998</v>
      </c>
      <c r="S58">
        <v>3860.5929999999998</v>
      </c>
      <c r="T58">
        <v>4062.9169999999999</v>
      </c>
      <c r="U58">
        <v>4058.3530000000001</v>
      </c>
      <c r="V58">
        <v>5295.86</v>
      </c>
      <c r="W58">
        <v>6601.6139999999996</v>
      </c>
      <c r="X58">
        <v>3.2063908763088199E-2</v>
      </c>
      <c r="Y58">
        <v>4</v>
      </c>
      <c r="Z58" t="s">
        <v>62</v>
      </c>
      <c r="AA58" t="s">
        <v>33</v>
      </c>
      <c r="AB58" t="s">
        <v>34</v>
      </c>
      <c r="AC58" s="7">
        <f t="shared" si="0"/>
        <v>3.8762410312672769E-3</v>
      </c>
      <c r="AD58" s="8">
        <f t="shared" si="1"/>
        <v>0.89081356637536413</v>
      </c>
      <c r="AE58" s="9">
        <f t="shared" si="2"/>
        <v>7.771658316451565E-7</v>
      </c>
      <c r="AF58" s="8">
        <f t="shared" si="3"/>
        <v>0.60827479370117576</v>
      </c>
      <c r="AG58" s="8">
        <f t="shared" si="4"/>
        <v>1.0524074928385354</v>
      </c>
      <c r="AH58" s="8">
        <f t="shared" si="5"/>
        <v>0.19825337313068417</v>
      </c>
      <c r="AI58" s="8">
        <f t="shared" si="6"/>
        <v>4.0681686979429834</v>
      </c>
      <c r="AJ58" s="8">
        <f t="shared" si="7"/>
        <v>3.2063908763088192E-2</v>
      </c>
      <c r="AK58" s="8">
        <f t="shared" si="8"/>
        <v>0.84879628595917778</v>
      </c>
      <c r="AL58" s="8">
        <f t="shared" si="9"/>
        <v>1.5557362920161693E-2</v>
      </c>
    </row>
    <row r="59" spans="1:38">
      <c r="A59" t="s">
        <v>223</v>
      </c>
      <c r="B59" t="s">
        <v>224</v>
      </c>
      <c r="C59" t="s">
        <v>47</v>
      </c>
      <c r="D59">
        <v>0</v>
      </c>
      <c r="E59" t="s">
        <v>225</v>
      </c>
      <c r="F59">
        <v>-876.36699999999996</v>
      </c>
      <c r="G59">
        <v>-346.26</v>
      </c>
      <c r="H59">
        <v>3.45</v>
      </c>
      <c r="I59">
        <v>-8.5000000000000006E-2</v>
      </c>
      <c r="J59">
        <v>3203.0129999999999</v>
      </c>
      <c r="K59">
        <v>3184.8319999999999</v>
      </c>
      <c r="L59">
        <v>542.95899999999995</v>
      </c>
      <c r="M59">
        <v>2660.0540000000001</v>
      </c>
      <c r="N59">
        <v>-346.36700000000002</v>
      </c>
      <c r="O59">
        <v>848.21600000000001</v>
      </c>
      <c r="P59">
        <v>3444.8670000000002</v>
      </c>
      <c r="Q59">
        <v>0.107</v>
      </c>
      <c r="R59">
        <v>3988.75</v>
      </c>
      <c r="S59">
        <v>3987.826</v>
      </c>
      <c r="T59">
        <v>4051.2289999999998</v>
      </c>
      <c r="U59">
        <v>4930.8599999999997</v>
      </c>
      <c r="V59">
        <v>4702.4660000000003</v>
      </c>
      <c r="W59">
        <v>5405.5249999999996</v>
      </c>
      <c r="X59" s="2">
        <v>-2.09812874068585E-5</v>
      </c>
      <c r="Y59">
        <v>4</v>
      </c>
      <c r="Z59" t="s">
        <v>32</v>
      </c>
      <c r="AA59" t="s">
        <v>33</v>
      </c>
      <c r="AB59" t="s">
        <v>34</v>
      </c>
      <c r="AC59" s="7">
        <f t="shared" si="0"/>
        <v>-0.19513656566974563</v>
      </c>
      <c r="AD59" s="8">
        <f t="shared" si="1"/>
        <v>-100.36521739130434</v>
      </c>
      <c r="AE59" s="9">
        <f t="shared" si="2"/>
        <v>2.6828554006129947E-5</v>
      </c>
      <c r="AF59" s="8">
        <f t="shared" si="3"/>
        <v>0.65660420578545431</v>
      </c>
      <c r="AG59" s="8">
        <f t="shared" si="4"/>
        <v>1.0158991390296366</v>
      </c>
      <c r="AH59" s="8">
        <f t="shared" si="5"/>
        <v>0.13402328034282929</v>
      </c>
      <c r="AI59" s="8">
        <f t="shared" si="6"/>
        <v>5.8991802327615899</v>
      </c>
      <c r="AJ59" s="8">
        <f t="shared" si="7"/>
        <v>-2.0981287406858513E-5</v>
      </c>
      <c r="AK59" s="8">
        <f t="shared" si="8"/>
        <v>0.80319778245088924</v>
      </c>
      <c r="AL59" s="8">
        <f t="shared" si="9"/>
        <v>1.2969661518149633E-3</v>
      </c>
    </row>
    <row r="60" spans="1:38">
      <c r="A60" t="s">
        <v>226</v>
      </c>
      <c r="B60" t="s">
        <v>227</v>
      </c>
      <c r="C60" t="s">
        <v>65</v>
      </c>
      <c r="D60">
        <v>18</v>
      </c>
      <c r="E60" t="s">
        <v>228</v>
      </c>
      <c r="F60">
        <v>-1714.5150000000001</v>
      </c>
      <c r="G60">
        <v>-1570.7639999999999</v>
      </c>
      <c r="H60">
        <v>1199.05</v>
      </c>
      <c r="I60">
        <v>-3560.377</v>
      </c>
      <c r="J60">
        <v>2941.547</v>
      </c>
      <c r="K60">
        <v>734.68499999999995</v>
      </c>
      <c r="L60">
        <v>4559.05</v>
      </c>
      <c r="M60">
        <v>-1617.5029999999999</v>
      </c>
      <c r="N60">
        <v>-1691.5640000000001</v>
      </c>
      <c r="O60">
        <v>1047.336</v>
      </c>
      <c r="P60">
        <v>2590.538</v>
      </c>
      <c r="Q60">
        <v>120.816</v>
      </c>
      <c r="R60">
        <v>6792.9629999999997</v>
      </c>
      <c r="S60">
        <v>7149.5879999999997</v>
      </c>
      <c r="T60">
        <v>3995.152</v>
      </c>
      <c r="U60">
        <v>5325.3370000000004</v>
      </c>
      <c r="V60">
        <v>5154.2749999999996</v>
      </c>
      <c r="W60">
        <v>6909.7290000000003</v>
      </c>
      <c r="X60">
        <v>-0.89117435331621897</v>
      </c>
      <c r="Y60">
        <v>4</v>
      </c>
      <c r="Z60" t="s">
        <v>62</v>
      </c>
      <c r="AA60" t="s">
        <v>33</v>
      </c>
      <c r="AB60" t="s">
        <v>34</v>
      </c>
      <c r="AC60" s="7">
        <f t="shared" si="0"/>
        <v>-0.36790237078762711</v>
      </c>
      <c r="AD60" s="8">
        <f t="shared" si="1"/>
        <v>-1.3100070889454152</v>
      </c>
      <c r="AE60" s="9">
        <f t="shared" si="2"/>
        <v>1.7330544460622738E-2</v>
      </c>
      <c r="AF60" s="8">
        <f t="shared" si="3"/>
        <v>-0.40486644813513978</v>
      </c>
      <c r="AG60" s="8">
        <f t="shared" si="4"/>
        <v>0.55879471656268864</v>
      </c>
      <c r="AH60" s="8">
        <f t="shared" si="5"/>
        <v>1.141145568428936</v>
      </c>
      <c r="AI60" s="8">
        <f t="shared" si="6"/>
        <v>0.64521051534859231</v>
      </c>
      <c r="AJ60" s="8">
        <f t="shared" si="7"/>
        <v>-0.89117435331621919</v>
      </c>
      <c r="AK60" s="8">
        <f t="shared" si="8"/>
        <v>0.41142888233559755</v>
      </c>
      <c r="AL60" s="8">
        <f t="shared" si="9"/>
        <v>-0.74129692495160748</v>
      </c>
    </row>
    <row r="61" spans="1:38">
      <c r="A61" t="s">
        <v>229</v>
      </c>
      <c r="B61" t="s">
        <v>230</v>
      </c>
      <c r="C61" t="s">
        <v>37</v>
      </c>
      <c r="D61">
        <v>4</v>
      </c>
      <c r="E61" t="s">
        <v>231</v>
      </c>
      <c r="F61">
        <v>-321.27600000000001</v>
      </c>
      <c r="G61">
        <v>-20.693000000000001</v>
      </c>
      <c r="H61">
        <v>3972.3409999999999</v>
      </c>
      <c r="I61">
        <v>-1256.154</v>
      </c>
      <c r="J61">
        <v>3029.2570000000001</v>
      </c>
      <c r="K61">
        <v>185.54</v>
      </c>
      <c r="L61">
        <v>3151.6109999999999</v>
      </c>
      <c r="M61">
        <v>-122.354</v>
      </c>
      <c r="N61">
        <v>177.59899999999999</v>
      </c>
      <c r="O61">
        <v>704.81100000000004</v>
      </c>
      <c r="P61">
        <v>1369.537</v>
      </c>
      <c r="Q61">
        <v>21.361999999999998</v>
      </c>
      <c r="R61">
        <v>7378.3029999999999</v>
      </c>
      <c r="S61">
        <v>4521.1480000000001</v>
      </c>
      <c r="T61">
        <v>3828.0439999999999</v>
      </c>
      <c r="U61">
        <v>7419.8540000000003</v>
      </c>
      <c r="V61">
        <v>14563.944</v>
      </c>
      <c r="W61">
        <v>18520.968000000001</v>
      </c>
      <c r="X61">
        <v>-0.32814513103820098</v>
      </c>
      <c r="Y61">
        <v>4</v>
      </c>
      <c r="Z61" t="s">
        <v>39</v>
      </c>
      <c r="AA61" t="s">
        <v>33</v>
      </c>
      <c r="AB61" t="s">
        <v>34</v>
      </c>
      <c r="AC61" s="7">
        <f t="shared" si="0"/>
        <v>-5.7126407085128256E-2</v>
      </c>
      <c r="AD61" s="8">
        <f t="shared" si="1"/>
        <v>-5.2092708053009555E-3</v>
      </c>
      <c r="AE61" s="9">
        <f t="shared" si="2"/>
        <v>3.590417742801747E-3</v>
      </c>
      <c r="AF61" s="8">
        <f t="shared" si="3"/>
        <v>-3.1962537525691975E-2</v>
      </c>
      <c r="AG61" s="8">
        <f t="shared" si="4"/>
        <v>0.84669734324114132</v>
      </c>
      <c r="AH61" s="8">
        <f t="shared" si="5"/>
        <v>0.8232953957687007</v>
      </c>
      <c r="AI61" s="8">
        <f t="shared" si="6"/>
        <v>0.96117731534761119</v>
      </c>
      <c r="AJ61" s="8">
        <f t="shared" si="7"/>
        <v>-0.32814513103820125</v>
      </c>
      <c r="AK61" s="8">
        <f t="shared" si="8"/>
        <v>0.67001942869377418</v>
      </c>
      <c r="AL61" s="8">
        <f t="shared" si="9"/>
        <v>-32.465967602203442</v>
      </c>
    </row>
    <row r="62" spans="1:38">
      <c r="A62" t="s">
        <v>232</v>
      </c>
      <c r="B62" t="s">
        <v>233</v>
      </c>
      <c r="C62" t="s">
        <v>124</v>
      </c>
      <c r="D62">
        <v>0</v>
      </c>
      <c r="E62" t="s">
        <v>234</v>
      </c>
      <c r="F62">
        <v>-359.84899999999999</v>
      </c>
      <c r="G62">
        <v>-217.78</v>
      </c>
      <c r="H62">
        <v>77.709999999999994</v>
      </c>
      <c r="I62">
        <v>-1294.2429999999999</v>
      </c>
      <c r="J62">
        <v>1650.4159999999999</v>
      </c>
      <c r="K62">
        <v>1593.2439999999999</v>
      </c>
      <c r="L62">
        <v>4946.509</v>
      </c>
      <c r="M62">
        <v>-3296.0929999999998</v>
      </c>
      <c r="N62">
        <v>-261.19200000000001</v>
      </c>
      <c r="O62">
        <v>2159.0439999999999</v>
      </c>
      <c r="P62">
        <v>90.415000000000006</v>
      </c>
      <c r="Q62">
        <v>43.411999999999999</v>
      </c>
      <c r="R62">
        <v>4888.0050000000001</v>
      </c>
      <c r="S62">
        <v>5036.924</v>
      </c>
      <c r="T62">
        <v>3817.681</v>
      </c>
      <c r="U62">
        <v>4028.6120000000001</v>
      </c>
      <c r="V62">
        <v>4621.9859999999999</v>
      </c>
      <c r="W62">
        <v>4677.3919999999998</v>
      </c>
      <c r="X62">
        <v>-0.33901287195027602</v>
      </c>
      <c r="Y62">
        <v>4</v>
      </c>
      <c r="Z62" t="s">
        <v>62</v>
      </c>
      <c r="AA62" t="s">
        <v>33</v>
      </c>
      <c r="AB62" t="s">
        <v>34</v>
      </c>
      <c r="AC62" s="7">
        <f t="shared" si="0"/>
        <v>-9.172458892371213E-2</v>
      </c>
      <c r="AD62" s="8">
        <f t="shared" si="1"/>
        <v>-2.802470724488483</v>
      </c>
      <c r="AE62" s="9">
        <f t="shared" si="2"/>
        <v>8.7480726562376415E-3</v>
      </c>
      <c r="AF62" s="8">
        <f t="shared" si="3"/>
        <v>-0.86337569849340468</v>
      </c>
      <c r="AG62" s="8">
        <f t="shared" si="4"/>
        <v>0.75793897227752494</v>
      </c>
      <c r="AH62" s="8">
        <f t="shared" si="5"/>
        <v>1.295684212483966</v>
      </c>
      <c r="AI62" s="8">
        <f t="shared" si="6"/>
        <v>0.33365268313471175</v>
      </c>
      <c r="AJ62" s="8">
        <f t="shared" si="7"/>
        <v>-0.33901287195027557</v>
      </c>
      <c r="AK62" s="8">
        <f t="shared" si="8"/>
        <v>0.32766347080083003</v>
      </c>
      <c r="AL62" s="8">
        <f t="shared" si="9"/>
        <v>-2.3576397874695888E-2</v>
      </c>
    </row>
    <row r="63" spans="1:38">
      <c r="A63" t="s">
        <v>235</v>
      </c>
      <c r="B63" t="s">
        <v>236</v>
      </c>
      <c r="C63" t="s">
        <v>131</v>
      </c>
      <c r="D63">
        <v>18</v>
      </c>
      <c r="E63" t="s">
        <v>237</v>
      </c>
      <c r="F63">
        <v>31.978999999999999</v>
      </c>
      <c r="G63">
        <v>159.29</v>
      </c>
      <c r="H63">
        <v>5998.2579999999998</v>
      </c>
      <c r="I63">
        <v>317.72000000000003</v>
      </c>
      <c r="J63">
        <v>3434.8679999999999</v>
      </c>
      <c r="K63">
        <v>32.076000000000001</v>
      </c>
      <c r="L63">
        <v>2769.1669999999999</v>
      </c>
      <c r="M63">
        <v>665.70100000000002</v>
      </c>
      <c r="N63">
        <v>118.51900000000001</v>
      </c>
      <c r="O63">
        <v>348.12900000000002</v>
      </c>
      <c r="P63">
        <v>440.83800000000002</v>
      </c>
      <c r="Q63">
        <v>12.256</v>
      </c>
      <c r="R63">
        <v>2962.4270000000001</v>
      </c>
      <c r="S63">
        <v>3210.0050000000001</v>
      </c>
      <c r="T63">
        <v>3803.3960000000002</v>
      </c>
      <c r="U63">
        <v>3509.5680000000002</v>
      </c>
      <c r="V63">
        <v>3082.2930000000001</v>
      </c>
      <c r="W63">
        <v>2620.819</v>
      </c>
      <c r="X63">
        <v>8.3535871626304506E-2</v>
      </c>
      <c r="Y63">
        <v>4</v>
      </c>
      <c r="Z63" t="s">
        <v>32</v>
      </c>
      <c r="AA63" t="s">
        <v>33</v>
      </c>
      <c r="AB63" t="s">
        <v>34</v>
      </c>
      <c r="AC63" s="7">
        <f t="shared" si="0"/>
        <v>8.7458382127957972E-3</v>
      </c>
      <c r="AD63" s="8">
        <f t="shared" si="1"/>
        <v>2.6556043437944817E-2</v>
      </c>
      <c r="AE63" s="9">
        <f t="shared" si="2"/>
        <v>3.9712061631460658E-3</v>
      </c>
      <c r="AF63" s="8">
        <f t="shared" si="3"/>
        <v>0.17502805387606235</v>
      </c>
      <c r="AG63" s="8">
        <f t="shared" si="4"/>
        <v>1.1848567214069761</v>
      </c>
      <c r="AH63" s="8">
        <f t="shared" si="5"/>
        <v>0.72807748654097548</v>
      </c>
      <c r="AI63" s="8">
        <f t="shared" si="6"/>
        <v>1.2403975635994506</v>
      </c>
      <c r="AJ63" s="8">
        <f t="shared" si="7"/>
        <v>8.3535871626304492E-2</v>
      </c>
      <c r="AK63" s="8">
        <f t="shared" si="8"/>
        <v>1.0700506697030066</v>
      </c>
      <c r="AL63" s="8">
        <f t="shared" si="9"/>
        <v>9.0104386203415636</v>
      </c>
    </row>
    <row r="64" spans="1:38">
      <c r="A64" t="s">
        <v>238</v>
      </c>
      <c r="B64" t="s">
        <v>239</v>
      </c>
      <c r="C64" t="s">
        <v>120</v>
      </c>
      <c r="D64">
        <v>0</v>
      </c>
      <c r="E64" t="s">
        <v>240</v>
      </c>
      <c r="F64">
        <v>0.35199999999999998</v>
      </c>
      <c r="G64">
        <v>0.36899999999999999</v>
      </c>
      <c r="H64">
        <v>2.2789999999999999</v>
      </c>
      <c r="I64">
        <v>493.36799999999999</v>
      </c>
      <c r="J64">
        <v>1174.55</v>
      </c>
      <c r="K64">
        <v>1139.5740000000001</v>
      </c>
      <c r="L64">
        <v>763.697</v>
      </c>
      <c r="M64">
        <v>410.85300000000001</v>
      </c>
      <c r="N64">
        <v>0.35199999999999998</v>
      </c>
      <c r="O64">
        <v>2609.806</v>
      </c>
      <c r="P64">
        <v>2541.9319999999998</v>
      </c>
      <c r="Q64">
        <v>0</v>
      </c>
      <c r="R64">
        <v>3438.6610000000001</v>
      </c>
      <c r="S64">
        <v>3305.6289999999999</v>
      </c>
      <c r="T64">
        <v>3798.9969999999998</v>
      </c>
      <c r="U64">
        <v>3931.6790000000001</v>
      </c>
      <c r="V64">
        <v>4116.7929999999997</v>
      </c>
      <c r="W64">
        <v>4481.8220000000001</v>
      </c>
      <c r="X64">
        <v>0.12986796251747501</v>
      </c>
      <c r="Y64">
        <v>4</v>
      </c>
      <c r="Z64" t="s">
        <v>44</v>
      </c>
      <c r="AA64" t="s">
        <v>33</v>
      </c>
      <c r="AB64" t="s">
        <v>34</v>
      </c>
      <c r="AC64" s="7">
        <f t="shared" si="0"/>
        <v>9.1065774842976222E-5</v>
      </c>
      <c r="AD64" s="8">
        <f t="shared" si="1"/>
        <v>0.1619131197893813</v>
      </c>
      <c r="AE64" s="9">
        <f t="shared" si="2"/>
        <v>0</v>
      </c>
      <c r="AF64" s="8">
        <f t="shared" si="3"/>
        <v>0.1081477558418709</v>
      </c>
      <c r="AG64" s="8">
        <f t="shared" si="4"/>
        <v>1.1492508687454037</v>
      </c>
      <c r="AH64" s="8">
        <f t="shared" si="5"/>
        <v>0.20102595500865097</v>
      </c>
      <c r="AI64" s="8">
        <f t="shared" si="6"/>
        <v>1.537979067614512</v>
      </c>
      <c r="AJ64" s="8">
        <f t="shared" si="7"/>
        <v>0.12986796251747501</v>
      </c>
      <c r="AK64" s="8">
        <f t="shared" si="8"/>
        <v>0.35531815578820247</v>
      </c>
      <c r="AL64" s="8">
        <f t="shared" si="9"/>
        <v>5.5469961275687405E-3</v>
      </c>
    </row>
    <row r="65" spans="1:38">
      <c r="A65" t="s">
        <v>241</v>
      </c>
      <c r="B65" t="s">
        <v>242</v>
      </c>
      <c r="C65" t="s">
        <v>37</v>
      </c>
      <c r="D65">
        <v>0</v>
      </c>
      <c r="E65" t="s">
        <v>243</v>
      </c>
      <c r="F65">
        <v>-14.548999999999999</v>
      </c>
      <c r="G65">
        <v>-0.19500000000000001</v>
      </c>
      <c r="H65">
        <v>300.72199999999998</v>
      </c>
      <c r="I65">
        <v>-1724.1980000000001</v>
      </c>
      <c r="J65">
        <v>1647.192</v>
      </c>
      <c r="K65">
        <v>0</v>
      </c>
      <c r="L65">
        <v>2062.9650000000001</v>
      </c>
      <c r="M65">
        <v>-415.77300000000002</v>
      </c>
      <c r="N65">
        <v>-14.548999999999999</v>
      </c>
      <c r="O65">
        <v>2068.6039999999998</v>
      </c>
      <c r="P65">
        <v>3377.029</v>
      </c>
      <c r="Q65">
        <v>13.119</v>
      </c>
      <c r="R65">
        <v>5949.7820000000002</v>
      </c>
      <c r="S65">
        <v>5439.9939999999997</v>
      </c>
      <c r="T65">
        <v>3715.7959999999998</v>
      </c>
      <c r="U65">
        <v>4240.1329999999998</v>
      </c>
      <c r="V65">
        <v>6935.1030000000001</v>
      </c>
      <c r="W65">
        <v>7453.9620000000004</v>
      </c>
      <c r="X65">
        <v>-0.46401847679474301</v>
      </c>
      <c r="Y65">
        <v>4</v>
      </c>
      <c r="Z65" t="s">
        <v>39</v>
      </c>
      <c r="AA65" t="s">
        <v>33</v>
      </c>
      <c r="AB65" t="s">
        <v>34</v>
      </c>
      <c r="AC65" s="7">
        <f t="shared" si="0"/>
        <v>-3.6573981492293356E-3</v>
      </c>
      <c r="AD65" s="8">
        <f t="shared" si="1"/>
        <v>-6.4843942245662112E-4</v>
      </c>
      <c r="AE65" s="9">
        <f t="shared" si="2"/>
        <v>2.3036449531579901E-3</v>
      </c>
      <c r="AF65" s="8">
        <f t="shared" si="3"/>
        <v>-0.11189338704277631</v>
      </c>
      <c r="AG65" s="8">
        <f t="shared" si="4"/>
        <v>0.6830514886597302</v>
      </c>
      <c r="AH65" s="8">
        <f t="shared" si="5"/>
        <v>0.55518790590226164</v>
      </c>
      <c r="AI65" s="8">
        <f t="shared" si="6"/>
        <v>0.79845852934974659</v>
      </c>
      <c r="AJ65" s="8">
        <f t="shared" si="7"/>
        <v>-0.46401847679474334</v>
      </c>
      <c r="AK65" s="8">
        <f t="shared" si="8"/>
        <v>0.30279298102167024</v>
      </c>
      <c r="AL65" s="8">
        <f t="shared" si="9"/>
        <v>-0.72328409973711605</v>
      </c>
    </row>
    <row r="66" spans="1:38">
      <c r="A66" t="s">
        <v>244</v>
      </c>
      <c r="B66" t="s">
        <v>245</v>
      </c>
      <c r="C66" t="s">
        <v>47</v>
      </c>
      <c r="D66">
        <v>1</v>
      </c>
      <c r="E66" t="s">
        <v>246</v>
      </c>
      <c r="F66">
        <v>21.806999999999999</v>
      </c>
      <c r="G66">
        <v>115.953</v>
      </c>
      <c r="H66">
        <v>0.61699999999999999</v>
      </c>
      <c r="I66">
        <v>988.08199999999999</v>
      </c>
      <c r="J66">
        <v>1956.6379999999999</v>
      </c>
      <c r="K66">
        <v>445</v>
      </c>
      <c r="L66">
        <v>2564.7159999999999</v>
      </c>
      <c r="M66">
        <v>-608.07799999999997</v>
      </c>
      <c r="N66">
        <v>42.831000000000003</v>
      </c>
      <c r="O66">
        <v>1733.2159999999999</v>
      </c>
      <c r="P66">
        <v>17.292000000000002</v>
      </c>
      <c r="Q66">
        <v>0.57399999999999995</v>
      </c>
      <c r="R66">
        <v>3506.9409999999998</v>
      </c>
      <c r="S66">
        <v>2582.0079999999998</v>
      </c>
      <c r="T66">
        <v>3715.701</v>
      </c>
      <c r="U66">
        <v>4618.8280000000004</v>
      </c>
      <c r="V66">
        <v>4949.7640000000001</v>
      </c>
      <c r="W66">
        <v>10501.936</v>
      </c>
      <c r="X66">
        <v>0.26592075088926698</v>
      </c>
      <c r="Y66">
        <v>4</v>
      </c>
      <c r="Z66" t="s">
        <v>32</v>
      </c>
      <c r="AA66" t="s">
        <v>33</v>
      </c>
      <c r="AB66" t="s">
        <v>34</v>
      </c>
      <c r="AC66" s="7">
        <f t="shared" si="0"/>
        <v>5.2329291793213502E-3</v>
      </c>
      <c r="AD66" s="8">
        <f t="shared" si="1"/>
        <v>187.93030794165315</v>
      </c>
      <c r="AE66" s="9">
        <f t="shared" si="2"/>
        <v>1.8853828468591214E-4</v>
      </c>
      <c r="AF66" s="8">
        <f t="shared" si="3"/>
        <v>-0.16365095038594332</v>
      </c>
      <c r="AG66" s="8">
        <f t="shared" si="4"/>
        <v>1.4390741624348182</v>
      </c>
      <c r="AH66" s="8">
        <f t="shared" si="5"/>
        <v>0.69023745452069474</v>
      </c>
      <c r="AI66" s="8">
        <f t="shared" si="6"/>
        <v>0.76290630229623868</v>
      </c>
      <c r="AJ66" s="8">
        <f t="shared" si="7"/>
        <v>0.26592075088926692</v>
      </c>
      <c r="AK66" s="8">
        <f t="shared" si="8"/>
        <v>0.75779703238719631</v>
      </c>
      <c r="AL66" s="8">
        <f t="shared" si="9"/>
        <v>-1.0146724597831199E-3</v>
      </c>
    </row>
    <row r="67" spans="1:38">
      <c r="A67" t="s">
        <v>247</v>
      </c>
      <c r="B67" t="s">
        <v>248</v>
      </c>
      <c r="C67" t="s">
        <v>69</v>
      </c>
      <c r="D67">
        <v>52</v>
      </c>
      <c r="E67" t="s">
        <v>249</v>
      </c>
      <c r="F67">
        <v>-66899.635999999999</v>
      </c>
      <c r="G67">
        <v>-64298.069000000003</v>
      </c>
      <c r="H67">
        <v>8062.8059999999996</v>
      </c>
      <c r="I67">
        <v>-77474.103000000003</v>
      </c>
      <c r="J67">
        <v>3552.056</v>
      </c>
      <c r="K67">
        <v>0</v>
      </c>
      <c r="L67">
        <v>6425.2780000000002</v>
      </c>
      <c r="M67">
        <v>-2873.2220000000002</v>
      </c>
      <c r="N67">
        <v>-66330.903999999995</v>
      </c>
      <c r="O67">
        <v>124.15900000000001</v>
      </c>
      <c r="P67">
        <v>74348.323999999993</v>
      </c>
      <c r="Q67">
        <v>2801.9720000000002</v>
      </c>
      <c r="R67">
        <v>16060.837</v>
      </c>
      <c r="S67">
        <v>80773.601999999999</v>
      </c>
      <c r="T67">
        <v>3676.2150000000001</v>
      </c>
      <c r="U67">
        <v>6393.54</v>
      </c>
      <c r="V67">
        <v>4916.1790000000001</v>
      </c>
      <c r="W67">
        <v>11413.91</v>
      </c>
      <c r="X67">
        <v>-21.074421109755601</v>
      </c>
      <c r="Y67">
        <v>4</v>
      </c>
      <c r="Z67" t="s">
        <v>39</v>
      </c>
      <c r="AA67" t="s">
        <v>33</v>
      </c>
      <c r="AB67" t="s">
        <v>34</v>
      </c>
      <c r="AC67" s="7">
        <f t="shared" ref="AC67:AC130" si="10">F67/((T67+U67)/2)</f>
        <v>-13.287242043128158</v>
      </c>
      <c r="AD67" s="8">
        <f t="shared" ref="AD67:AD130" si="11">G67/H67</f>
        <v>-7.9746516287257823</v>
      </c>
      <c r="AE67" s="9">
        <f t="shared" ref="AE67:AE130" si="12">Q67/((R67+S67)/2)</f>
        <v>5.787139428772857E-2</v>
      </c>
      <c r="AF67" s="8">
        <f t="shared" ref="AF67:AF130" si="13">M67/T67</f>
        <v>-0.78157071879637074</v>
      </c>
      <c r="AG67" s="8">
        <f t="shared" ref="AG67:AG130" si="14">T67/S67</f>
        <v>4.5512579716328612E-2</v>
      </c>
      <c r="AH67" s="8">
        <f t="shared" ref="AH67:AH130" si="15">L67/T67</f>
        <v>1.747797122855981</v>
      </c>
      <c r="AI67" s="8">
        <f t="shared" ref="AI67:AI130" si="16">J67/L67</f>
        <v>0.55282526296916645</v>
      </c>
      <c r="AJ67" s="8">
        <f t="shared" ref="AJ67:AJ130" si="17">I67/T67</f>
        <v>-21.074421109755551</v>
      </c>
      <c r="AK67" s="8">
        <f t="shared" ref="AK67:AK130" si="18">J67/S67</f>
        <v>4.3975456238784551E-2</v>
      </c>
      <c r="AL67" s="8">
        <f t="shared" ref="AL67:AL130" si="19">H67/M67</f>
        <v>-2.8061897061904717</v>
      </c>
    </row>
    <row r="68" spans="1:38">
      <c r="A68" t="s">
        <v>250</v>
      </c>
      <c r="B68" t="s">
        <v>251</v>
      </c>
      <c r="C68" t="s">
        <v>69</v>
      </c>
      <c r="D68">
        <v>2</v>
      </c>
      <c r="E68" t="s">
        <v>252</v>
      </c>
      <c r="F68">
        <v>-18.634</v>
      </c>
      <c r="G68">
        <v>51.597999999999999</v>
      </c>
      <c r="H68">
        <v>976.19100000000003</v>
      </c>
      <c r="I68">
        <v>115.36499999999999</v>
      </c>
      <c r="J68">
        <v>3127.884</v>
      </c>
      <c r="K68">
        <v>727.19200000000001</v>
      </c>
      <c r="L68">
        <v>2077.1439999999998</v>
      </c>
      <c r="M68">
        <v>1050.74</v>
      </c>
      <c r="N68">
        <v>29.2</v>
      </c>
      <c r="O68">
        <v>403.86700000000002</v>
      </c>
      <c r="P68">
        <v>1259.1510000000001</v>
      </c>
      <c r="Q68">
        <v>20.896000000000001</v>
      </c>
      <c r="R68">
        <v>4477.4160000000002</v>
      </c>
      <c r="S68">
        <v>3336.2950000000001</v>
      </c>
      <c r="T68">
        <v>3531.7510000000002</v>
      </c>
      <c r="U68">
        <v>4680.5649999999996</v>
      </c>
      <c r="V68">
        <v>4984.67</v>
      </c>
      <c r="W68">
        <v>5220.6890000000003</v>
      </c>
      <c r="X68">
        <v>3.2665100116061399E-2</v>
      </c>
      <c r="Y68">
        <v>4</v>
      </c>
      <c r="Z68" t="s">
        <v>39</v>
      </c>
      <c r="AA68" t="s">
        <v>33</v>
      </c>
      <c r="AB68" t="s">
        <v>34</v>
      </c>
      <c r="AC68" s="7">
        <f t="shared" si="10"/>
        <v>-4.5380621008738586E-3</v>
      </c>
      <c r="AD68" s="8">
        <f t="shared" si="11"/>
        <v>5.2856459442875418E-2</v>
      </c>
      <c r="AE68" s="9">
        <f t="shared" si="12"/>
        <v>5.3485469324370972E-3</v>
      </c>
      <c r="AF68" s="8">
        <f t="shared" si="13"/>
        <v>0.29751248035322986</v>
      </c>
      <c r="AG68" s="8">
        <f t="shared" si="14"/>
        <v>1.058584747451889</v>
      </c>
      <c r="AH68" s="8">
        <f t="shared" si="15"/>
        <v>0.58813432770317042</v>
      </c>
      <c r="AI68" s="8">
        <f t="shared" si="16"/>
        <v>1.5058580435444053</v>
      </c>
      <c r="AJ68" s="8">
        <f t="shared" si="17"/>
        <v>3.2665100116061406E-2</v>
      </c>
      <c r="AK68" s="8">
        <f t="shared" si="18"/>
        <v>0.93753220263795611</v>
      </c>
      <c r="AL68" s="8">
        <f t="shared" si="19"/>
        <v>0.92905095456535391</v>
      </c>
    </row>
    <row r="69" spans="1:38">
      <c r="A69" t="s">
        <v>253</v>
      </c>
      <c r="B69" t="s">
        <v>254</v>
      </c>
      <c r="C69" t="s">
        <v>69</v>
      </c>
      <c r="D69">
        <v>0</v>
      </c>
      <c r="E69" t="s">
        <v>255</v>
      </c>
      <c r="F69">
        <v>90.822000000000003</v>
      </c>
      <c r="G69">
        <v>98.040999999999997</v>
      </c>
      <c r="H69">
        <v>174.30699999999999</v>
      </c>
      <c r="I69">
        <v>486.012</v>
      </c>
      <c r="J69">
        <v>169.66399999999999</v>
      </c>
      <c r="K69">
        <v>137.52500000000001</v>
      </c>
      <c r="L69">
        <v>1887.85</v>
      </c>
      <c r="M69">
        <v>-1718.1859999999999</v>
      </c>
      <c r="N69">
        <v>90.921000000000006</v>
      </c>
      <c r="O69">
        <v>3337.5630000000001</v>
      </c>
      <c r="P69">
        <v>1133.499</v>
      </c>
      <c r="Q69">
        <v>0</v>
      </c>
      <c r="R69">
        <v>3103.192</v>
      </c>
      <c r="S69">
        <v>3021.3490000000002</v>
      </c>
      <c r="T69">
        <v>3507.3609999999999</v>
      </c>
      <c r="U69">
        <v>3506.172</v>
      </c>
      <c r="V69">
        <v>5075.3819999999996</v>
      </c>
      <c r="W69">
        <v>5699.9430000000002</v>
      </c>
      <c r="X69">
        <v>0.13856914073002499</v>
      </c>
      <c r="Y69">
        <v>4</v>
      </c>
      <c r="Z69" t="s">
        <v>39</v>
      </c>
      <c r="AA69" t="s">
        <v>33</v>
      </c>
      <c r="AB69" t="s">
        <v>34</v>
      </c>
      <c r="AC69" s="7">
        <f t="shared" si="10"/>
        <v>2.5899072550168371E-2</v>
      </c>
      <c r="AD69" s="8">
        <f t="shared" si="11"/>
        <v>0.56246163378407066</v>
      </c>
      <c r="AE69" s="9">
        <f t="shared" si="12"/>
        <v>0</v>
      </c>
      <c r="AF69" s="8">
        <f t="shared" si="13"/>
        <v>-0.48987999809543414</v>
      </c>
      <c r="AG69" s="8">
        <f t="shared" si="14"/>
        <v>1.1608592718020989</v>
      </c>
      <c r="AH69" s="8">
        <f t="shared" si="15"/>
        <v>0.5382536898825071</v>
      </c>
      <c r="AI69" s="8">
        <f t="shared" si="16"/>
        <v>8.987154699790767E-2</v>
      </c>
      <c r="AJ69" s="8">
        <f t="shared" si="17"/>
        <v>0.13856914073002466</v>
      </c>
      <c r="AK69" s="8">
        <f t="shared" si="18"/>
        <v>5.6155048622320687E-2</v>
      </c>
      <c r="AL69" s="8">
        <f t="shared" si="19"/>
        <v>-0.10144827160738128</v>
      </c>
    </row>
    <row r="70" spans="1:38">
      <c r="A70" t="s">
        <v>256</v>
      </c>
      <c r="B70" t="s">
        <v>257</v>
      </c>
      <c r="C70" t="s">
        <v>193</v>
      </c>
      <c r="D70">
        <v>2</v>
      </c>
      <c r="E70" t="s">
        <v>258</v>
      </c>
      <c r="F70">
        <v>58.045999999999999</v>
      </c>
      <c r="G70">
        <v>155.47</v>
      </c>
      <c r="H70">
        <v>1121.463</v>
      </c>
      <c r="I70">
        <v>-45.384999999999998</v>
      </c>
      <c r="J70">
        <v>3330.8380000000002</v>
      </c>
      <c r="K70">
        <v>2339.654</v>
      </c>
      <c r="L70">
        <v>3478.3240000000001</v>
      </c>
      <c r="M70">
        <v>-147.48599999999999</v>
      </c>
      <c r="N70">
        <v>62.841000000000001</v>
      </c>
      <c r="O70">
        <v>77.515000000000001</v>
      </c>
      <c r="P70">
        <v>0</v>
      </c>
      <c r="Q70">
        <v>56.64</v>
      </c>
      <c r="R70">
        <v>3409.1570000000002</v>
      </c>
      <c r="S70">
        <v>3478.3240000000001</v>
      </c>
      <c r="T70">
        <v>3434.797</v>
      </c>
      <c r="U70">
        <v>3308.4760000000001</v>
      </c>
      <c r="V70">
        <v>3060.1149999999998</v>
      </c>
      <c r="W70">
        <v>2649.1260000000002</v>
      </c>
      <c r="X70">
        <v>-1.3213299068329199E-2</v>
      </c>
      <c r="Y70">
        <v>4</v>
      </c>
      <c r="Z70" t="s">
        <v>32</v>
      </c>
      <c r="AA70" t="s">
        <v>33</v>
      </c>
      <c r="AB70" t="s">
        <v>34</v>
      </c>
      <c r="AC70" s="7">
        <f t="shared" si="10"/>
        <v>1.7215972125108978E-2</v>
      </c>
      <c r="AD70" s="8">
        <f t="shared" si="11"/>
        <v>0.13863141271713825</v>
      </c>
      <c r="AE70" s="9">
        <f t="shared" si="12"/>
        <v>1.6447232304524689E-2</v>
      </c>
      <c r="AF70" s="8">
        <f t="shared" si="13"/>
        <v>-4.2938782117254673E-2</v>
      </c>
      <c r="AG70" s="8">
        <f t="shared" si="14"/>
        <v>0.98748621462520458</v>
      </c>
      <c r="AH70" s="8">
        <f t="shared" si="15"/>
        <v>1.0126723646259153</v>
      </c>
      <c r="AI70" s="8">
        <f t="shared" si="16"/>
        <v>0.9575985445864158</v>
      </c>
      <c r="AJ70" s="8">
        <f t="shared" si="17"/>
        <v>-1.3213299068329219E-2</v>
      </c>
      <c r="AK70" s="8">
        <f t="shared" si="18"/>
        <v>0.9575985445864158</v>
      </c>
      <c r="AL70" s="8">
        <f t="shared" si="19"/>
        <v>-7.6038607054228882</v>
      </c>
    </row>
    <row r="71" spans="1:38">
      <c r="A71" t="s">
        <v>259</v>
      </c>
      <c r="B71" t="s">
        <v>260</v>
      </c>
      <c r="C71" t="s">
        <v>47</v>
      </c>
      <c r="D71">
        <v>26</v>
      </c>
      <c r="E71" t="s">
        <v>261</v>
      </c>
      <c r="F71">
        <v>8.81</v>
      </c>
      <c r="G71">
        <v>112.26900000000001</v>
      </c>
      <c r="H71">
        <v>2987.125</v>
      </c>
      <c r="I71">
        <v>624.846</v>
      </c>
      <c r="J71">
        <v>2551.703</v>
      </c>
      <c r="K71">
        <v>1034.713</v>
      </c>
      <c r="L71">
        <v>2161.3110000000001</v>
      </c>
      <c r="M71">
        <v>390.392</v>
      </c>
      <c r="N71">
        <v>81.513000000000005</v>
      </c>
      <c r="O71">
        <v>811.41300000000001</v>
      </c>
      <c r="P71">
        <v>294.76799999999997</v>
      </c>
      <c r="Q71">
        <v>25.777999999999999</v>
      </c>
      <c r="R71">
        <v>1883.05</v>
      </c>
      <c r="S71">
        <v>2456.0790000000002</v>
      </c>
      <c r="T71">
        <v>3384.7629999999999</v>
      </c>
      <c r="U71">
        <v>2803.913</v>
      </c>
      <c r="V71">
        <v>3222.2510000000002</v>
      </c>
      <c r="W71">
        <v>2456.7040000000002</v>
      </c>
      <c r="X71">
        <v>0.184605539590217</v>
      </c>
      <c r="Y71">
        <v>4</v>
      </c>
      <c r="Z71" t="s">
        <v>32</v>
      </c>
      <c r="AA71" t="s">
        <v>33</v>
      </c>
      <c r="AB71" t="s">
        <v>34</v>
      </c>
      <c r="AC71" s="7">
        <f t="shared" si="10"/>
        <v>2.8471356393516161E-3</v>
      </c>
      <c r="AD71" s="8">
        <f t="shared" si="11"/>
        <v>3.758429928442901E-2</v>
      </c>
      <c r="AE71" s="9">
        <f t="shared" si="12"/>
        <v>1.188164721537433E-2</v>
      </c>
      <c r="AF71" s="8">
        <f t="shared" si="13"/>
        <v>0.11533806059685715</v>
      </c>
      <c r="AG71" s="8">
        <f t="shared" si="14"/>
        <v>1.3781165019529094</v>
      </c>
      <c r="AH71" s="8">
        <f t="shared" si="15"/>
        <v>0.63854130998241243</v>
      </c>
      <c r="AI71" s="8">
        <f t="shared" si="16"/>
        <v>1.1806274062363074</v>
      </c>
      <c r="AJ71" s="8">
        <f t="shared" si="17"/>
        <v>0.18460553959021653</v>
      </c>
      <c r="AK71" s="8">
        <f t="shared" si="18"/>
        <v>1.0389336010771639</v>
      </c>
      <c r="AL71" s="8">
        <f t="shared" si="19"/>
        <v>7.6516040287710814</v>
      </c>
    </row>
    <row r="72" spans="1:38">
      <c r="A72" t="s">
        <v>262</v>
      </c>
      <c r="B72" t="s">
        <v>263</v>
      </c>
      <c r="C72" t="s">
        <v>55</v>
      </c>
      <c r="D72">
        <v>26</v>
      </c>
      <c r="E72" t="s">
        <v>264</v>
      </c>
      <c r="F72">
        <v>18.928000000000001</v>
      </c>
      <c r="G72">
        <v>89.516000000000005</v>
      </c>
      <c r="H72">
        <v>3294.498</v>
      </c>
      <c r="I72">
        <v>1069.499</v>
      </c>
      <c r="J72">
        <v>2771.6080000000002</v>
      </c>
      <c r="K72">
        <v>903.80700000000002</v>
      </c>
      <c r="L72">
        <v>1186.367</v>
      </c>
      <c r="M72">
        <v>1585.241</v>
      </c>
      <c r="N72">
        <v>55.930999999999997</v>
      </c>
      <c r="O72">
        <v>453.56400000000002</v>
      </c>
      <c r="P72">
        <v>867.96</v>
      </c>
      <c r="Q72">
        <v>25.920999999999999</v>
      </c>
      <c r="R72">
        <v>1173.3699999999999</v>
      </c>
      <c r="S72">
        <v>2054.3270000000002</v>
      </c>
      <c r="T72">
        <v>3225.172</v>
      </c>
      <c r="U72">
        <v>2359.5340000000001</v>
      </c>
      <c r="V72">
        <v>1973.415</v>
      </c>
      <c r="W72">
        <v>1258.374</v>
      </c>
      <c r="X72">
        <v>0.33160991103730297</v>
      </c>
      <c r="Y72">
        <v>4</v>
      </c>
      <c r="Z72" t="s">
        <v>57</v>
      </c>
      <c r="AA72" t="s">
        <v>33</v>
      </c>
      <c r="AB72" t="s">
        <v>34</v>
      </c>
      <c r="AC72" s="7">
        <f t="shared" si="10"/>
        <v>6.7785126020957955E-3</v>
      </c>
      <c r="AD72" s="8">
        <f t="shared" si="11"/>
        <v>2.7171362678016502E-2</v>
      </c>
      <c r="AE72" s="9">
        <f t="shared" si="12"/>
        <v>1.606160677411789E-2</v>
      </c>
      <c r="AF72" s="8">
        <f t="shared" si="13"/>
        <v>0.49152138242549542</v>
      </c>
      <c r="AG72" s="8">
        <f t="shared" si="14"/>
        <v>1.5699409100888027</v>
      </c>
      <c r="AH72" s="8">
        <f t="shared" si="15"/>
        <v>0.36784611797448319</v>
      </c>
      <c r="AI72" s="8">
        <f t="shared" si="16"/>
        <v>2.3362146789315621</v>
      </c>
      <c r="AJ72" s="8">
        <f t="shared" si="17"/>
        <v>0.33160991103730281</v>
      </c>
      <c r="AK72" s="8">
        <f t="shared" si="18"/>
        <v>1.3491561956786819</v>
      </c>
      <c r="AL72" s="8">
        <f t="shared" si="19"/>
        <v>2.0782316379654575</v>
      </c>
    </row>
    <row r="73" spans="1:38">
      <c r="A73" t="s">
        <v>265</v>
      </c>
      <c r="B73" t="s">
        <v>266</v>
      </c>
      <c r="C73" t="s">
        <v>42</v>
      </c>
      <c r="D73">
        <v>0</v>
      </c>
      <c r="E73" t="s">
        <v>267</v>
      </c>
      <c r="F73">
        <v>-162.12100000000001</v>
      </c>
      <c r="G73">
        <v>-107.021</v>
      </c>
      <c r="H73">
        <v>89.34</v>
      </c>
      <c r="I73">
        <v>-118.374</v>
      </c>
      <c r="J73">
        <v>3219.931</v>
      </c>
      <c r="K73">
        <v>3071</v>
      </c>
      <c r="L73">
        <v>3338.134</v>
      </c>
      <c r="M73">
        <v>-118.203</v>
      </c>
      <c r="N73">
        <v>-162.12100000000001</v>
      </c>
      <c r="O73">
        <v>0</v>
      </c>
      <c r="P73">
        <v>0</v>
      </c>
      <c r="Q73">
        <v>55.1</v>
      </c>
      <c r="R73">
        <v>3212.8339999999998</v>
      </c>
      <c r="S73">
        <v>3338.134</v>
      </c>
      <c r="T73">
        <v>3220.4229999999998</v>
      </c>
      <c r="U73">
        <v>3357.8359999999998</v>
      </c>
      <c r="V73">
        <v>3190.35</v>
      </c>
      <c r="W73">
        <v>3286.1979999999999</v>
      </c>
      <c r="X73">
        <v>-3.6757283127092297E-2</v>
      </c>
      <c r="Y73">
        <v>4</v>
      </c>
      <c r="Z73" t="s">
        <v>44</v>
      </c>
      <c r="AA73" t="s">
        <v>33</v>
      </c>
      <c r="AB73" t="s">
        <v>34</v>
      </c>
      <c r="AC73" s="7">
        <f t="shared" si="10"/>
        <v>-4.928994130513864E-2</v>
      </c>
      <c r="AD73" s="8">
        <f t="shared" si="11"/>
        <v>-1.1979068726214461</v>
      </c>
      <c r="AE73" s="9">
        <f t="shared" si="12"/>
        <v>1.6821941429113987E-2</v>
      </c>
      <c r="AF73" s="8">
        <f t="shared" si="13"/>
        <v>-3.6704184512407222E-2</v>
      </c>
      <c r="AG73" s="8">
        <f t="shared" si="14"/>
        <v>0.96473748507399637</v>
      </c>
      <c r="AH73" s="8">
        <f t="shared" si="15"/>
        <v>1.0365514095508572</v>
      </c>
      <c r="AI73" s="8">
        <f t="shared" si="16"/>
        <v>0.96459009734180834</v>
      </c>
      <c r="AJ73" s="8">
        <f t="shared" si="17"/>
        <v>-3.6757283127092311E-2</v>
      </c>
      <c r="AK73" s="8">
        <f t="shared" si="18"/>
        <v>0.96459009734180834</v>
      </c>
      <c r="AL73" s="8">
        <f t="shared" si="19"/>
        <v>-0.75581838024415626</v>
      </c>
    </row>
    <row r="74" spans="1:38">
      <c r="A74" t="s">
        <v>268</v>
      </c>
      <c r="B74" t="s">
        <v>269</v>
      </c>
      <c r="C74" t="s">
        <v>86</v>
      </c>
      <c r="D74">
        <v>33</v>
      </c>
      <c r="E74" t="s">
        <v>270</v>
      </c>
      <c r="F74">
        <v>51.825000000000003</v>
      </c>
      <c r="G74">
        <v>172.489</v>
      </c>
      <c r="H74">
        <v>3595.9940000000001</v>
      </c>
      <c r="I74">
        <v>101.825</v>
      </c>
      <c r="J74">
        <v>2832.9479999999999</v>
      </c>
      <c r="K74">
        <v>0</v>
      </c>
      <c r="L74">
        <v>2541.7750000000001</v>
      </c>
      <c r="M74">
        <v>291.173</v>
      </c>
      <c r="N74">
        <v>93.361000000000004</v>
      </c>
      <c r="O74">
        <v>376.89400000000001</v>
      </c>
      <c r="P74">
        <v>452.01600000000002</v>
      </c>
      <c r="Q74">
        <v>0.38</v>
      </c>
      <c r="R74">
        <v>351.60899999999998</v>
      </c>
      <c r="S74">
        <v>2993.7910000000002</v>
      </c>
      <c r="T74">
        <v>3212.326</v>
      </c>
      <c r="U74">
        <v>401.60899999999998</v>
      </c>
      <c r="V74">
        <v>137.262</v>
      </c>
      <c r="W74">
        <v>126.696</v>
      </c>
      <c r="X74">
        <v>3.1698214938334399E-2</v>
      </c>
      <c r="Y74">
        <v>4</v>
      </c>
      <c r="Z74" t="s">
        <v>57</v>
      </c>
      <c r="AA74" t="s">
        <v>33</v>
      </c>
      <c r="AB74" t="s">
        <v>34</v>
      </c>
      <c r="AC74" s="7">
        <f t="shared" si="10"/>
        <v>2.8680648655828068E-2</v>
      </c>
      <c r="AD74" s="8">
        <f t="shared" si="11"/>
        <v>4.7966987709100739E-2</v>
      </c>
      <c r="AE74" s="9">
        <f t="shared" si="12"/>
        <v>2.2717761702636456E-4</v>
      </c>
      <c r="AF74" s="8">
        <f t="shared" si="13"/>
        <v>9.0642419231422966E-2</v>
      </c>
      <c r="AG74" s="8">
        <f t="shared" si="14"/>
        <v>1.0729960775484995</v>
      </c>
      <c r="AH74" s="8">
        <f t="shared" si="15"/>
        <v>0.79125686496326963</v>
      </c>
      <c r="AI74" s="8">
        <f t="shared" si="16"/>
        <v>1.1145549861809168</v>
      </c>
      <c r="AJ74" s="8">
        <f t="shared" si="17"/>
        <v>3.1698214938334406E-2</v>
      </c>
      <c r="AK74" s="8">
        <f t="shared" si="18"/>
        <v>0.94627447273373444</v>
      </c>
      <c r="AL74" s="8">
        <f t="shared" si="19"/>
        <v>12.350025586163552</v>
      </c>
    </row>
    <row r="75" spans="1:38">
      <c r="A75" t="s">
        <v>271</v>
      </c>
      <c r="B75" t="s">
        <v>272</v>
      </c>
      <c r="C75" t="s">
        <v>69</v>
      </c>
      <c r="D75">
        <v>40</v>
      </c>
      <c r="E75" t="s">
        <v>273</v>
      </c>
      <c r="F75">
        <v>-142.596</v>
      </c>
      <c r="G75">
        <v>44.368000000000002</v>
      </c>
      <c r="H75">
        <v>3245.7440000000001</v>
      </c>
      <c r="I75">
        <v>474.548</v>
      </c>
      <c r="J75">
        <v>2848.9789999999998</v>
      </c>
      <c r="K75">
        <v>90.087000000000003</v>
      </c>
      <c r="L75">
        <v>2263.3240000000001</v>
      </c>
      <c r="M75">
        <v>585.65499999999997</v>
      </c>
      <c r="N75">
        <v>-120.666</v>
      </c>
      <c r="O75">
        <v>239.44399999999999</v>
      </c>
      <c r="P75">
        <v>198.566</v>
      </c>
      <c r="Q75">
        <v>133.07499999999999</v>
      </c>
      <c r="R75">
        <v>2050.5700000000002</v>
      </c>
      <c r="S75">
        <v>2461.89</v>
      </c>
      <c r="T75">
        <v>3127.038</v>
      </c>
      <c r="U75">
        <v>2852.2130000000002</v>
      </c>
      <c r="V75">
        <v>2669.5949999999998</v>
      </c>
      <c r="W75">
        <v>2728.5819999999999</v>
      </c>
      <c r="X75">
        <v>0.151756390552337</v>
      </c>
      <c r="Y75">
        <v>4</v>
      </c>
      <c r="Z75" t="s">
        <v>39</v>
      </c>
      <c r="AA75" t="s">
        <v>33</v>
      </c>
      <c r="AB75" t="s">
        <v>34</v>
      </c>
      <c r="AC75" s="7">
        <f t="shared" si="10"/>
        <v>-4.7696943981779656E-2</v>
      </c>
      <c r="AD75" s="8">
        <f t="shared" si="11"/>
        <v>1.3669593165696371E-2</v>
      </c>
      <c r="AE75" s="9">
        <f t="shared" si="12"/>
        <v>5.8981132242723479E-2</v>
      </c>
      <c r="AF75" s="8">
        <f t="shared" si="13"/>
        <v>0.18728745861099225</v>
      </c>
      <c r="AG75" s="8">
        <f t="shared" si="14"/>
        <v>1.2701777902343323</v>
      </c>
      <c r="AH75" s="8">
        <f t="shared" si="15"/>
        <v>0.7237916520362081</v>
      </c>
      <c r="AI75" s="8">
        <f t="shared" si="16"/>
        <v>1.2587587990053566</v>
      </c>
      <c r="AJ75" s="8">
        <f t="shared" si="17"/>
        <v>0.15175639055233739</v>
      </c>
      <c r="AK75" s="8">
        <f t="shared" si="18"/>
        <v>1.1572324514905215</v>
      </c>
      <c r="AL75" s="8">
        <f t="shared" si="19"/>
        <v>5.542075112480898</v>
      </c>
    </row>
    <row r="76" spans="1:38">
      <c r="A76" t="s">
        <v>274</v>
      </c>
      <c r="B76" t="s">
        <v>275</v>
      </c>
      <c r="C76" t="s">
        <v>69</v>
      </c>
      <c r="D76">
        <v>0</v>
      </c>
      <c r="E76" t="s">
        <v>276</v>
      </c>
      <c r="F76">
        <v>-45.237000000000002</v>
      </c>
      <c r="G76">
        <v>-29.318999999999999</v>
      </c>
      <c r="H76">
        <v>122.965</v>
      </c>
      <c r="I76">
        <v>-3014.3409999999999</v>
      </c>
      <c r="J76">
        <v>2276.48</v>
      </c>
      <c r="K76">
        <v>2108.8739999999998</v>
      </c>
      <c r="L76">
        <v>44.024000000000001</v>
      </c>
      <c r="M76">
        <v>2232.4560000000001</v>
      </c>
      <c r="N76">
        <v>-30.117000000000001</v>
      </c>
      <c r="O76">
        <v>718.548</v>
      </c>
      <c r="P76">
        <v>5165.3490000000002</v>
      </c>
      <c r="Q76">
        <v>0.79800000000000004</v>
      </c>
      <c r="R76">
        <v>5257.8519999999999</v>
      </c>
      <c r="S76">
        <v>5209.3729999999996</v>
      </c>
      <c r="T76">
        <v>2995.0320000000002</v>
      </c>
      <c r="U76">
        <v>3088.7489999999998</v>
      </c>
      <c r="V76">
        <v>3401.0659999999998</v>
      </c>
      <c r="W76">
        <v>5340.4139999999998</v>
      </c>
      <c r="X76">
        <v>-1.0064470095811999</v>
      </c>
      <c r="Y76">
        <v>4</v>
      </c>
      <c r="Z76" t="s">
        <v>39</v>
      </c>
      <c r="AA76" t="s">
        <v>33</v>
      </c>
      <c r="AB76" t="s">
        <v>34</v>
      </c>
      <c r="AC76" s="7">
        <f t="shared" si="10"/>
        <v>-1.4871343988220483E-2</v>
      </c>
      <c r="AD76" s="8">
        <f t="shared" si="11"/>
        <v>-0.23843370064652541</v>
      </c>
      <c r="AE76" s="9">
        <f t="shared" si="12"/>
        <v>1.5247594276419972E-4</v>
      </c>
      <c r="AF76" s="8">
        <f t="shared" si="13"/>
        <v>0.74538635981184842</v>
      </c>
      <c r="AG76" s="8">
        <f t="shared" si="14"/>
        <v>0.57493137849794984</v>
      </c>
      <c r="AH76" s="8">
        <f t="shared" si="15"/>
        <v>1.4699008224286084E-2</v>
      </c>
      <c r="AI76" s="8">
        <f t="shared" si="16"/>
        <v>51.709976376521894</v>
      </c>
      <c r="AJ76" s="8">
        <f t="shared" si="17"/>
        <v>-1.0064470095811997</v>
      </c>
      <c r="AK76" s="8">
        <f t="shared" si="18"/>
        <v>0.4369969284211363</v>
      </c>
      <c r="AL76" s="8">
        <f t="shared" si="19"/>
        <v>5.5080592853789724E-2</v>
      </c>
    </row>
    <row r="77" spans="1:38">
      <c r="A77" t="s">
        <v>277</v>
      </c>
      <c r="B77" t="s">
        <v>278</v>
      </c>
      <c r="C77" t="s">
        <v>51</v>
      </c>
      <c r="D77">
        <v>23</v>
      </c>
      <c r="E77" t="s">
        <v>279</v>
      </c>
      <c r="F77">
        <v>-2123.0830000000001</v>
      </c>
      <c r="G77">
        <v>-1904.7940000000001</v>
      </c>
      <c r="H77">
        <v>1902.133</v>
      </c>
      <c r="I77">
        <v>-1536.5740000000001</v>
      </c>
      <c r="J77">
        <v>2352.6469999999999</v>
      </c>
      <c r="K77">
        <v>1138.423</v>
      </c>
      <c r="L77">
        <v>2822.299</v>
      </c>
      <c r="M77">
        <v>-469.65199999999999</v>
      </c>
      <c r="N77">
        <v>-1948.7560000000001</v>
      </c>
      <c r="O77">
        <v>563.59699999999998</v>
      </c>
      <c r="P77">
        <v>1393.2670000000001</v>
      </c>
      <c r="Q77">
        <v>43.968000000000004</v>
      </c>
      <c r="R77">
        <v>3391.8209999999999</v>
      </c>
      <c r="S77">
        <v>4215.5659999999998</v>
      </c>
      <c r="T77">
        <v>2961.1750000000002</v>
      </c>
      <c r="U77">
        <v>4199.2619999999997</v>
      </c>
      <c r="V77">
        <v>4167.7349999999997</v>
      </c>
      <c r="W77">
        <v>5193.7690000000002</v>
      </c>
      <c r="X77">
        <v>-0.51890685285401905</v>
      </c>
      <c r="Y77">
        <v>4</v>
      </c>
      <c r="Z77" t="s">
        <v>39</v>
      </c>
      <c r="AA77" t="s">
        <v>33</v>
      </c>
      <c r="AB77" t="s">
        <v>34</v>
      </c>
      <c r="AC77" s="7">
        <f t="shared" si="10"/>
        <v>-0.59300375102804481</v>
      </c>
      <c r="AD77" s="8">
        <f t="shared" si="11"/>
        <v>-1.0013989558038265</v>
      </c>
      <c r="AE77" s="9">
        <f t="shared" si="12"/>
        <v>1.15592909891399E-2</v>
      </c>
      <c r="AF77" s="8">
        <f t="shared" si="13"/>
        <v>-0.15860325715298823</v>
      </c>
      <c r="AG77" s="8">
        <f t="shared" si="14"/>
        <v>0.7024382965419117</v>
      </c>
      <c r="AH77" s="8">
        <f t="shared" si="15"/>
        <v>0.95310104941450602</v>
      </c>
      <c r="AI77" s="8">
        <f t="shared" si="16"/>
        <v>0.83359240108861599</v>
      </c>
      <c r="AJ77" s="8">
        <f t="shared" si="17"/>
        <v>-0.51890685285401905</v>
      </c>
      <c r="AK77" s="8">
        <f t="shared" si="18"/>
        <v>0.55808567580249013</v>
      </c>
      <c r="AL77" s="8">
        <f t="shared" si="19"/>
        <v>-4.050090279611287</v>
      </c>
    </row>
    <row r="78" spans="1:38">
      <c r="A78" t="s">
        <v>280</v>
      </c>
      <c r="B78" t="s">
        <v>281</v>
      </c>
      <c r="C78" t="s">
        <v>124</v>
      </c>
      <c r="D78">
        <v>0</v>
      </c>
      <c r="E78" t="s">
        <v>282</v>
      </c>
      <c r="F78">
        <v>-24.303000000000001</v>
      </c>
      <c r="G78">
        <v>-16.134</v>
      </c>
      <c r="H78">
        <v>2</v>
      </c>
      <c r="I78">
        <v>107.608</v>
      </c>
      <c r="J78">
        <v>2815.748</v>
      </c>
      <c r="K78">
        <v>2049.1880000000001</v>
      </c>
      <c r="L78">
        <v>224.41399999999999</v>
      </c>
      <c r="M78">
        <v>2591.3339999999998</v>
      </c>
      <c r="N78">
        <v>-17.462</v>
      </c>
      <c r="O78">
        <v>22.035</v>
      </c>
      <c r="P78">
        <v>2410.1610000000001</v>
      </c>
      <c r="Q78">
        <v>1.3280000000000001</v>
      </c>
      <c r="R78">
        <v>2617.1289999999999</v>
      </c>
      <c r="S78">
        <v>2634.5749999999998</v>
      </c>
      <c r="T78">
        <v>2841.779</v>
      </c>
      <c r="U78">
        <v>2848.9070000000002</v>
      </c>
      <c r="V78">
        <v>2851.3150000000001</v>
      </c>
      <c r="W78">
        <v>3054.607</v>
      </c>
      <c r="X78">
        <v>3.7866420998958802E-2</v>
      </c>
      <c r="Y78">
        <v>4</v>
      </c>
      <c r="Z78" t="s">
        <v>62</v>
      </c>
      <c r="AA78" t="s">
        <v>33</v>
      </c>
      <c r="AB78" t="s">
        <v>34</v>
      </c>
      <c r="AC78" s="7">
        <f t="shared" si="10"/>
        <v>-8.5413252462005467E-3</v>
      </c>
      <c r="AD78" s="8">
        <f t="shared" si="11"/>
        <v>-8.0670000000000002</v>
      </c>
      <c r="AE78" s="9">
        <f t="shared" si="12"/>
        <v>5.0574061295152967E-4</v>
      </c>
      <c r="AF78" s="8">
        <f t="shared" si="13"/>
        <v>0.91187034600509043</v>
      </c>
      <c r="AG78" s="8">
        <f t="shared" si="14"/>
        <v>1.0786479792755947</v>
      </c>
      <c r="AH78" s="8">
        <f t="shared" si="15"/>
        <v>7.8969546892984993E-2</v>
      </c>
      <c r="AI78" s="8">
        <f t="shared" si="16"/>
        <v>12.547113816428565</v>
      </c>
      <c r="AJ78" s="8">
        <f t="shared" si="17"/>
        <v>3.7866420998958754E-2</v>
      </c>
      <c r="AK78" s="8">
        <f t="shared" si="18"/>
        <v>1.0687674482601559</v>
      </c>
      <c r="AL78" s="8">
        <f t="shared" si="19"/>
        <v>7.7180324882859569E-4</v>
      </c>
    </row>
    <row r="79" spans="1:38">
      <c r="A79" t="s">
        <v>283</v>
      </c>
      <c r="B79" t="s">
        <v>284</v>
      </c>
      <c r="C79" t="s">
        <v>60</v>
      </c>
      <c r="D79">
        <v>0</v>
      </c>
      <c r="E79" t="s">
        <v>285</v>
      </c>
      <c r="F79">
        <v>-102.13</v>
      </c>
      <c r="G79">
        <v>13.249000000000001</v>
      </c>
      <c r="H79">
        <v>29.428000000000001</v>
      </c>
      <c r="I79">
        <v>81.552999999999997</v>
      </c>
      <c r="J79">
        <v>2809.6239999999998</v>
      </c>
      <c r="K79">
        <v>2807.6979999999999</v>
      </c>
      <c r="L79">
        <v>72.775999999999996</v>
      </c>
      <c r="M79">
        <v>2736.848</v>
      </c>
      <c r="N79">
        <v>-97.304000000000002</v>
      </c>
      <c r="O79">
        <v>6.9509999999999996</v>
      </c>
      <c r="P79">
        <v>2662.2440000000001</v>
      </c>
      <c r="Q79">
        <v>110.42700000000001</v>
      </c>
      <c r="R79">
        <v>2636.9549999999999</v>
      </c>
      <c r="S79">
        <v>2735.02</v>
      </c>
      <c r="T79">
        <v>2816.5749999999998</v>
      </c>
      <c r="U79">
        <v>2820.6370000000002</v>
      </c>
      <c r="V79">
        <v>2816.4940000000001</v>
      </c>
      <c r="W79">
        <v>2822.26</v>
      </c>
      <c r="X79">
        <v>2.8954670122400401E-2</v>
      </c>
      <c r="Y79">
        <v>4</v>
      </c>
      <c r="Z79" t="s">
        <v>62</v>
      </c>
      <c r="AA79" t="s">
        <v>33</v>
      </c>
      <c r="AB79" t="s">
        <v>34</v>
      </c>
      <c r="AC79" s="7">
        <f t="shared" si="10"/>
        <v>-3.6234223584282445E-2</v>
      </c>
      <c r="AD79" s="8">
        <f t="shared" si="11"/>
        <v>0.45021747995106703</v>
      </c>
      <c r="AE79" s="9">
        <f t="shared" si="12"/>
        <v>4.1112253873109982E-2</v>
      </c>
      <c r="AF79" s="8">
        <f t="shared" si="13"/>
        <v>0.97169363499995565</v>
      </c>
      <c r="AG79" s="8">
        <f t="shared" si="14"/>
        <v>1.0298187947437312</v>
      </c>
      <c r="AH79" s="8">
        <f t="shared" si="15"/>
        <v>2.5838474033178595E-2</v>
      </c>
      <c r="AI79" s="8">
        <f t="shared" si="16"/>
        <v>38.606463669341544</v>
      </c>
      <c r="AJ79" s="8">
        <f t="shared" si="17"/>
        <v>2.8954670122400435E-2</v>
      </c>
      <c r="AK79" s="8">
        <f t="shared" si="18"/>
        <v>1.0272773142426745</v>
      </c>
      <c r="AL79" s="8">
        <f t="shared" si="19"/>
        <v>1.0752515302274734E-2</v>
      </c>
    </row>
    <row r="80" spans="1:38">
      <c r="A80" t="s">
        <v>286</v>
      </c>
      <c r="B80" t="s">
        <v>287</v>
      </c>
      <c r="C80" t="s">
        <v>120</v>
      </c>
      <c r="D80">
        <v>35</v>
      </c>
      <c r="E80" t="s">
        <v>288</v>
      </c>
      <c r="F80">
        <v>-551.30600000000004</v>
      </c>
      <c r="G80">
        <v>-451.60199999999998</v>
      </c>
      <c r="H80">
        <v>1417.4480000000001</v>
      </c>
      <c r="I80">
        <v>-260.09500000000003</v>
      </c>
      <c r="J80">
        <v>1127.5930000000001</v>
      </c>
      <c r="K80">
        <v>59.997</v>
      </c>
      <c r="L80">
        <v>2276.7350000000001</v>
      </c>
      <c r="M80">
        <v>-1149.1420000000001</v>
      </c>
      <c r="N80">
        <v>-475.20299999999997</v>
      </c>
      <c r="O80">
        <v>1603.4659999999999</v>
      </c>
      <c r="P80">
        <v>514.68700000000001</v>
      </c>
      <c r="Q80">
        <v>23.600999999999999</v>
      </c>
      <c r="R80">
        <v>2686.6289999999999</v>
      </c>
      <c r="S80">
        <v>2791.422</v>
      </c>
      <c r="T80">
        <v>2731.0590000000002</v>
      </c>
      <c r="U80">
        <v>3082.1039999999998</v>
      </c>
      <c r="V80">
        <v>2537.0920000000001</v>
      </c>
      <c r="W80">
        <v>2468.3380000000002</v>
      </c>
      <c r="X80">
        <v>-9.5235950596453595E-2</v>
      </c>
      <c r="Y80">
        <v>4</v>
      </c>
      <c r="Z80" t="s">
        <v>44</v>
      </c>
      <c r="AA80" t="s">
        <v>33</v>
      </c>
      <c r="AB80" t="s">
        <v>34</v>
      </c>
      <c r="AC80" s="7">
        <f t="shared" si="10"/>
        <v>-0.18967505297890322</v>
      </c>
      <c r="AD80" s="8">
        <f t="shared" si="11"/>
        <v>-0.31860216388890455</v>
      </c>
      <c r="AE80" s="9">
        <f t="shared" si="12"/>
        <v>8.616568191862399E-3</v>
      </c>
      <c r="AF80" s="8">
        <f t="shared" si="13"/>
        <v>-0.42076791457086793</v>
      </c>
      <c r="AG80" s="8">
        <f t="shared" si="14"/>
        <v>0.97837553762920837</v>
      </c>
      <c r="AH80" s="8">
        <f t="shared" si="15"/>
        <v>0.83364548330885568</v>
      </c>
      <c r="AI80" s="8">
        <f t="shared" si="16"/>
        <v>0.49526756517556941</v>
      </c>
      <c r="AJ80" s="8">
        <f t="shared" si="17"/>
        <v>-9.5235950596453608E-2</v>
      </c>
      <c r="AK80" s="8">
        <f t="shared" si="18"/>
        <v>0.40394931328906919</v>
      </c>
      <c r="AL80" s="8">
        <f t="shared" si="19"/>
        <v>-1.2334837644085761</v>
      </c>
    </row>
    <row r="81" spans="1:38">
      <c r="A81" t="s">
        <v>289</v>
      </c>
      <c r="B81" t="s">
        <v>290</v>
      </c>
      <c r="C81" t="s">
        <v>131</v>
      </c>
      <c r="D81">
        <v>0</v>
      </c>
      <c r="E81" t="s">
        <v>291</v>
      </c>
      <c r="F81">
        <v>-8.2579999999999991</v>
      </c>
      <c r="G81">
        <v>-8.2579999999999991</v>
      </c>
      <c r="H81">
        <v>1.2E-2</v>
      </c>
      <c r="I81">
        <v>-184.506</v>
      </c>
      <c r="J81">
        <v>2641.3850000000002</v>
      </c>
      <c r="K81">
        <v>2635.2139999999999</v>
      </c>
      <c r="L81">
        <v>337.9</v>
      </c>
      <c r="M81">
        <v>2303.4850000000001</v>
      </c>
      <c r="N81">
        <v>-8.2579999999999991</v>
      </c>
      <c r="O81">
        <v>0</v>
      </c>
      <c r="P81">
        <v>2490.127</v>
      </c>
      <c r="Q81">
        <v>0</v>
      </c>
      <c r="R81">
        <v>2824.1729999999998</v>
      </c>
      <c r="S81">
        <v>2828.027</v>
      </c>
      <c r="T81">
        <v>2643.5459999999998</v>
      </c>
      <c r="U81">
        <v>2647.95</v>
      </c>
      <c r="V81">
        <v>2664.7159999999999</v>
      </c>
      <c r="W81">
        <v>2670.6039999999998</v>
      </c>
      <c r="X81">
        <v>-6.9794889137544794E-2</v>
      </c>
      <c r="Y81">
        <v>4</v>
      </c>
      <c r="Z81" t="s">
        <v>32</v>
      </c>
      <c r="AA81" t="s">
        <v>33</v>
      </c>
      <c r="AB81" t="s">
        <v>34</v>
      </c>
      <c r="AC81" s="7">
        <f t="shared" si="10"/>
        <v>-3.1212345242252852E-3</v>
      </c>
      <c r="AD81" s="8">
        <f t="shared" si="11"/>
        <v>-688.16666666666663</v>
      </c>
      <c r="AE81" s="9">
        <f t="shared" si="12"/>
        <v>0</v>
      </c>
      <c r="AF81" s="8">
        <f t="shared" si="13"/>
        <v>0.87136179964335791</v>
      </c>
      <c r="AG81" s="8">
        <f t="shared" si="14"/>
        <v>0.93476688871782332</v>
      </c>
      <c r="AH81" s="8">
        <f t="shared" si="15"/>
        <v>0.12782073775148986</v>
      </c>
      <c r="AI81" s="8">
        <f t="shared" si="16"/>
        <v>7.8170612607280274</v>
      </c>
      <c r="AJ81" s="8">
        <f t="shared" si="17"/>
        <v>-6.9794889137544808E-2</v>
      </c>
      <c r="AK81" s="8">
        <f t="shared" si="18"/>
        <v>0.93400275174176206</v>
      </c>
      <c r="AL81" s="8">
        <f t="shared" si="19"/>
        <v>5.2094977827075059E-6</v>
      </c>
    </row>
    <row r="82" spans="1:38">
      <c r="A82" t="s">
        <v>292</v>
      </c>
      <c r="B82" t="s">
        <v>293</v>
      </c>
      <c r="C82" t="s">
        <v>86</v>
      </c>
      <c r="D82">
        <v>0</v>
      </c>
      <c r="E82" t="s">
        <v>294</v>
      </c>
      <c r="F82">
        <v>-12.105</v>
      </c>
      <c r="G82">
        <v>-10.363</v>
      </c>
      <c r="H82">
        <v>49</v>
      </c>
      <c r="I82">
        <v>74.427000000000007</v>
      </c>
      <c r="J82">
        <v>2629.4520000000002</v>
      </c>
      <c r="K82">
        <v>2345.36</v>
      </c>
      <c r="L82">
        <v>733.24900000000002</v>
      </c>
      <c r="M82">
        <v>1896.203</v>
      </c>
      <c r="N82">
        <v>-11.795</v>
      </c>
      <c r="O82">
        <v>7.3810000000000002</v>
      </c>
      <c r="P82">
        <v>1802.89</v>
      </c>
      <c r="Q82">
        <v>0</v>
      </c>
      <c r="R82">
        <v>2497.8519999999999</v>
      </c>
      <c r="S82">
        <v>2536.1390000000001</v>
      </c>
      <c r="T82">
        <v>2636.8330000000001</v>
      </c>
      <c r="U82">
        <v>2607.5309999999999</v>
      </c>
      <c r="V82">
        <v>2525.7269999999999</v>
      </c>
      <c r="W82">
        <v>2521.6489999999999</v>
      </c>
      <c r="X82">
        <v>2.82259058499344E-2</v>
      </c>
      <c r="Y82">
        <v>4</v>
      </c>
      <c r="Z82" t="s">
        <v>57</v>
      </c>
      <c r="AA82" t="s">
        <v>33</v>
      </c>
      <c r="AB82" t="s">
        <v>34</v>
      </c>
      <c r="AC82" s="7">
        <f t="shared" si="10"/>
        <v>-4.6163843699636416E-3</v>
      </c>
      <c r="AD82" s="8">
        <f t="shared" si="11"/>
        <v>-0.21148979591836733</v>
      </c>
      <c r="AE82" s="9">
        <f t="shared" si="12"/>
        <v>0</v>
      </c>
      <c r="AF82" s="8">
        <f t="shared" si="13"/>
        <v>0.719121385389215</v>
      </c>
      <c r="AG82" s="8">
        <f t="shared" si="14"/>
        <v>1.0397036597757456</v>
      </c>
      <c r="AH82" s="8">
        <f t="shared" si="15"/>
        <v>0.27807942330818824</v>
      </c>
      <c r="AI82" s="8">
        <f t="shared" si="16"/>
        <v>3.5860287569434122</v>
      </c>
      <c r="AJ82" s="8">
        <f t="shared" si="17"/>
        <v>2.8225905849934375E-2</v>
      </c>
      <c r="AK82" s="8">
        <f t="shared" si="18"/>
        <v>1.0367933303340235</v>
      </c>
      <c r="AL82" s="8">
        <f t="shared" si="19"/>
        <v>2.5841115112675173E-2</v>
      </c>
    </row>
    <row r="83" spans="1:38">
      <c r="A83" t="s">
        <v>295</v>
      </c>
      <c r="B83" t="s">
        <v>296</v>
      </c>
      <c r="C83" t="s">
        <v>124</v>
      </c>
      <c r="D83">
        <v>1</v>
      </c>
      <c r="E83" t="s">
        <v>297</v>
      </c>
      <c r="F83">
        <v>-375.61599999999999</v>
      </c>
      <c r="G83">
        <v>-324.21499999999997</v>
      </c>
      <c r="H83">
        <v>308.80799999999999</v>
      </c>
      <c r="I83">
        <v>-251.54599999999999</v>
      </c>
      <c r="J83">
        <v>2603.6379999999999</v>
      </c>
      <c r="K83">
        <v>2484.4059999999999</v>
      </c>
      <c r="L83">
        <v>2042.819</v>
      </c>
      <c r="M83">
        <v>560.81899999999996</v>
      </c>
      <c r="N83">
        <v>-375.61599999999999</v>
      </c>
      <c r="O83">
        <v>1.0780000000000001</v>
      </c>
      <c r="P83">
        <v>801.14400000000001</v>
      </c>
      <c r="Q83">
        <v>51.433</v>
      </c>
      <c r="R83">
        <v>1752.653</v>
      </c>
      <c r="S83">
        <v>2843.9630000000002</v>
      </c>
      <c r="T83">
        <v>2604.7159999999999</v>
      </c>
      <c r="U83">
        <v>1883.9449999999999</v>
      </c>
      <c r="V83">
        <v>2613.8850000000002</v>
      </c>
      <c r="W83">
        <v>2481.4470000000001</v>
      </c>
      <c r="X83">
        <v>-9.6573292443398795E-2</v>
      </c>
      <c r="Y83">
        <v>4</v>
      </c>
      <c r="Z83" t="s">
        <v>62</v>
      </c>
      <c r="AA83" t="s">
        <v>33</v>
      </c>
      <c r="AB83" t="s">
        <v>34</v>
      </c>
      <c r="AC83" s="7">
        <f t="shared" si="10"/>
        <v>-0.16736215989579073</v>
      </c>
      <c r="AD83" s="8">
        <f t="shared" si="11"/>
        <v>-1.0498918421802543</v>
      </c>
      <c r="AE83" s="9">
        <f t="shared" si="12"/>
        <v>2.2378636805858918E-2</v>
      </c>
      <c r="AF83" s="8">
        <f t="shared" si="13"/>
        <v>0.21530907784188372</v>
      </c>
      <c r="AG83" s="8">
        <f t="shared" si="14"/>
        <v>0.91587548783159267</v>
      </c>
      <c r="AH83" s="8">
        <f t="shared" si="15"/>
        <v>0.78427705746039111</v>
      </c>
      <c r="AI83" s="8">
        <f t="shared" si="16"/>
        <v>1.2745319090922886</v>
      </c>
      <c r="AJ83" s="8">
        <f t="shared" si="17"/>
        <v>-9.6573292443398823E-2</v>
      </c>
      <c r="AK83" s="8">
        <f t="shared" si="18"/>
        <v>0.91549643929966729</v>
      </c>
      <c r="AL83" s="8">
        <f t="shared" si="19"/>
        <v>0.55063754972638235</v>
      </c>
    </row>
    <row r="84" spans="1:38">
      <c r="A84" t="s">
        <v>298</v>
      </c>
      <c r="B84" t="s">
        <v>299</v>
      </c>
      <c r="C84" t="s">
        <v>69</v>
      </c>
      <c r="D84">
        <v>2</v>
      </c>
      <c r="E84" t="s">
        <v>300</v>
      </c>
      <c r="F84">
        <v>-1361.752</v>
      </c>
      <c r="G84">
        <v>114.64</v>
      </c>
      <c r="H84">
        <v>3.7090000000000001</v>
      </c>
      <c r="I84">
        <v>-20299.883000000002</v>
      </c>
      <c r="J84">
        <v>764.37400000000002</v>
      </c>
      <c r="K84">
        <v>0</v>
      </c>
      <c r="L84">
        <v>9207.7829999999994</v>
      </c>
      <c r="M84">
        <v>-8443.4089999999997</v>
      </c>
      <c r="N84">
        <v>-1267.835</v>
      </c>
      <c r="O84">
        <v>1783.624</v>
      </c>
      <c r="P84">
        <v>9844.0400000000009</v>
      </c>
      <c r="Q84">
        <v>1382.4839999999999</v>
      </c>
      <c r="R84">
        <v>19036.420999999998</v>
      </c>
      <c r="S84">
        <v>19051.823</v>
      </c>
      <c r="T84">
        <v>2547.998</v>
      </c>
      <c r="U84">
        <v>2513.8209999999999</v>
      </c>
      <c r="V84">
        <v>2930.9580000000001</v>
      </c>
      <c r="W84">
        <v>5894.7879999999996</v>
      </c>
      <c r="X84">
        <v>-7.9669933021925496</v>
      </c>
      <c r="Y84">
        <v>4</v>
      </c>
      <c r="Z84" t="s">
        <v>39</v>
      </c>
      <c r="AA84" t="s">
        <v>33</v>
      </c>
      <c r="AB84" t="s">
        <v>34</v>
      </c>
      <c r="AC84" s="7">
        <f t="shared" si="10"/>
        <v>-0.53804847624934837</v>
      </c>
      <c r="AD84" s="8">
        <f t="shared" si="11"/>
        <v>30.908600700997575</v>
      </c>
      <c r="AE84" s="9">
        <f t="shared" si="12"/>
        <v>7.2593737847300069E-2</v>
      </c>
      <c r="AF84" s="8">
        <f t="shared" si="13"/>
        <v>-3.3137423969720539</v>
      </c>
      <c r="AG84" s="8">
        <f t="shared" si="14"/>
        <v>0.13374037749563389</v>
      </c>
      <c r="AH84" s="8">
        <f t="shared" si="15"/>
        <v>3.6137324283614034</v>
      </c>
      <c r="AI84" s="8">
        <f t="shared" si="16"/>
        <v>8.301390247793633E-2</v>
      </c>
      <c r="AJ84" s="8">
        <f t="shared" si="17"/>
        <v>-7.9669933021925452</v>
      </c>
      <c r="AK84" s="8">
        <f t="shared" si="18"/>
        <v>4.0120780042938675E-2</v>
      </c>
      <c r="AL84" s="8">
        <f t="shared" si="19"/>
        <v>-4.3927754772983286E-4</v>
      </c>
    </row>
    <row r="85" spans="1:38">
      <c r="A85" t="s">
        <v>301</v>
      </c>
      <c r="B85" t="s">
        <v>302</v>
      </c>
      <c r="C85" t="s">
        <v>168</v>
      </c>
      <c r="D85">
        <v>50</v>
      </c>
      <c r="E85" t="s">
        <v>303</v>
      </c>
      <c r="F85">
        <v>-133.571</v>
      </c>
      <c r="G85">
        <v>-62.167000000000002</v>
      </c>
      <c r="H85">
        <v>287.90899999999999</v>
      </c>
      <c r="I85">
        <v>-132.34800000000001</v>
      </c>
      <c r="J85">
        <v>1369.241</v>
      </c>
      <c r="K85">
        <v>0</v>
      </c>
      <c r="L85">
        <v>2447.23</v>
      </c>
      <c r="M85">
        <v>-1077.989</v>
      </c>
      <c r="N85">
        <v>-93.198999999999998</v>
      </c>
      <c r="O85">
        <v>1131.5260000000001</v>
      </c>
      <c r="P85">
        <v>0</v>
      </c>
      <c r="Q85">
        <v>31.033999999999999</v>
      </c>
      <c r="R85">
        <v>2657.9070000000002</v>
      </c>
      <c r="S85">
        <v>2447.23</v>
      </c>
      <c r="T85">
        <v>2505.2249999999999</v>
      </c>
      <c r="U85">
        <v>2954.7089999999998</v>
      </c>
      <c r="V85">
        <v>2185.8409999999999</v>
      </c>
      <c r="W85">
        <v>2168.6610000000001</v>
      </c>
      <c r="X85">
        <v>-5.2828787833428099E-2</v>
      </c>
      <c r="Y85">
        <v>4</v>
      </c>
      <c r="Z85" t="s">
        <v>44</v>
      </c>
      <c r="AA85" t="s">
        <v>33</v>
      </c>
      <c r="AB85" t="s">
        <v>34</v>
      </c>
      <c r="AC85" s="7">
        <f t="shared" si="10"/>
        <v>-4.8927697660814222E-2</v>
      </c>
      <c r="AD85" s="8">
        <f t="shared" si="11"/>
        <v>-0.21592586546443496</v>
      </c>
      <c r="AE85" s="9">
        <f t="shared" si="12"/>
        <v>1.2157949923772856E-2</v>
      </c>
      <c r="AF85" s="8">
        <f t="shared" si="13"/>
        <v>-0.43029628077318405</v>
      </c>
      <c r="AG85" s="8">
        <f t="shared" si="14"/>
        <v>1.0236982220714848</v>
      </c>
      <c r="AH85" s="8">
        <f t="shared" si="15"/>
        <v>0.97685038270015667</v>
      </c>
      <c r="AI85" s="8">
        <f t="shared" si="16"/>
        <v>0.55950646240851898</v>
      </c>
      <c r="AJ85" s="8">
        <f t="shared" si="17"/>
        <v>-5.2828787833428141E-2</v>
      </c>
      <c r="AK85" s="8">
        <f t="shared" si="18"/>
        <v>0.55950646240851898</v>
      </c>
      <c r="AL85" s="8">
        <f t="shared" si="19"/>
        <v>-0.26707971973739991</v>
      </c>
    </row>
    <row r="86" spans="1:38">
      <c r="A86" t="s">
        <v>304</v>
      </c>
      <c r="B86" t="s">
        <v>305</v>
      </c>
      <c r="C86" t="s">
        <v>60</v>
      </c>
      <c r="D86">
        <v>0</v>
      </c>
      <c r="E86" t="s">
        <v>306</v>
      </c>
      <c r="F86">
        <v>662.43299999999999</v>
      </c>
      <c r="G86">
        <v>718.29</v>
      </c>
      <c r="H86">
        <v>4061.288</v>
      </c>
      <c r="I86">
        <v>-98.445999999999998</v>
      </c>
      <c r="J86">
        <v>2491.9389999999999</v>
      </c>
      <c r="K86">
        <v>2427.4259999999999</v>
      </c>
      <c r="L86">
        <v>545.59900000000005</v>
      </c>
      <c r="M86">
        <v>1946.34</v>
      </c>
      <c r="N86">
        <v>662.43299999999999</v>
      </c>
      <c r="O86">
        <v>0</v>
      </c>
      <c r="P86">
        <v>2000.883</v>
      </c>
      <c r="Q86">
        <v>55.832999999999998</v>
      </c>
      <c r="R86">
        <v>6379.1589999999997</v>
      </c>
      <c r="S86">
        <v>2546.482</v>
      </c>
      <c r="T86">
        <v>2494.0360000000001</v>
      </c>
      <c r="U86">
        <v>5634.9780000000001</v>
      </c>
      <c r="V86">
        <v>5638.3980000000001</v>
      </c>
      <c r="W86">
        <v>5677.2370000000001</v>
      </c>
      <c r="X86">
        <v>-3.9472565752859998E-2</v>
      </c>
      <c r="Y86">
        <v>4</v>
      </c>
      <c r="Z86" t="s">
        <v>62</v>
      </c>
      <c r="AA86" t="s">
        <v>33</v>
      </c>
      <c r="AB86" t="s">
        <v>34</v>
      </c>
      <c r="AC86" s="7">
        <f t="shared" si="10"/>
        <v>0.16297991367710771</v>
      </c>
      <c r="AD86" s="8">
        <f t="shared" si="11"/>
        <v>0.17686261107313739</v>
      </c>
      <c r="AE86" s="9">
        <f t="shared" si="12"/>
        <v>1.2510698111205682E-2</v>
      </c>
      <c r="AF86" s="8">
        <f t="shared" si="13"/>
        <v>0.78039771679318182</v>
      </c>
      <c r="AG86" s="8">
        <f t="shared" si="14"/>
        <v>0.97940452750107798</v>
      </c>
      <c r="AH86" s="8">
        <f t="shared" si="15"/>
        <v>0.2187614773804388</v>
      </c>
      <c r="AI86" s="8">
        <f t="shared" si="16"/>
        <v>4.5673452480668031</v>
      </c>
      <c r="AJ86" s="8">
        <f t="shared" si="17"/>
        <v>-3.9472565752860019E-2</v>
      </c>
      <c r="AK86" s="8">
        <f t="shared" si="18"/>
        <v>0.97858103846797262</v>
      </c>
      <c r="AL86" s="8">
        <f t="shared" si="19"/>
        <v>2.0866282355600769</v>
      </c>
    </row>
    <row r="87" spans="1:38">
      <c r="A87" t="s">
        <v>307</v>
      </c>
      <c r="B87" t="s">
        <v>308</v>
      </c>
      <c r="C87" t="s">
        <v>69</v>
      </c>
      <c r="D87">
        <v>18</v>
      </c>
      <c r="E87" t="s">
        <v>309</v>
      </c>
      <c r="F87">
        <v>-1.1399999999999999</v>
      </c>
      <c r="G87">
        <v>86.228999999999999</v>
      </c>
      <c r="H87">
        <v>948.31200000000001</v>
      </c>
      <c r="I87">
        <v>9.3049999999999997</v>
      </c>
      <c r="J87">
        <v>2302.1759999999999</v>
      </c>
      <c r="K87">
        <v>1506.2429999999999</v>
      </c>
      <c r="L87">
        <v>2358.9690000000001</v>
      </c>
      <c r="M87">
        <v>-56.792999999999999</v>
      </c>
      <c r="N87">
        <v>81.575999999999993</v>
      </c>
      <c r="O87">
        <v>144.59</v>
      </c>
      <c r="P87">
        <v>51.356000000000002</v>
      </c>
      <c r="Q87">
        <v>0.32200000000000001</v>
      </c>
      <c r="R87">
        <v>1537.5540000000001</v>
      </c>
      <c r="S87">
        <v>2410.3249999999998</v>
      </c>
      <c r="T87">
        <v>2446.7669999999998</v>
      </c>
      <c r="U87">
        <v>1611.385</v>
      </c>
      <c r="V87">
        <v>1188.3699999999999</v>
      </c>
      <c r="W87">
        <v>865.34199999999998</v>
      </c>
      <c r="X87">
        <v>3.8029775618193301E-3</v>
      </c>
      <c r="Y87">
        <v>3</v>
      </c>
      <c r="Z87" t="s">
        <v>39</v>
      </c>
      <c r="AA87" t="s">
        <v>33</v>
      </c>
      <c r="AB87" t="s">
        <v>34</v>
      </c>
      <c r="AC87" s="7">
        <f t="shared" si="10"/>
        <v>-5.618320851461453E-4</v>
      </c>
      <c r="AD87" s="8">
        <f t="shared" si="11"/>
        <v>9.0928934780958162E-2</v>
      </c>
      <c r="AE87" s="9">
        <f t="shared" si="12"/>
        <v>1.6312556691833768E-4</v>
      </c>
      <c r="AF87" s="8">
        <f t="shared" si="13"/>
        <v>-2.3211445961139741E-2</v>
      </c>
      <c r="AG87" s="8">
        <f t="shared" si="14"/>
        <v>1.0151191229398524</v>
      </c>
      <c r="AH87" s="8">
        <f t="shared" si="15"/>
        <v>0.96411673036296475</v>
      </c>
      <c r="AI87" s="8">
        <f t="shared" si="16"/>
        <v>0.97592465182882859</v>
      </c>
      <c r="AJ87" s="8">
        <f t="shared" si="17"/>
        <v>3.8029775618193314E-3</v>
      </c>
      <c r="AK87" s="8">
        <f t="shared" si="18"/>
        <v>0.95513094707145307</v>
      </c>
      <c r="AL87" s="8">
        <f t="shared" si="19"/>
        <v>-16.697691616924622</v>
      </c>
    </row>
    <row r="88" spans="1:38">
      <c r="A88" t="s">
        <v>310</v>
      </c>
      <c r="B88" t="s">
        <v>311</v>
      </c>
      <c r="C88" t="s">
        <v>69</v>
      </c>
      <c r="D88">
        <v>32</v>
      </c>
      <c r="E88" t="s">
        <v>312</v>
      </c>
      <c r="F88">
        <v>696.197</v>
      </c>
      <c r="G88">
        <v>696.197</v>
      </c>
      <c r="H88">
        <v>2567.143</v>
      </c>
      <c r="I88">
        <v>1696.1969999999999</v>
      </c>
      <c r="J88">
        <v>2423.4009999999998</v>
      </c>
      <c r="K88">
        <v>0</v>
      </c>
      <c r="L88">
        <v>727.20399999999995</v>
      </c>
      <c r="M88">
        <v>1696.1969999999999</v>
      </c>
      <c r="N88">
        <v>696.197</v>
      </c>
      <c r="O88">
        <v>0</v>
      </c>
      <c r="P88">
        <v>0</v>
      </c>
      <c r="Q88">
        <v>0</v>
      </c>
      <c r="R88">
        <v>1251.5930000000001</v>
      </c>
      <c r="S88">
        <v>727.20399999999995</v>
      </c>
      <c r="T88">
        <v>2423.4009999999998</v>
      </c>
      <c r="U88">
        <v>1373.6179999999999</v>
      </c>
      <c r="V88">
        <v>1815.2639999999999</v>
      </c>
      <c r="W88">
        <v>620.51599999999996</v>
      </c>
      <c r="X88">
        <v>0.69992419743987899</v>
      </c>
      <c r="Y88">
        <v>3</v>
      </c>
      <c r="Z88" t="s">
        <v>39</v>
      </c>
      <c r="AA88" t="s">
        <v>33</v>
      </c>
      <c r="AB88" t="s">
        <v>34</v>
      </c>
      <c r="AC88" s="7">
        <f t="shared" si="10"/>
        <v>0.36670714578989466</v>
      </c>
      <c r="AD88" s="8">
        <f t="shared" si="11"/>
        <v>0.27119525480271256</v>
      </c>
      <c r="AE88" s="9">
        <f t="shared" si="12"/>
        <v>0</v>
      </c>
      <c r="AF88" s="8">
        <f t="shared" si="13"/>
        <v>0.69992419743987888</v>
      </c>
      <c r="AG88" s="8">
        <f t="shared" si="14"/>
        <v>3.3324912954274177</v>
      </c>
      <c r="AH88" s="8">
        <f t="shared" si="15"/>
        <v>0.30007580256012106</v>
      </c>
      <c r="AI88" s="8">
        <f t="shared" si="16"/>
        <v>3.3324912954274177</v>
      </c>
      <c r="AJ88" s="8">
        <f t="shared" si="17"/>
        <v>0.69992419743987888</v>
      </c>
      <c r="AK88" s="8">
        <f t="shared" si="18"/>
        <v>3.3324912954274177</v>
      </c>
      <c r="AL88" s="8">
        <f t="shared" si="19"/>
        <v>1.5134698387038772</v>
      </c>
    </row>
    <row r="89" spans="1:38">
      <c r="A89" t="s">
        <v>313</v>
      </c>
      <c r="B89" t="s">
        <v>314</v>
      </c>
      <c r="C89" t="s">
        <v>86</v>
      </c>
      <c r="D89">
        <v>0</v>
      </c>
      <c r="E89" t="s">
        <v>315</v>
      </c>
      <c r="F89">
        <v>-3039.78</v>
      </c>
      <c r="G89">
        <v>-1872.229</v>
      </c>
      <c r="H89">
        <v>16.510999999999999</v>
      </c>
      <c r="I89">
        <v>-3244.5349999999999</v>
      </c>
      <c r="J89">
        <v>1901.7750000000001</v>
      </c>
      <c r="K89">
        <v>86.25</v>
      </c>
      <c r="L89">
        <v>611.68499999999995</v>
      </c>
      <c r="M89">
        <v>1290.0899999999999</v>
      </c>
      <c r="N89">
        <v>-3012.05</v>
      </c>
      <c r="O89">
        <v>493.762</v>
      </c>
      <c r="P89">
        <v>5003.7879999999996</v>
      </c>
      <c r="Q89">
        <v>3.5999999999999997E-2</v>
      </c>
      <c r="R89">
        <v>2993.8820000000001</v>
      </c>
      <c r="S89">
        <v>5615.473</v>
      </c>
      <c r="T89">
        <v>2395.9380000000001</v>
      </c>
      <c r="U89">
        <v>2940.1590000000001</v>
      </c>
      <c r="V89">
        <v>3820.076</v>
      </c>
      <c r="W89">
        <v>3873.26</v>
      </c>
      <c r="X89">
        <v>-1.3541815355823099</v>
      </c>
      <c r="Y89">
        <v>3</v>
      </c>
      <c r="Z89" t="s">
        <v>57</v>
      </c>
      <c r="AA89" t="s">
        <v>33</v>
      </c>
      <c r="AB89" t="s">
        <v>34</v>
      </c>
      <c r="AC89" s="7">
        <f t="shared" si="10"/>
        <v>-1.1393271149306321</v>
      </c>
      <c r="AD89" s="8">
        <f t="shared" si="11"/>
        <v>-113.39282902307554</v>
      </c>
      <c r="AE89" s="9">
        <f t="shared" si="12"/>
        <v>8.3629958341826992E-6</v>
      </c>
      <c r="AF89" s="8">
        <f t="shared" si="13"/>
        <v>0.53844882463569588</v>
      </c>
      <c r="AG89" s="8">
        <f t="shared" si="14"/>
        <v>0.42666717478652288</v>
      </c>
      <c r="AH89" s="8">
        <f t="shared" si="15"/>
        <v>0.25530084668301095</v>
      </c>
      <c r="AI89" s="8">
        <f t="shared" si="16"/>
        <v>3.1090757497731678</v>
      </c>
      <c r="AJ89" s="8">
        <f t="shared" si="17"/>
        <v>-1.3541815355823064</v>
      </c>
      <c r="AK89" s="8">
        <f t="shared" si="18"/>
        <v>0.33866692974928381</v>
      </c>
      <c r="AL89" s="8">
        <f t="shared" si="19"/>
        <v>1.2798331899324854E-2</v>
      </c>
    </row>
    <row r="90" spans="1:38">
      <c r="A90" t="s">
        <v>316</v>
      </c>
      <c r="B90" t="s">
        <v>317</v>
      </c>
      <c r="C90" t="s">
        <v>60</v>
      </c>
      <c r="D90">
        <v>0</v>
      </c>
      <c r="E90" t="s">
        <v>318</v>
      </c>
      <c r="F90">
        <v>-100.149</v>
      </c>
      <c r="G90">
        <v>-100.149</v>
      </c>
      <c r="H90">
        <v>124.23</v>
      </c>
      <c r="I90">
        <v>-1140.4110000000001</v>
      </c>
      <c r="J90">
        <v>2023.405</v>
      </c>
      <c r="K90">
        <v>1681.893</v>
      </c>
      <c r="L90">
        <v>3499.0070000000001</v>
      </c>
      <c r="M90">
        <v>-1475.6020000000001</v>
      </c>
      <c r="N90">
        <v>-100.149</v>
      </c>
      <c r="O90">
        <v>333.04899999999998</v>
      </c>
      <c r="P90">
        <v>0</v>
      </c>
      <c r="Q90">
        <v>0</v>
      </c>
      <c r="R90">
        <v>3492.0189999999998</v>
      </c>
      <c r="S90">
        <v>3499.0070000000001</v>
      </c>
      <c r="T90">
        <v>2358.69</v>
      </c>
      <c r="U90">
        <v>2451.7800000000002</v>
      </c>
      <c r="V90">
        <v>2467.3029999999999</v>
      </c>
      <c r="W90">
        <v>2476.2399999999998</v>
      </c>
      <c r="X90">
        <v>-0.483493379799804</v>
      </c>
      <c r="Y90">
        <v>3</v>
      </c>
      <c r="Z90" t="s">
        <v>62</v>
      </c>
      <c r="AA90" t="s">
        <v>33</v>
      </c>
      <c r="AB90" t="s">
        <v>34</v>
      </c>
      <c r="AC90" s="7">
        <f t="shared" si="10"/>
        <v>-4.1637927271139824E-2</v>
      </c>
      <c r="AD90" s="8">
        <f t="shared" si="11"/>
        <v>-0.80615793286645732</v>
      </c>
      <c r="AE90" s="9">
        <f t="shared" si="12"/>
        <v>0</v>
      </c>
      <c r="AF90" s="8">
        <f t="shared" si="13"/>
        <v>-0.62560234706553219</v>
      </c>
      <c r="AG90" s="8">
        <f t="shared" si="14"/>
        <v>0.67410268113210403</v>
      </c>
      <c r="AH90" s="8">
        <f t="shared" si="15"/>
        <v>1.4834535271697424</v>
      </c>
      <c r="AI90" s="8">
        <f t="shared" si="16"/>
        <v>0.57827978052058771</v>
      </c>
      <c r="AJ90" s="8">
        <f t="shared" si="17"/>
        <v>-0.48349337979980417</v>
      </c>
      <c r="AK90" s="8">
        <f t="shared" si="18"/>
        <v>0.57827978052058771</v>
      </c>
      <c r="AL90" s="8">
        <f t="shared" si="19"/>
        <v>-8.4189368135852344E-2</v>
      </c>
    </row>
    <row r="91" spans="1:38">
      <c r="A91" t="s">
        <v>319</v>
      </c>
      <c r="B91" t="s">
        <v>320</v>
      </c>
      <c r="C91" t="s">
        <v>131</v>
      </c>
      <c r="D91">
        <v>3</v>
      </c>
      <c r="E91" t="s">
        <v>321</v>
      </c>
      <c r="F91">
        <v>-75.355999999999995</v>
      </c>
      <c r="G91">
        <v>-63.795999999999999</v>
      </c>
      <c r="H91">
        <v>135.34700000000001</v>
      </c>
      <c r="I91">
        <v>-29.413</v>
      </c>
      <c r="J91">
        <v>2095.4760000000001</v>
      </c>
      <c r="K91">
        <v>735.39400000000001</v>
      </c>
      <c r="L91">
        <v>2206.0030000000002</v>
      </c>
      <c r="M91">
        <v>-110.527</v>
      </c>
      <c r="N91">
        <v>-64.207999999999998</v>
      </c>
      <c r="O91">
        <v>211.797</v>
      </c>
      <c r="P91">
        <v>69.572999999999993</v>
      </c>
      <c r="Q91">
        <v>0.41199999999999998</v>
      </c>
      <c r="R91">
        <v>2248.1019999999999</v>
      </c>
      <c r="S91">
        <v>2275.576</v>
      </c>
      <c r="T91">
        <v>2308.183</v>
      </c>
      <c r="U91">
        <v>2433.4189999999999</v>
      </c>
      <c r="V91">
        <v>2436.489</v>
      </c>
      <c r="W91">
        <v>2469.5239999999999</v>
      </c>
      <c r="X91">
        <v>-1.27429237629772E-2</v>
      </c>
      <c r="Y91">
        <v>3</v>
      </c>
      <c r="Z91" t="s">
        <v>32</v>
      </c>
      <c r="AA91" t="s">
        <v>33</v>
      </c>
      <c r="AB91" t="s">
        <v>34</v>
      </c>
      <c r="AC91" s="7">
        <f t="shared" si="10"/>
        <v>-3.178503805254005E-2</v>
      </c>
      <c r="AD91" s="8">
        <f t="shared" si="11"/>
        <v>-0.47135141525116919</v>
      </c>
      <c r="AE91" s="9">
        <f t="shared" si="12"/>
        <v>1.8215266427009172E-4</v>
      </c>
      <c r="AF91" s="8">
        <f t="shared" si="13"/>
        <v>-4.7884851417760207E-2</v>
      </c>
      <c r="AG91" s="8">
        <f t="shared" si="14"/>
        <v>1.0143291193086936</v>
      </c>
      <c r="AH91" s="8">
        <f t="shared" si="15"/>
        <v>0.95573141297722064</v>
      </c>
      <c r="AI91" s="8">
        <f t="shared" si="16"/>
        <v>0.94989716695761517</v>
      </c>
      <c r="AJ91" s="8">
        <f t="shared" si="17"/>
        <v>-1.2742923762977199E-2</v>
      </c>
      <c r="AK91" s="8">
        <f t="shared" si="18"/>
        <v>0.92085520325403325</v>
      </c>
      <c r="AL91" s="8">
        <f t="shared" si="19"/>
        <v>-1.2245605146253857</v>
      </c>
    </row>
    <row r="92" spans="1:38">
      <c r="A92" t="s">
        <v>322</v>
      </c>
      <c r="B92" t="s">
        <v>323</v>
      </c>
      <c r="C92" t="s">
        <v>51</v>
      </c>
      <c r="D92">
        <v>0</v>
      </c>
      <c r="E92" t="s">
        <v>324</v>
      </c>
      <c r="F92">
        <v>-822.53200000000004</v>
      </c>
      <c r="G92">
        <v>-802.64800000000002</v>
      </c>
      <c r="H92">
        <v>83.847999999999999</v>
      </c>
      <c r="I92">
        <v>-984.13199999999995</v>
      </c>
      <c r="J92">
        <v>2246.2080000000001</v>
      </c>
      <c r="K92">
        <v>2068.3310000000001</v>
      </c>
      <c r="L92">
        <v>1499.0989999999999</v>
      </c>
      <c r="M92">
        <v>747.10900000000004</v>
      </c>
      <c r="N92">
        <v>-822.03700000000003</v>
      </c>
      <c r="O92">
        <v>4.0519999999999996</v>
      </c>
      <c r="P92">
        <v>0</v>
      </c>
      <c r="Q92">
        <v>18.216000000000001</v>
      </c>
      <c r="R92">
        <v>1496.992</v>
      </c>
      <c r="S92">
        <v>1499.0989999999999</v>
      </c>
      <c r="T92">
        <v>2250.453</v>
      </c>
      <c r="U92">
        <v>2231.902</v>
      </c>
      <c r="V92">
        <v>2208.8440000000001</v>
      </c>
      <c r="W92">
        <v>2222.2950000000001</v>
      </c>
      <c r="X92">
        <v>-0.43730395613683098</v>
      </c>
      <c r="Y92">
        <v>3</v>
      </c>
      <c r="Z92" t="s">
        <v>39</v>
      </c>
      <c r="AA92" t="s">
        <v>33</v>
      </c>
      <c r="AB92" t="s">
        <v>34</v>
      </c>
      <c r="AC92" s="7">
        <f t="shared" si="10"/>
        <v>-0.36700886029776764</v>
      </c>
      <c r="AD92" s="8">
        <f t="shared" si="11"/>
        <v>-9.5726552809846392</v>
      </c>
      <c r="AE92" s="9">
        <f t="shared" si="12"/>
        <v>1.2159844277093053E-2</v>
      </c>
      <c r="AF92" s="8">
        <f t="shared" si="13"/>
        <v>0.33198160548120759</v>
      </c>
      <c r="AG92" s="8">
        <f t="shared" si="14"/>
        <v>1.5012037230363038</v>
      </c>
      <c r="AH92" s="8">
        <f t="shared" si="15"/>
        <v>0.66613210762455377</v>
      </c>
      <c r="AI92" s="8">
        <f t="shared" si="16"/>
        <v>1.4983720221279584</v>
      </c>
      <c r="AJ92" s="8">
        <f t="shared" si="17"/>
        <v>-0.4373039561368311</v>
      </c>
      <c r="AK92" s="8">
        <f t="shared" si="18"/>
        <v>1.4983720221279584</v>
      </c>
      <c r="AL92" s="8">
        <f t="shared" si="19"/>
        <v>0.11222994235111609</v>
      </c>
    </row>
    <row r="93" spans="1:38">
      <c r="A93" t="s">
        <v>325</v>
      </c>
      <c r="B93" t="s">
        <v>326</v>
      </c>
      <c r="C93" t="s">
        <v>65</v>
      </c>
      <c r="D93">
        <v>0</v>
      </c>
      <c r="E93" t="s">
        <v>327</v>
      </c>
      <c r="F93">
        <v>262.50700000000001</v>
      </c>
      <c r="G93">
        <v>462.101</v>
      </c>
      <c r="H93">
        <v>536.19000000000005</v>
      </c>
      <c r="I93">
        <v>353.17399999999998</v>
      </c>
      <c r="J93">
        <v>1787.452</v>
      </c>
      <c r="K93">
        <v>0</v>
      </c>
      <c r="L93">
        <v>1490.6690000000001</v>
      </c>
      <c r="M93">
        <v>296.78300000000002</v>
      </c>
      <c r="N93">
        <v>362.50099999999998</v>
      </c>
      <c r="O93">
        <v>426.17</v>
      </c>
      <c r="P93">
        <v>369.779</v>
      </c>
      <c r="Q93">
        <v>0.03</v>
      </c>
      <c r="R93">
        <v>1731.7</v>
      </c>
      <c r="S93">
        <v>1860.4480000000001</v>
      </c>
      <c r="T93">
        <v>2213.6219999999998</v>
      </c>
      <c r="U93">
        <v>1845.21</v>
      </c>
      <c r="V93">
        <v>1740.88</v>
      </c>
      <c r="W93">
        <v>1591.838</v>
      </c>
      <c r="X93">
        <v>0.15954575803818399</v>
      </c>
      <c r="Y93">
        <v>3</v>
      </c>
      <c r="Z93" t="s">
        <v>62</v>
      </c>
      <c r="AA93" t="s">
        <v>33</v>
      </c>
      <c r="AB93" t="s">
        <v>34</v>
      </c>
      <c r="AC93" s="7">
        <f t="shared" si="10"/>
        <v>0.1293510054123945</v>
      </c>
      <c r="AD93" s="8">
        <f t="shared" si="11"/>
        <v>0.86182323430127372</v>
      </c>
      <c r="AE93" s="9">
        <f t="shared" si="12"/>
        <v>1.6703097979259206E-5</v>
      </c>
      <c r="AF93" s="8">
        <f t="shared" si="13"/>
        <v>0.1340712190247477</v>
      </c>
      <c r="AG93" s="8">
        <f t="shared" si="14"/>
        <v>1.1898327714614974</v>
      </c>
      <c r="AH93" s="8">
        <f t="shared" si="15"/>
        <v>0.67340720321717085</v>
      </c>
      <c r="AI93" s="8">
        <f t="shared" si="16"/>
        <v>1.1990938296831823</v>
      </c>
      <c r="AJ93" s="8">
        <f t="shared" si="17"/>
        <v>0.15954575803818358</v>
      </c>
      <c r="AK93" s="8">
        <f t="shared" si="18"/>
        <v>0.96076428903145905</v>
      </c>
      <c r="AL93" s="8">
        <f t="shared" si="19"/>
        <v>1.806673562838842</v>
      </c>
    </row>
    <row r="94" spans="1:38">
      <c r="A94" t="s">
        <v>328</v>
      </c>
      <c r="B94" t="s">
        <v>329</v>
      </c>
      <c r="C94" t="s">
        <v>69</v>
      </c>
      <c r="D94">
        <v>9</v>
      </c>
      <c r="E94" t="s">
        <v>330</v>
      </c>
      <c r="F94">
        <v>-4.8319999999999999</v>
      </c>
      <c r="G94">
        <v>40.781999999999996</v>
      </c>
      <c r="H94">
        <v>1788.2529999999999</v>
      </c>
      <c r="I94">
        <v>77.272000000000006</v>
      </c>
      <c r="J94">
        <v>1989.173</v>
      </c>
      <c r="K94">
        <v>1027.5419999999999</v>
      </c>
      <c r="L94">
        <v>1669.0909999999999</v>
      </c>
      <c r="M94">
        <v>320.08199999999999</v>
      </c>
      <c r="N94">
        <v>-3.387</v>
      </c>
      <c r="O94">
        <v>22.247</v>
      </c>
      <c r="P94">
        <v>249.80500000000001</v>
      </c>
      <c r="Q94">
        <v>24.649000000000001</v>
      </c>
      <c r="R94">
        <v>1941.5450000000001</v>
      </c>
      <c r="S94">
        <v>1918.896</v>
      </c>
      <c r="T94">
        <v>2012.54</v>
      </c>
      <c r="U94">
        <v>2040.019</v>
      </c>
      <c r="V94">
        <v>3308.9479999999999</v>
      </c>
      <c r="W94">
        <v>2017.4490000000001</v>
      </c>
      <c r="X94">
        <v>3.8395261709084E-2</v>
      </c>
      <c r="Y94">
        <v>3</v>
      </c>
      <c r="Z94" t="s">
        <v>39</v>
      </c>
      <c r="AA94" t="s">
        <v>33</v>
      </c>
      <c r="AB94" t="s">
        <v>34</v>
      </c>
      <c r="AC94" s="7">
        <f t="shared" si="10"/>
        <v>-2.3846660838250594E-3</v>
      </c>
      <c r="AD94" s="8">
        <f t="shared" si="11"/>
        <v>2.2805497879774282E-2</v>
      </c>
      <c r="AE94" s="9">
        <f t="shared" si="12"/>
        <v>1.2770043629730388E-2</v>
      </c>
      <c r="AF94" s="8">
        <f t="shared" si="13"/>
        <v>0.15904379540282429</v>
      </c>
      <c r="AG94" s="8">
        <f t="shared" si="14"/>
        <v>1.0488009772285731</v>
      </c>
      <c r="AH94" s="8">
        <f t="shared" si="15"/>
        <v>0.829345503691852</v>
      </c>
      <c r="AI94" s="8">
        <f t="shared" si="16"/>
        <v>1.1917702509929058</v>
      </c>
      <c r="AJ94" s="8">
        <f t="shared" si="17"/>
        <v>3.8395261709084048E-2</v>
      </c>
      <c r="AK94" s="8">
        <f t="shared" si="18"/>
        <v>1.036623662772761</v>
      </c>
      <c r="AL94" s="8">
        <f t="shared" si="19"/>
        <v>5.5868589923832017</v>
      </c>
    </row>
    <row r="95" spans="1:38">
      <c r="A95" t="s">
        <v>331</v>
      </c>
      <c r="B95" t="s">
        <v>332</v>
      </c>
      <c r="C95" t="s">
        <v>60</v>
      </c>
      <c r="D95">
        <v>15</v>
      </c>
      <c r="E95" t="s">
        <v>333</v>
      </c>
      <c r="F95">
        <v>13.667999999999999</v>
      </c>
      <c r="G95">
        <v>115.798</v>
      </c>
      <c r="H95">
        <v>1724.0060000000001</v>
      </c>
      <c r="I95">
        <v>102.965</v>
      </c>
      <c r="J95">
        <v>1410.4559999999999</v>
      </c>
      <c r="K95">
        <v>692.9</v>
      </c>
      <c r="L95">
        <v>1244.2940000000001</v>
      </c>
      <c r="M95">
        <v>166.16200000000001</v>
      </c>
      <c r="N95">
        <v>79.091999999999999</v>
      </c>
      <c r="O95">
        <v>559.86</v>
      </c>
      <c r="P95">
        <v>551.40300000000002</v>
      </c>
      <c r="Q95">
        <v>24.515999999999998</v>
      </c>
      <c r="R95">
        <v>1683.4929999999999</v>
      </c>
      <c r="S95">
        <v>1795.6969999999999</v>
      </c>
      <c r="T95">
        <v>1982.9739999999999</v>
      </c>
      <c r="U95">
        <v>1839.0709999999999</v>
      </c>
      <c r="V95">
        <v>1633.874</v>
      </c>
      <c r="W95">
        <v>1252.4169999999999</v>
      </c>
      <c r="X95">
        <v>5.1924533554146501E-2</v>
      </c>
      <c r="Y95">
        <v>3</v>
      </c>
      <c r="Z95" t="s">
        <v>62</v>
      </c>
      <c r="AA95" t="s">
        <v>33</v>
      </c>
      <c r="AB95" t="s">
        <v>34</v>
      </c>
      <c r="AC95" s="7">
        <f t="shared" si="10"/>
        <v>7.1521920856504823E-3</v>
      </c>
      <c r="AD95" s="8">
        <f t="shared" si="11"/>
        <v>6.7167979693806168E-2</v>
      </c>
      <c r="AE95" s="9">
        <f t="shared" si="12"/>
        <v>1.4092935424624697E-2</v>
      </c>
      <c r="AF95" s="8">
        <f t="shared" si="13"/>
        <v>8.37943412268643E-2</v>
      </c>
      <c r="AG95" s="8">
        <f t="shared" si="14"/>
        <v>1.1042920938220646</v>
      </c>
      <c r="AH95" s="8">
        <f t="shared" si="15"/>
        <v>0.62748881225875885</v>
      </c>
      <c r="AI95" s="8">
        <f t="shared" si="16"/>
        <v>1.1335391796472536</v>
      </c>
      <c r="AJ95" s="8">
        <f t="shared" si="17"/>
        <v>5.1924533554146453E-2</v>
      </c>
      <c r="AK95" s="8">
        <f t="shared" si="18"/>
        <v>0.7854643628629997</v>
      </c>
      <c r="AL95" s="8">
        <f t="shared" si="19"/>
        <v>10.375452871294279</v>
      </c>
    </row>
    <row r="96" spans="1:38">
      <c r="A96" t="s">
        <v>334</v>
      </c>
      <c r="B96" t="s">
        <v>335</v>
      </c>
      <c r="C96" t="s">
        <v>221</v>
      </c>
      <c r="D96">
        <v>3</v>
      </c>
      <c r="E96" t="s">
        <v>336</v>
      </c>
      <c r="F96">
        <v>0.33900000000000002</v>
      </c>
      <c r="G96">
        <v>2.4039999999999999</v>
      </c>
      <c r="H96">
        <v>47.302</v>
      </c>
      <c r="I96">
        <v>4.68</v>
      </c>
      <c r="J96">
        <v>1808.6279999999999</v>
      </c>
      <c r="K96">
        <v>582.65</v>
      </c>
      <c r="L96">
        <v>1844.8810000000001</v>
      </c>
      <c r="M96">
        <v>-36.253</v>
      </c>
      <c r="N96">
        <v>0.36499999999999999</v>
      </c>
      <c r="O96">
        <v>13.102</v>
      </c>
      <c r="P96">
        <v>0</v>
      </c>
      <c r="Q96">
        <v>1.4999999999999999E-2</v>
      </c>
      <c r="R96">
        <v>1822.6569999999999</v>
      </c>
      <c r="S96">
        <v>1844.8810000000001</v>
      </c>
      <c r="T96">
        <v>1861.6669999999999</v>
      </c>
      <c r="U96">
        <v>1838.097</v>
      </c>
      <c r="V96">
        <v>1837.2550000000001</v>
      </c>
      <c r="W96">
        <v>1674.653</v>
      </c>
      <c r="X96">
        <v>2.51387600467753E-3</v>
      </c>
      <c r="Y96">
        <v>3</v>
      </c>
      <c r="Z96" t="s">
        <v>62</v>
      </c>
      <c r="AA96" t="s">
        <v>33</v>
      </c>
      <c r="AB96" t="s">
        <v>34</v>
      </c>
      <c r="AC96" s="7">
        <f t="shared" si="10"/>
        <v>1.8325493193619918E-4</v>
      </c>
      <c r="AD96" s="8">
        <f t="shared" si="11"/>
        <v>5.0822375375248405E-2</v>
      </c>
      <c r="AE96" s="9">
        <f t="shared" si="12"/>
        <v>8.1798743462235431E-6</v>
      </c>
      <c r="AF96" s="8">
        <f t="shared" si="13"/>
        <v>-1.9473407435379154E-2</v>
      </c>
      <c r="AG96" s="8">
        <f t="shared" si="14"/>
        <v>1.0090986898341952</v>
      </c>
      <c r="AH96" s="8">
        <f t="shared" si="15"/>
        <v>0.99098334986869308</v>
      </c>
      <c r="AI96" s="8">
        <f t="shared" si="16"/>
        <v>0.98034941007035137</v>
      </c>
      <c r="AJ96" s="8">
        <f t="shared" si="17"/>
        <v>2.5138760046775283E-3</v>
      </c>
      <c r="AK96" s="8">
        <f t="shared" si="18"/>
        <v>0.98034941007035137</v>
      </c>
      <c r="AL96" s="8">
        <f t="shared" si="19"/>
        <v>-1.3047747772598131</v>
      </c>
    </row>
    <row r="97" spans="1:38">
      <c r="A97" t="s">
        <v>337</v>
      </c>
      <c r="B97" t="s">
        <v>338</v>
      </c>
      <c r="C97" t="s">
        <v>37</v>
      </c>
      <c r="D97">
        <v>8</v>
      </c>
      <c r="E97" t="s">
        <v>339</v>
      </c>
      <c r="F97">
        <v>-548.53200000000004</v>
      </c>
      <c r="G97">
        <v>-532.01</v>
      </c>
      <c r="H97">
        <v>1618.85</v>
      </c>
      <c r="I97">
        <v>-455.84500000000003</v>
      </c>
      <c r="J97">
        <v>1298.7339999999999</v>
      </c>
      <c r="K97">
        <v>231.95599999999999</v>
      </c>
      <c r="L97">
        <v>1742.88</v>
      </c>
      <c r="M97">
        <v>-444.14600000000002</v>
      </c>
      <c r="N97">
        <v>-537.18200000000002</v>
      </c>
      <c r="O97">
        <v>546.59299999999996</v>
      </c>
      <c r="P97">
        <v>404.37700000000001</v>
      </c>
      <c r="Q97">
        <v>5.2119999999999997</v>
      </c>
      <c r="R97">
        <v>2516.1260000000002</v>
      </c>
      <c r="S97">
        <v>2147.2570000000001</v>
      </c>
      <c r="T97">
        <v>1845.327</v>
      </c>
      <c r="U97">
        <v>2753.2809999999999</v>
      </c>
      <c r="V97">
        <v>2880.8850000000002</v>
      </c>
      <c r="W97">
        <v>3024.567</v>
      </c>
      <c r="X97">
        <v>-0.24702667874040801</v>
      </c>
      <c r="Y97">
        <v>3</v>
      </c>
      <c r="Z97" t="s">
        <v>39</v>
      </c>
      <c r="AA97" t="s">
        <v>33</v>
      </c>
      <c r="AB97" t="s">
        <v>34</v>
      </c>
      <c r="AC97" s="7">
        <f t="shared" si="10"/>
        <v>-0.23856436556453606</v>
      </c>
      <c r="AD97" s="8">
        <f t="shared" si="11"/>
        <v>-0.32863452450813851</v>
      </c>
      <c r="AE97" s="9">
        <f t="shared" si="12"/>
        <v>2.2352871295366473E-3</v>
      </c>
      <c r="AF97" s="8">
        <f t="shared" si="13"/>
        <v>-0.24068688097014784</v>
      </c>
      <c r="AG97" s="8">
        <f t="shared" si="14"/>
        <v>0.85938804716901607</v>
      </c>
      <c r="AH97" s="8">
        <f t="shared" si="15"/>
        <v>0.94448301032825077</v>
      </c>
      <c r="AI97" s="8">
        <f t="shared" si="16"/>
        <v>0.74516547323969518</v>
      </c>
      <c r="AJ97" s="8">
        <f t="shared" si="17"/>
        <v>-0.24702667874040754</v>
      </c>
      <c r="AK97" s="8">
        <f t="shared" si="18"/>
        <v>0.60483398121417231</v>
      </c>
      <c r="AL97" s="8">
        <f t="shared" si="19"/>
        <v>-3.644860023505784</v>
      </c>
    </row>
    <row r="98" spans="1:38">
      <c r="A98" t="s">
        <v>340</v>
      </c>
      <c r="B98" t="s">
        <v>341</v>
      </c>
      <c r="C98" t="s">
        <v>69</v>
      </c>
      <c r="D98">
        <v>6</v>
      </c>
      <c r="E98" t="s">
        <v>342</v>
      </c>
      <c r="F98">
        <v>-1194.086</v>
      </c>
      <c r="G98">
        <v>-1453.1769999999999</v>
      </c>
      <c r="H98">
        <v>1827.56</v>
      </c>
      <c r="I98">
        <v>-994.24699999999996</v>
      </c>
      <c r="J98">
        <v>1697.652</v>
      </c>
      <c r="K98">
        <v>256.54899999999998</v>
      </c>
      <c r="L98">
        <v>2708.3919999999998</v>
      </c>
      <c r="M98">
        <v>-1010.74</v>
      </c>
      <c r="N98">
        <v>-1169.8969999999999</v>
      </c>
      <c r="O98">
        <v>51.134999999999998</v>
      </c>
      <c r="P98">
        <v>0</v>
      </c>
      <c r="Q98">
        <v>42.463000000000001</v>
      </c>
      <c r="R98">
        <v>3132.48</v>
      </c>
      <c r="S98">
        <v>2708.3919999999998</v>
      </c>
      <c r="T98">
        <v>1760.1759999999999</v>
      </c>
      <c r="U98">
        <v>3372.77</v>
      </c>
      <c r="V98">
        <v>4494.0910000000003</v>
      </c>
      <c r="W98">
        <v>5196.1629999999996</v>
      </c>
      <c r="X98">
        <v>-0.56485658252356596</v>
      </c>
      <c r="Y98">
        <v>3</v>
      </c>
      <c r="Z98" t="s">
        <v>39</v>
      </c>
      <c r="AA98" t="s">
        <v>33</v>
      </c>
      <c r="AB98" t="s">
        <v>34</v>
      </c>
      <c r="AC98" s="7">
        <f t="shared" si="10"/>
        <v>-0.46526341792802811</v>
      </c>
      <c r="AD98" s="8">
        <f t="shared" si="11"/>
        <v>-0.79514598699905881</v>
      </c>
      <c r="AE98" s="9">
        <f t="shared" si="12"/>
        <v>1.4539952253704585E-2</v>
      </c>
      <c r="AF98" s="8">
        <f t="shared" si="13"/>
        <v>-0.57422666824226676</v>
      </c>
      <c r="AG98" s="8">
        <f t="shared" si="14"/>
        <v>0.64989706069136222</v>
      </c>
      <c r="AH98" s="8">
        <f t="shared" si="15"/>
        <v>1.5387052203870522</v>
      </c>
      <c r="AI98" s="8">
        <f t="shared" si="16"/>
        <v>0.62681177613875694</v>
      </c>
      <c r="AJ98" s="8">
        <f t="shared" si="17"/>
        <v>-0.56485658252356585</v>
      </c>
      <c r="AK98" s="8">
        <f t="shared" si="18"/>
        <v>0.62681177613875694</v>
      </c>
      <c r="AL98" s="8">
        <f t="shared" si="19"/>
        <v>-1.8081405702752438</v>
      </c>
    </row>
    <row r="99" spans="1:38">
      <c r="A99" t="s">
        <v>343</v>
      </c>
      <c r="B99" t="s">
        <v>344</v>
      </c>
      <c r="C99" t="s">
        <v>345</v>
      </c>
      <c r="D99">
        <v>0</v>
      </c>
      <c r="E99" t="s">
        <v>346</v>
      </c>
      <c r="F99">
        <v>30.457999999999998</v>
      </c>
      <c r="G99">
        <v>30.478999999999999</v>
      </c>
      <c r="H99">
        <v>207.691</v>
      </c>
      <c r="I99">
        <v>65.543000000000006</v>
      </c>
      <c r="J99">
        <v>706.04</v>
      </c>
      <c r="K99">
        <v>150</v>
      </c>
      <c r="L99">
        <v>354.19900000000001</v>
      </c>
      <c r="M99">
        <v>351.84100000000001</v>
      </c>
      <c r="N99">
        <v>30.457999999999998</v>
      </c>
      <c r="O99">
        <v>1038.4079999999999</v>
      </c>
      <c r="P99">
        <v>1313.539</v>
      </c>
      <c r="Q99">
        <v>2.1000000000000001E-2</v>
      </c>
      <c r="R99">
        <v>1702.7170000000001</v>
      </c>
      <c r="S99">
        <v>1667.7380000000001</v>
      </c>
      <c r="T99">
        <v>1744.4480000000001</v>
      </c>
      <c r="U99">
        <v>1749.299</v>
      </c>
      <c r="V99">
        <v>1722.7249999999999</v>
      </c>
      <c r="W99">
        <v>1578.961</v>
      </c>
      <c r="X99">
        <v>3.7572343801592301E-2</v>
      </c>
      <c r="Y99">
        <v>3</v>
      </c>
      <c r="Z99" t="s">
        <v>62</v>
      </c>
      <c r="AA99" t="s">
        <v>33</v>
      </c>
      <c r="AB99" t="s">
        <v>34</v>
      </c>
      <c r="AC99" s="7">
        <f t="shared" si="10"/>
        <v>1.7435721590601722E-2</v>
      </c>
      <c r="AD99" s="8">
        <f t="shared" si="11"/>
        <v>0.14675166473270387</v>
      </c>
      <c r="AE99" s="9">
        <f t="shared" si="12"/>
        <v>1.2461225561533977E-5</v>
      </c>
      <c r="AF99" s="8">
        <f t="shared" si="13"/>
        <v>0.20169188190189674</v>
      </c>
      <c r="AG99" s="8">
        <f t="shared" si="14"/>
        <v>1.0459964334925511</v>
      </c>
      <c r="AH99" s="8">
        <f t="shared" si="15"/>
        <v>0.20304359889202772</v>
      </c>
      <c r="AI99" s="8">
        <f t="shared" si="16"/>
        <v>1.9933427254170677</v>
      </c>
      <c r="AJ99" s="8">
        <f t="shared" si="17"/>
        <v>3.7572343801592252E-2</v>
      </c>
      <c r="AK99" s="8">
        <f t="shared" si="18"/>
        <v>0.42335186941833786</v>
      </c>
      <c r="AL99" s="8">
        <f t="shared" si="19"/>
        <v>0.59029789024019375</v>
      </c>
    </row>
    <row r="100" spans="1:38">
      <c r="A100" t="s">
        <v>347</v>
      </c>
      <c r="B100" t="s">
        <v>348</v>
      </c>
      <c r="C100" t="s">
        <v>69</v>
      </c>
      <c r="D100">
        <v>0</v>
      </c>
      <c r="E100" t="s">
        <v>349</v>
      </c>
      <c r="F100">
        <v>-859.38699999999994</v>
      </c>
      <c r="G100">
        <v>-788.87</v>
      </c>
      <c r="H100">
        <v>571.64400000000001</v>
      </c>
      <c r="I100">
        <v>150.393</v>
      </c>
      <c r="J100">
        <v>1589.5319999999999</v>
      </c>
      <c r="K100">
        <v>525</v>
      </c>
      <c r="L100">
        <v>788.41099999999994</v>
      </c>
      <c r="M100">
        <v>801.12099999999998</v>
      </c>
      <c r="N100">
        <v>-793.92100000000005</v>
      </c>
      <c r="O100">
        <v>129.50899999999999</v>
      </c>
      <c r="P100">
        <v>774.96100000000001</v>
      </c>
      <c r="Q100">
        <v>5.0510000000000002</v>
      </c>
      <c r="R100">
        <v>1575.21</v>
      </c>
      <c r="S100">
        <v>1563.3720000000001</v>
      </c>
      <c r="T100">
        <v>1719.0409999999999</v>
      </c>
      <c r="U100">
        <v>2594.9290000000001</v>
      </c>
      <c r="V100">
        <v>2593.0219999999999</v>
      </c>
      <c r="W100">
        <v>2586.71</v>
      </c>
      <c r="X100">
        <v>8.7486569546625106E-2</v>
      </c>
      <c r="Y100">
        <v>3</v>
      </c>
      <c r="Z100" t="s">
        <v>39</v>
      </c>
      <c r="AA100" t="s">
        <v>33</v>
      </c>
      <c r="AB100" t="s">
        <v>34</v>
      </c>
      <c r="AC100" s="7">
        <f t="shared" si="10"/>
        <v>-0.39842048043913142</v>
      </c>
      <c r="AD100" s="8">
        <f t="shared" si="11"/>
        <v>-1.3800022391558382</v>
      </c>
      <c r="AE100" s="9">
        <f t="shared" si="12"/>
        <v>3.2186509704063807E-3</v>
      </c>
      <c r="AF100" s="8">
        <f t="shared" si="13"/>
        <v>0.46602786088289927</v>
      </c>
      <c r="AG100" s="8">
        <f t="shared" si="14"/>
        <v>1.0995725905286777</v>
      </c>
      <c r="AH100" s="8">
        <f t="shared" si="15"/>
        <v>0.45863420360538226</v>
      </c>
      <c r="AI100" s="8">
        <f t="shared" si="16"/>
        <v>2.0161210333189161</v>
      </c>
      <c r="AJ100" s="8">
        <f t="shared" si="17"/>
        <v>8.7486569546625134E-2</v>
      </c>
      <c r="AK100" s="8">
        <f t="shared" si="18"/>
        <v>1.0167330616129748</v>
      </c>
      <c r="AL100" s="8">
        <f t="shared" si="19"/>
        <v>0.71355513087286437</v>
      </c>
    </row>
    <row r="101" spans="1:38">
      <c r="A101" t="s">
        <v>350</v>
      </c>
      <c r="B101" t="s">
        <v>351</v>
      </c>
      <c r="C101" t="s">
        <v>69</v>
      </c>
      <c r="D101">
        <v>0</v>
      </c>
      <c r="E101" t="s">
        <v>352</v>
      </c>
      <c r="F101">
        <v>21.585999999999999</v>
      </c>
      <c r="G101">
        <v>41.429000000000002</v>
      </c>
      <c r="H101">
        <v>18</v>
      </c>
      <c r="I101">
        <v>306.70400000000001</v>
      </c>
      <c r="J101">
        <v>1662.0540000000001</v>
      </c>
      <c r="K101">
        <v>1403</v>
      </c>
      <c r="L101">
        <v>1204.886</v>
      </c>
      <c r="M101">
        <v>457.16800000000001</v>
      </c>
      <c r="N101">
        <v>21.585999999999999</v>
      </c>
      <c r="O101">
        <v>0</v>
      </c>
      <c r="P101">
        <v>138.00800000000001</v>
      </c>
      <c r="Q101">
        <v>0.123</v>
      </c>
      <c r="R101">
        <v>1325.8009999999999</v>
      </c>
      <c r="S101">
        <v>1342.894</v>
      </c>
      <c r="T101">
        <v>1669.319</v>
      </c>
      <c r="U101">
        <v>1702.672</v>
      </c>
      <c r="V101">
        <v>2702.8910000000001</v>
      </c>
      <c r="W101">
        <v>2277.7939999999999</v>
      </c>
      <c r="X101">
        <v>0.18373001205881001</v>
      </c>
      <c r="Y101">
        <v>3</v>
      </c>
      <c r="Z101" t="s">
        <v>39</v>
      </c>
      <c r="AA101" t="s">
        <v>33</v>
      </c>
      <c r="AB101" t="s">
        <v>34</v>
      </c>
      <c r="AC101" s="7">
        <f t="shared" si="10"/>
        <v>1.2803118395037234E-2</v>
      </c>
      <c r="AD101" s="8">
        <f t="shared" si="11"/>
        <v>2.3016111111111113</v>
      </c>
      <c r="AE101" s="9">
        <f t="shared" si="12"/>
        <v>9.2179885674458875E-5</v>
      </c>
      <c r="AF101" s="8">
        <f t="shared" si="13"/>
        <v>0.27386497128469756</v>
      </c>
      <c r="AG101" s="8">
        <f t="shared" si="14"/>
        <v>1.2430757751542563</v>
      </c>
      <c r="AH101" s="8">
        <f t="shared" si="15"/>
        <v>0.72178295460603992</v>
      </c>
      <c r="AI101" s="8">
        <f t="shared" si="16"/>
        <v>1.3794284272536987</v>
      </c>
      <c r="AJ101" s="8">
        <f t="shared" si="17"/>
        <v>0.18373001205880962</v>
      </c>
      <c r="AK101" s="8">
        <f t="shared" si="18"/>
        <v>1.2376658172573562</v>
      </c>
      <c r="AL101" s="8">
        <f t="shared" si="19"/>
        <v>3.9372834494102824E-2</v>
      </c>
    </row>
    <row r="102" spans="1:38">
      <c r="A102" t="s">
        <v>353</v>
      </c>
      <c r="B102" t="s">
        <v>354</v>
      </c>
      <c r="C102" t="s">
        <v>69</v>
      </c>
      <c r="D102">
        <v>34</v>
      </c>
      <c r="E102" t="s">
        <v>355</v>
      </c>
      <c r="F102">
        <v>-1611.8789999999999</v>
      </c>
      <c r="G102">
        <v>-1470.865</v>
      </c>
      <c r="H102">
        <v>2866.1950000000002</v>
      </c>
      <c r="I102">
        <v>-1286.835</v>
      </c>
      <c r="J102">
        <v>1384.61</v>
      </c>
      <c r="K102">
        <v>310.03699999999998</v>
      </c>
      <c r="L102">
        <v>2307.8330000000001</v>
      </c>
      <c r="M102">
        <v>-923.22299999999996</v>
      </c>
      <c r="N102">
        <v>-1558.615</v>
      </c>
      <c r="O102">
        <v>257.58300000000003</v>
      </c>
      <c r="P102">
        <v>433.84300000000002</v>
      </c>
      <c r="Q102">
        <v>87.75</v>
      </c>
      <c r="R102">
        <v>2691.4070000000002</v>
      </c>
      <c r="S102">
        <v>2741.6759999999999</v>
      </c>
      <c r="T102">
        <v>1667.4259999999999</v>
      </c>
      <c r="U102">
        <v>3143.5520000000001</v>
      </c>
      <c r="V102">
        <v>3713.3440000000001</v>
      </c>
      <c r="W102">
        <v>2313.35</v>
      </c>
      <c r="X102">
        <v>-0.77174939097747097</v>
      </c>
      <c r="Y102">
        <v>3</v>
      </c>
      <c r="Z102" t="s">
        <v>39</v>
      </c>
      <c r="AA102" t="s">
        <v>33</v>
      </c>
      <c r="AB102" t="s">
        <v>34</v>
      </c>
      <c r="AC102" s="7">
        <f t="shared" si="10"/>
        <v>-0.67008371270872569</v>
      </c>
      <c r="AD102" s="8">
        <f t="shared" si="11"/>
        <v>-0.51317687735830952</v>
      </c>
      <c r="AE102" s="9">
        <f t="shared" si="12"/>
        <v>3.2302101771682849E-2</v>
      </c>
      <c r="AF102" s="8">
        <f t="shared" si="13"/>
        <v>-0.55368154268915082</v>
      </c>
      <c r="AG102" s="8">
        <f t="shared" si="14"/>
        <v>0.60817762565671507</v>
      </c>
      <c r="AH102" s="8">
        <f t="shared" si="15"/>
        <v>1.38406921806425</v>
      </c>
      <c r="AI102" s="8">
        <f t="shared" si="16"/>
        <v>0.59996108903893819</v>
      </c>
      <c r="AJ102" s="8">
        <f t="shared" si="17"/>
        <v>-0.77174939097747075</v>
      </c>
      <c r="AK102" s="8">
        <f t="shared" si="18"/>
        <v>0.5050232047842268</v>
      </c>
      <c r="AL102" s="8">
        <f t="shared" si="19"/>
        <v>-3.1045532877755431</v>
      </c>
    </row>
    <row r="103" spans="1:38">
      <c r="A103" t="s">
        <v>356</v>
      </c>
      <c r="B103" t="s">
        <v>357</v>
      </c>
      <c r="C103" t="s">
        <v>120</v>
      </c>
      <c r="D103">
        <v>1</v>
      </c>
      <c r="E103" t="s">
        <v>358</v>
      </c>
      <c r="F103">
        <v>-46.947000000000003</v>
      </c>
      <c r="G103">
        <v>-25.396999999999998</v>
      </c>
      <c r="H103">
        <v>120.565</v>
      </c>
      <c r="I103">
        <v>-19.759</v>
      </c>
      <c r="J103">
        <v>1602.3910000000001</v>
      </c>
      <c r="K103">
        <v>1279.981</v>
      </c>
      <c r="L103">
        <v>1668.377</v>
      </c>
      <c r="M103">
        <v>-65.986000000000004</v>
      </c>
      <c r="N103">
        <v>-29.704999999999998</v>
      </c>
      <c r="O103">
        <v>47.087000000000003</v>
      </c>
      <c r="P103">
        <v>0</v>
      </c>
      <c r="Q103">
        <v>4.3129999999999997</v>
      </c>
      <c r="R103">
        <v>1371.7439999999999</v>
      </c>
      <c r="S103">
        <v>1668.377</v>
      </c>
      <c r="T103">
        <v>1649.4780000000001</v>
      </c>
      <c r="U103">
        <v>1402.7650000000001</v>
      </c>
      <c r="V103">
        <v>1040.2650000000001</v>
      </c>
      <c r="W103">
        <v>243.447</v>
      </c>
      <c r="X103">
        <v>-1.1978941216554601E-2</v>
      </c>
      <c r="Y103">
        <v>3</v>
      </c>
      <c r="Z103" t="s">
        <v>44</v>
      </c>
      <c r="AA103" t="s">
        <v>33</v>
      </c>
      <c r="AB103" t="s">
        <v>34</v>
      </c>
      <c r="AC103" s="7">
        <f t="shared" si="10"/>
        <v>-3.0762295138362178E-2</v>
      </c>
      <c r="AD103" s="8">
        <f t="shared" si="11"/>
        <v>-0.21064985692365112</v>
      </c>
      <c r="AE103" s="9">
        <f t="shared" si="12"/>
        <v>2.8373870645280234E-3</v>
      </c>
      <c r="AF103" s="8">
        <f t="shared" si="13"/>
        <v>-4.0004171016527652E-2</v>
      </c>
      <c r="AG103" s="8">
        <f t="shared" si="14"/>
        <v>0.9886722245631534</v>
      </c>
      <c r="AH103" s="8">
        <f t="shared" si="15"/>
        <v>1.0114575641505978</v>
      </c>
      <c r="AI103" s="8">
        <f t="shared" si="16"/>
        <v>0.96044898724928485</v>
      </c>
      <c r="AJ103" s="8">
        <f t="shared" si="17"/>
        <v>-1.1978941216554571E-2</v>
      </c>
      <c r="AK103" s="8">
        <f t="shared" si="18"/>
        <v>0.96044898724928485</v>
      </c>
      <c r="AL103" s="8">
        <f t="shared" si="19"/>
        <v>-1.8271299972721484</v>
      </c>
    </row>
    <row r="104" spans="1:38">
      <c r="A104" t="s">
        <v>359</v>
      </c>
      <c r="B104" t="s">
        <v>360</v>
      </c>
      <c r="C104" t="s">
        <v>131</v>
      </c>
      <c r="D104">
        <v>0</v>
      </c>
      <c r="E104" t="s">
        <v>361</v>
      </c>
      <c r="F104">
        <v>369.93900000000002</v>
      </c>
      <c r="G104">
        <v>370.27499999999998</v>
      </c>
      <c r="H104">
        <v>3468.7689999999998</v>
      </c>
      <c r="I104">
        <v>-1378.557</v>
      </c>
      <c r="J104">
        <v>1603.502</v>
      </c>
      <c r="K104">
        <v>1191.9870000000001</v>
      </c>
      <c r="L104">
        <v>2740.2469999999998</v>
      </c>
      <c r="M104">
        <v>-1136.7449999999999</v>
      </c>
      <c r="N104">
        <v>369.93900000000002</v>
      </c>
      <c r="O104">
        <v>3.2429999999999999</v>
      </c>
      <c r="P104">
        <v>0</v>
      </c>
      <c r="Q104">
        <v>0.33600000000000002</v>
      </c>
      <c r="R104">
        <v>10992.291999999999</v>
      </c>
      <c r="S104">
        <v>2740.2469999999998</v>
      </c>
      <c r="T104">
        <v>1606.7449999999999</v>
      </c>
      <c r="U104">
        <v>5444.4549999999999</v>
      </c>
      <c r="V104">
        <v>5424.75</v>
      </c>
      <c r="W104">
        <v>6304.2470000000003</v>
      </c>
      <c r="X104">
        <v>-0.85798119801213002</v>
      </c>
      <c r="Y104">
        <v>3</v>
      </c>
      <c r="Z104" t="s">
        <v>32</v>
      </c>
      <c r="AA104" t="s">
        <v>33</v>
      </c>
      <c r="AB104" t="s">
        <v>34</v>
      </c>
      <c r="AC104" s="7">
        <f t="shared" si="10"/>
        <v>0.10492937372362152</v>
      </c>
      <c r="AD104" s="8">
        <f t="shared" si="11"/>
        <v>0.10674536125063387</v>
      </c>
      <c r="AE104" s="9">
        <f t="shared" si="12"/>
        <v>4.8934869218285134E-5</v>
      </c>
      <c r="AF104" s="8">
        <f t="shared" si="13"/>
        <v>-0.70748314138211099</v>
      </c>
      <c r="AG104" s="8">
        <f t="shared" si="14"/>
        <v>0.58635042753445221</v>
      </c>
      <c r="AH104" s="8">
        <f t="shared" si="15"/>
        <v>1.7054647750576477</v>
      </c>
      <c r="AI104" s="8">
        <f t="shared" si="16"/>
        <v>0.58516695757718196</v>
      </c>
      <c r="AJ104" s="8">
        <f t="shared" si="17"/>
        <v>-0.85798119801213013</v>
      </c>
      <c r="AK104" s="8">
        <f t="shared" si="18"/>
        <v>0.58516695757718196</v>
      </c>
      <c r="AL104" s="8">
        <f t="shared" si="19"/>
        <v>-3.0514926390703283</v>
      </c>
    </row>
    <row r="105" spans="1:38">
      <c r="A105" t="s">
        <v>362</v>
      </c>
      <c r="B105" t="s">
        <v>363</v>
      </c>
      <c r="C105" t="s">
        <v>124</v>
      </c>
      <c r="D105">
        <v>8</v>
      </c>
      <c r="E105" t="s">
        <v>364</v>
      </c>
      <c r="F105">
        <v>-352.58600000000001</v>
      </c>
      <c r="G105">
        <v>-280.34500000000003</v>
      </c>
      <c r="H105">
        <v>491.76299999999998</v>
      </c>
      <c r="I105">
        <v>-336.767</v>
      </c>
      <c r="J105">
        <v>1303.1659999999999</v>
      </c>
      <c r="K105">
        <v>611.04700000000003</v>
      </c>
      <c r="L105">
        <v>816.1</v>
      </c>
      <c r="M105">
        <v>487.06599999999997</v>
      </c>
      <c r="N105">
        <v>-328.995</v>
      </c>
      <c r="O105">
        <v>254.79400000000001</v>
      </c>
      <c r="P105">
        <v>1056.037</v>
      </c>
      <c r="Q105">
        <v>58.802</v>
      </c>
      <c r="R105">
        <v>1704.721</v>
      </c>
      <c r="S105">
        <v>1872.1369999999999</v>
      </c>
      <c r="T105">
        <v>1596.1130000000001</v>
      </c>
      <c r="U105">
        <v>1776.48</v>
      </c>
      <c r="V105">
        <v>1560.095</v>
      </c>
      <c r="W105">
        <v>1506.412</v>
      </c>
      <c r="X105">
        <v>-0.210991953577222</v>
      </c>
      <c r="Y105">
        <v>3</v>
      </c>
      <c r="Z105" t="s">
        <v>62</v>
      </c>
      <c r="AA105" t="s">
        <v>33</v>
      </c>
      <c r="AB105" t="s">
        <v>34</v>
      </c>
      <c r="AC105" s="7">
        <f t="shared" si="10"/>
        <v>-0.20908897100836066</v>
      </c>
      <c r="AD105" s="8">
        <f t="shared" si="11"/>
        <v>-0.57008152301006798</v>
      </c>
      <c r="AE105" s="9">
        <f t="shared" si="12"/>
        <v>3.2879135822557116E-2</v>
      </c>
      <c r="AF105" s="8">
        <f t="shared" si="13"/>
        <v>0.30515759222561306</v>
      </c>
      <c r="AG105" s="8">
        <f t="shared" si="14"/>
        <v>0.85256207211331225</v>
      </c>
      <c r="AH105" s="8">
        <f t="shared" si="15"/>
        <v>0.51130465073588149</v>
      </c>
      <c r="AI105" s="8">
        <f t="shared" si="16"/>
        <v>1.596821467957358</v>
      </c>
      <c r="AJ105" s="8">
        <f t="shared" si="17"/>
        <v>-0.21099195357722164</v>
      </c>
      <c r="AK105" s="8">
        <f t="shared" si="18"/>
        <v>0.69608474166153433</v>
      </c>
      <c r="AL105" s="8">
        <f t="shared" si="19"/>
        <v>1.0096434569442334</v>
      </c>
    </row>
    <row r="106" spans="1:38">
      <c r="A106" t="s">
        <v>365</v>
      </c>
      <c r="B106" t="s">
        <v>366</v>
      </c>
      <c r="C106" t="s">
        <v>69</v>
      </c>
      <c r="D106">
        <v>0</v>
      </c>
      <c r="E106" t="s">
        <v>367</v>
      </c>
      <c r="F106">
        <v>35.307000000000002</v>
      </c>
      <c r="G106">
        <v>47.15</v>
      </c>
      <c r="H106">
        <v>271.5</v>
      </c>
      <c r="I106">
        <v>55.280999999999999</v>
      </c>
      <c r="J106">
        <v>1572.03</v>
      </c>
      <c r="K106">
        <v>1560.9649999999999</v>
      </c>
      <c r="L106">
        <v>366.76799999999997</v>
      </c>
      <c r="M106">
        <v>1205.2619999999999</v>
      </c>
      <c r="N106">
        <v>35.307000000000002</v>
      </c>
      <c r="O106">
        <v>0</v>
      </c>
      <c r="P106">
        <v>1150.037</v>
      </c>
      <c r="Q106">
        <v>9.1010000000000009</v>
      </c>
      <c r="R106">
        <v>1777.087</v>
      </c>
      <c r="S106">
        <v>1516.8050000000001</v>
      </c>
      <c r="T106">
        <v>1572.086</v>
      </c>
      <c r="U106">
        <v>1797.06</v>
      </c>
      <c r="V106">
        <v>2393.6480000000001</v>
      </c>
      <c r="W106">
        <v>2662.2739999999999</v>
      </c>
      <c r="X106">
        <v>3.5164106798228602E-2</v>
      </c>
      <c r="Y106">
        <v>3</v>
      </c>
      <c r="Z106" t="s">
        <v>39</v>
      </c>
      <c r="AA106" t="s">
        <v>33</v>
      </c>
      <c r="AB106" t="s">
        <v>34</v>
      </c>
      <c r="AC106" s="7">
        <f t="shared" si="10"/>
        <v>2.0959020475811975E-2</v>
      </c>
      <c r="AD106" s="8">
        <f t="shared" si="11"/>
        <v>0.1736648250460405</v>
      </c>
      <c r="AE106" s="9">
        <f t="shared" si="12"/>
        <v>5.5259856728757358E-3</v>
      </c>
      <c r="AF106" s="8">
        <f t="shared" si="13"/>
        <v>0.7666641646831025</v>
      </c>
      <c r="AG106" s="8">
        <f t="shared" si="14"/>
        <v>1.0364456868219711</v>
      </c>
      <c r="AH106" s="8">
        <f t="shared" si="15"/>
        <v>0.23330021385598496</v>
      </c>
      <c r="AI106" s="8">
        <f t="shared" si="16"/>
        <v>4.2861700039261876</v>
      </c>
      <c r="AJ106" s="8">
        <f t="shared" si="17"/>
        <v>3.5164106798228595E-2</v>
      </c>
      <c r="AK106" s="8">
        <f t="shared" si="18"/>
        <v>1.0364087671124502</v>
      </c>
      <c r="AL106" s="8">
        <f t="shared" si="19"/>
        <v>0.22526222514274905</v>
      </c>
    </row>
    <row r="107" spans="1:38">
      <c r="A107" t="s">
        <v>368</v>
      </c>
      <c r="B107" t="s">
        <v>369</v>
      </c>
      <c r="C107" t="s">
        <v>47</v>
      </c>
      <c r="D107">
        <v>7</v>
      </c>
      <c r="E107" t="s">
        <v>370</v>
      </c>
      <c r="F107">
        <v>-789.404</v>
      </c>
      <c r="G107">
        <v>19.664999999999999</v>
      </c>
      <c r="H107">
        <v>36.856999999999999</v>
      </c>
      <c r="I107">
        <v>-655.51099999999997</v>
      </c>
      <c r="J107">
        <v>1081.2429999999999</v>
      </c>
      <c r="K107">
        <v>0</v>
      </c>
      <c r="L107">
        <v>1924.124</v>
      </c>
      <c r="M107">
        <v>-842.88099999999997</v>
      </c>
      <c r="N107">
        <v>16.114000000000001</v>
      </c>
      <c r="O107">
        <v>456.76799999999997</v>
      </c>
      <c r="P107">
        <v>255.42500000000001</v>
      </c>
      <c r="Q107">
        <v>3.5760000000000001</v>
      </c>
      <c r="R107">
        <v>2299.3760000000002</v>
      </c>
      <c r="S107">
        <v>2179.549</v>
      </c>
      <c r="T107">
        <v>1552.587</v>
      </c>
      <c r="U107">
        <v>2532.2959999999998</v>
      </c>
      <c r="V107">
        <v>2814.337</v>
      </c>
      <c r="W107">
        <v>2160.9470000000001</v>
      </c>
      <c r="X107">
        <v>-0.42220564773503799</v>
      </c>
      <c r="Y107">
        <v>3</v>
      </c>
      <c r="Z107" t="s">
        <v>32</v>
      </c>
      <c r="AA107" t="s">
        <v>33</v>
      </c>
      <c r="AB107" t="s">
        <v>34</v>
      </c>
      <c r="AC107" s="7">
        <f t="shared" si="10"/>
        <v>-0.38650017638204082</v>
      </c>
      <c r="AD107" s="8">
        <f t="shared" si="11"/>
        <v>0.53354857964565749</v>
      </c>
      <c r="AE107" s="9">
        <f t="shared" si="12"/>
        <v>1.5968117349587233E-3</v>
      </c>
      <c r="AF107" s="8">
        <f t="shared" si="13"/>
        <v>-0.54288809580397102</v>
      </c>
      <c r="AG107" s="8">
        <f t="shared" si="14"/>
        <v>0.7123432416522868</v>
      </c>
      <c r="AH107" s="8">
        <f t="shared" si="15"/>
        <v>1.2393018877525059</v>
      </c>
      <c r="AI107" s="8">
        <f t="shared" si="16"/>
        <v>0.56194039469389701</v>
      </c>
      <c r="AJ107" s="8">
        <f t="shared" si="17"/>
        <v>-0.42220564773503833</v>
      </c>
      <c r="AK107" s="8">
        <f t="shared" si="18"/>
        <v>0.49608565808798055</v>
      </c>
      <c r="AL107" s="8">
        <f t="shared" si="19"/>
        <v>-4.3727406359853886E-2</v>
      </c>
    </row>
    <row r="108" spans="1:38">
      <c r="A108" t="s">
        <v>371</v>
      </c>
      <c r="B108" t="s">
        <v>372</v>
      </c>
      <c r="C108" t="s">
        <v>42</v>
      </c>
      <c r="D108">
        <v>10</v>
      </c>
      <c r="E108" t="s">
        <v>373</v>
      </c>
      <c r="F108">
        <v>-333.322</v>
      </c>
      <c r="G108">
        <v>-302.06400000000002</v>
      </c>
      <c r="H108">
        <v>193.82499999999999</v>
      </c>
      <c r="I108">
        <v>-307.87599999999998</v>
      </c>
      <c r="J108">
        <v>1279.059</v>
      </c>
      <c r="K108">
        <v>254.32400000000001</v>
      </c>
      <c r="L108">
        <v>1755.2670000000001</v>
      </c>
      <c r="M108">
        <v>-476.20800000000003</v>
      </c>
      <c r="N108">
        <v>-302.06599999999997</v>
      </c>
      <c r="O108">
        <v>226.76499999999999</v>
      </c>
      <c r="P108">
        <v>0</v>
      </c>
      <c r="Q108">
        <v>2E-3</v>
      </c>
      <c r="R108">
        <v>1678.0550000000001</v>
      </c>
      <c r="S108">
        <v>1755.2670000000001</v>
      </c>
      <c r="T108">
        <v>1507.2149999999999</v>
      </c>
      <c r="U108">
        <v>1792.489</v>
      </c>
      <c r="V108">
        <v>2094.279</v>
      </c>
      <c r="W108">
        <v>2179.4540000000002</v>
      </c>
      <c r="X108">
        <v>-0.20426813692804299</v>
      </c>
      <c r="Y108">
        <v>3</v>
      </c>
      <c r="Z108" t="s">
        <v>44</v>
      </c>
      <c r="AA108" t="s">
        <v>33</v>
      </c>
      <c r="AB108" t="s">
        <v>34</v>
      </c>
      <c r="AC108" s="7">
        <f t="shared" si="10"/>
        <v>-0.20203145494262517</v>
      </c>
      <c r="AD108" s="8">
        <f t="shared" si="11"/>
        <v>-1.5584367341674192</v>
      </c>
      <c r="AE108" s="9">
        <f t="shared" si="12"/>
        <v>1.1650523894933245E-6</v>
      </c>
      <c r="AF108" s="8">
        <f t="shared" si="13"/>
        <v>-0.31595226958330436</v>
      </c>
      <c r="AG108" s="8">
        <f t="shared" si="14"/>
        <v>0.85868132882347803</v>
      </c>
      <c r="AH108" s="8">
        <f t="shared" si="15"/>
        <v>1.1645763875757607</v>
      </c>
      <c r="AI108" s="8">
        <f t="shared" si="16"/>
        <v>0.72869768530941448</v>
      </c>
      <c r="AJ108" s="8">
        <f t="shared" si="17"/>
        <v>-0.20426813692804277</v>
      </c>
      <c r="AK108" s="8">
        <f t="shared" si="18"/>
        <v>0.72869768530941448</v>
      </c>
      <c r="AL108" s="8">
        <f t="shared" si="19"/>
        <v>-0.40701752175519934</v>
      </c>
    </row>
    <row r="109" spans="1:38">
      <c r="A109" t="s">
        <v>374</v>
      </c>
      <c r="B109" t="s">
        <v>375</v>
      </c>
      <c r="C109" t="s">
        <v>65</v>
      </c>
      <c r="D109">
        <v>16</v>
      </c>
      <c r="E109" t="s">
        <v>376</v>
      </c>
      <c r="F109">
        <v>4.7489999999999997</v>
      </c>
      <c r="G109">
        <v>102.815</v>
      </c>
      <c r="H109">
        <v>1660.867</v>
      </c>
      <c r="I109">
        <v>141.27799999999999</v>
      </c>
      <c r="J109">
        <v>1376.01</v>
      </c>
      <c r="K109">
        <v>8.0589999999999993</v>
      </c>
      <c r="L109">
        <v>1203.548</v>
      </c>
      <c r="M109">
        <v>172.46199999999999</v>
      </c>
      <c r="N109">
        <v>37.625999999999998</v>
      </c>
      <c r="O109">
        <v>92.424000000000007</v>
      </c>
      <c r="P109">
        <v>74.399000000000001</v>
      </c>
      <c r="Q109">
        <v>27.922000000000001</v>
      </c>
      <c r="R109">
        <v>836.11300000000006</v>
      </c>
      <c r="S109">
        <v>1277.9469999999999</v>
      </c>
      <c r="T109">
        <v>1497.9570000000001</v>
      </c>
      <c r="U109">
        <v>1028.3489999999999</v>
      </c>
      <c r="V109">
        <v>764.79700000000003</v>
      </c>
      <c r="W109">
        <v>645.78499999999997</v>
      </c>
      <c r="X109">
        <v>9.4313788713561206E-2</v>
      </c>
      <c r="Y109">
        <v>3</v>
      </c>
      <c r="Z109" t="s">
        <v>62</v>
      </c>
      <c r="AA109" t="s">
        <v>33</v>
      </c>
      <c r="AB109" t="s">
        <v>34</v>
      </c>
      <c r="AC109" s="7">
        <f t="shared" si="10"/>
        <v>3.759639568603328E-3</v>
      </c>
      <c r="AD109" s="8">
        <f t="shared" si="11"/>
        <v>6.1904414983258743E-2</v>
      </c>
      <c r="AE109" s="9">
        <f t="shared" si="12"/>
        <v>2.6415522738238273E-2</v>
      </c>
      <c r="AF109" s="8">
        <f t="shared" si="13"/>
        <v>0.11513147573661993</v>
      </c>
      <c r="AG109" s="8">
        <f t="shared" si="14"/>
        <v>1.1721589392987348</v>
      </c>
      <c r="AH109" s="8">
        <f t="shared" si="15"/>
        <v>0.80345964537032766</v>
      </c>
      <c r="AI109" s="8">
        <f t="shared" si="16"/>
        <v>1.1432946587921711</v>
      </c>
      <c r="AJ109" s="8">
        <f t="shared" si="17"/>
        <v>9.4313788713561192E-2</v>
      </c>
      <c r="AK109" s="8">
        <f t="shared" si="18"/>
        <v>1.0767347941659553</v>
      </c>
      <c r="AL109" s="8">
        <f t="shared" si="19"/>
        <v>9.6303359580661247</v>
      </c>
    </row>
    <row r="110" spans="1:38">
      <c r="A110" t="s">
        <v>377</v>
      </c>
      <c r="B110" t="s">
        <v>378</v>
      </c>
      <c r="C110" t="s">
        <v>86</v>
      </c>
      <c r="D110">
        <v>11</v>
      </c>
      <c r="E110" t="s">
        <v>379</v>
      </c>
      <c r="F110">
        <v>-316.55799999999999</v>
      </c>
      <c r="G110">
        <v>-301.31900000000002</v>
      </c>
      <c r="H110">
        <v>613.38800000000003</v>
      </c>
      <c r="I110">
        <v>-103.245</v>
      </c>
      <c r="J110">
        <v>648.72400000000005</v>
      </c>
      <c r="K110">
        <v>14.526999999999999</v>
      </c>
      <c r="L110">
        <v>978.35199999999998</v>
      </c>
      <c r="M110">
        <v>-329.62799999999999</v>
      </c>
      <c r="N110">
        <v>-316.55799999999999</v>
      </c>
      <c r="O110">
        <v>765.69299999999998</v>
      </c>
      <c r="P110">
        <v>513.73099999999999</v>
      </c>
      <c r="Q110">
        <v>15.239000000000001</v>
      </c>
      <c r="R110">
        <v>1738.31</v>
      </c>
      <c r="S110">
        <v>1492.0830000000001</v>
      </c>
      <c r="T110">
        <v>1442.4190000000001</v>
      </c>
      <c r="U110">
        <v>1969.201</v>
      </c>
      <c r="V110">
        <v>2048.578</v>
      </c>
      <c r="W110">
        <v>1976.33</v>
      </c>
      <c r="X110">
        <v>-7.1577676112142205E-2</v>
      </c>
      <c r="Y110">
        <v>3</v>
      </c>
      <c r="Z110" t="s">
        <v>57</v>
      </c>
      <c r="AA110" t="s">
        <v>33</v>
      </c>
      <c r="AB110" t="s">
        <v>34</v>
      </c>
      <c r="AC110" s="7">
        <f t="shared" si="10"/>
        <v>-0.18557635375569378</v>
      </c>
      <c r="AD110" s="8">
        <f t="shared" si="11"/>
        <v>-0.49123719407618016</v>
      </c>
      <c r="AE110" s="9">
        <f t="shared" si="12"/>
        <v>9.4347653675574458E-3</v>
      </c>
      <c r="AF110" s="8">
        <f t="shared" si="13"/>
        <v>-0.22852444400690783</v>
      </c>
      <c r="AG110" s="8">
        <f t="shared" si="14"/>
        <v>0.96671498837531156</v>
      </c>
      <c r="AH110" s="8">
        <f t="shared" si="15"/>
        <v>0.67827170884465604</v>
      </c>
      <c r="AI110" s="8">
        <f t="shared" si="16"/>
        <v>0.66307831945966289</v>
      </c>
      <c r="AJ110" s="8">
        <f t="shared" si="17"/>
        <v>-7.1577676112142177E-2</v>
      </c>
      <c r="AK110" s="8">
        <f t="shared" si="18"/>
        <v>0.43477742189945195</v>
      </c>
      <c r="AL110" s="8">
        <f t="shared" si="19"/>
        <v>-1.8608491997039089</v>
      </c>
    </row>
    <row r="111" spans="1:38">
      <c r="A111" t="s">
        <v>380</v>
      </c>
      <c r="B111" t="s">
        <v>381</v>
      </c>
      <c r="C111" t="s">
        <v>69</v>
      </c>
      <c r="D111">
        <v>0</v>
      </c>
      <c r="E111" t="s">
        <v>382</v>
      </c>
      <c r="F111">
        <v>0.98699999999999999</v>
      </c>
      <c r="G111">
        <v>2.3570000000000002</v>
      </c>
      <c r="H111">
        <v>23</v>
      </c>
      <c r="I111">
        <v>-37.546999999999997</v>
      </c>
      <c r="J111">
        <v>857.09400000000005</v>
      </c>
      <c r="K111">
        <v>0</v>
      </c>
      <c r="L111">
        <v>1382.5170000000001</v>
      </c>
      <c r="M111">
        <v>-525.423</v>
      </c>
      <c r="N111">
        <v>0.98699999999999999</v>
      </c>
      <c r="O111">
        <v>393.75</v>
      </c>
      <c r="P111">
        <v>49.938000000000002</v>
      </c>
      <c r="Q111">
        <v>0</v>
      </c>
      <c r="R111">
        <v>1413.7349999999999</v>
      </c>
      <c r="S111">
        <v>1432.4549999999999</v>
      </c>
      <c r="T111">
        <v>1394.9079999999999</v>
      </c>
      <c r="U111">
        <v>1375.2</v>
      </c>
      <c r="V111">
        <v>1249.5889999999999</v>
      </c>
      <c r="W111">
        <v>1153.154</v>
      </c>
      <c r="X111">
        <v>-2.69171873700631E-2</v>
      </c>
      <c r="Y111">
        <v>3</v>
      </c>
      <c r="Z111" t="s">
        <v>39</v>
      </c>
      <c r="AA111" t="s">
        <v>33</v>
      </c>
      <c r="AB111" t="s">
        <v>34</v>
      </c>
      <c r="AC111" s="7">
        <f t="shared" si="10"/>
        <v>7.1260759508293538E-4</v>
      </c>
      <c r="AD111" s="8">
        <f t="shared" si="11"/>
        <v>0.10247826086956523</v>
      </c>
      <c r="AE111" s="9">
        <f t="shared" si="12"/>
        <v>0</v>
      </c>
      <c r="AF111" s="8">
        <f t="shared" si="13"/>
        <v>-0.37667215328896247</v>
      </c>
      <c r="AG111" s="8">
        <f t="shared" si="14"/>
        <v>0.97378835635325367</v>
      </c>
      <c r="AH111" s="8">
        <f t="shared" si="15"/>
        <v>0.99111697689023226</v>
      </c>
      <c r="AI111" s="8">
        <f t="shared" si="16"/>
        <v>0.61995187039291377</v>
      </c>
      <c r="AJ111" s="8">
        <f t="shared" si="17"/>
        <v>-2.6917187370063114E-2</v>
      </c>
      <c r="AK111" s="8">
        <f t="shared" si="18"/>
        <v>0.59833921484444541</v>
      </c>
      <c r="AL111" s="8">
        <f t="shared" si="19"/>
        <v>-4.3774254267513982E-2</v>
      </c>
    </row>
    <row r="112" spans="1:38">
      <c r="A112" t="s">
        <v>383</v>
      </c>
      <c r="B112" t="s">
        <v>384</v>
      </c>
      <c r="C112" t="s">
        <v>65</v>
      </c>
      <c r="D112">
        <v>0</v>
      </c>
      <c r="E112" t="s">
        <v>385</v>
      </c>
      <c r="F112">
        <v>-22.126000000000001</v>
      </c>
      <c r="G112">
        <v>-5.2960000000000003</v>
      </c>
      <c r="H112">
        <v>12.462</v>
      </c>
      <c r="I112">
        <v>37.482999999999997</v>
      </c>
      <c r="J112">
        <v>620.89599999999996</v>
      </c>
      <c r="K112">
        <v>554.34500000000003</v>
      </c>
      <c r="L112">
        <v>1324.796</v>
      </c>
      <c r="M112">
        <v>-703.9</v>
      </c>
      <c r="N112">
        <v>-19.628</v>
      </c>
      <c r="O112">
        <v>741.38300000000004</v>
      </c>
      <c r="P112">
        <v>0</v>
      </c>
      <c r="Q112">
        <v>12.202</v>
      </c>
      <c r="R112">
        <v>1350.396</v>
      </c>
      <c r="S112">
        <v>1324.796</v>
      </c>
      <c r="T112">
        <v>1362.279</v>
      </c>
      <c r="U112">
        <v>1410.0039999999999</v>
      </c>
      <c r="V112">
        <v>1252.442</v>
      </c>
      <c r="W112">
        <v>1257.0619999999999</v>
      </c>
      <c r="X112">
        <v>2.7514921686379999E-2</v>
      </c>
      <c r="Y112">
        <v>3</v>
      </c>
      <c r="Z112" t="s">
        <v>62</v>
      </c>
      <c r="AA112" t="s">
        <v>33</v>
      </c>
      <c r="AB112" t="s">
        <v>34</v>
      </c>
      <c r="AC112" s="7">
        <f t="shared" si="10"/>
        <v>-1.5962295335649357E-2</v>
      </c>
      <c r="AD112" s="8">
        <f t="shared" si="11"/>
        <v>-0.4249719146204462</v>
      </c>
      <c r="AE112" s="9">
        <f t="shared" si="12"/>
        <v>9.1223358921527879E-3</v>
      </c>
      <c r="AF112" s="8">
        <f t="shared" si="13"/>
        <v>-0.51670766414222047</v>
      </c>
      <c r="AG112" s="8">
        <f t="shared" si="14"/>
        <v>1.0282934127216568</v>
      </c>
      <c r="AH112" s="8">
        <f t="shared" si="15"/>
        <v>0.97248507831362008</v>
      </c>
      <c r="AI112" s="8">
        <f t="shared" si="16"/>
        <v>0.46867291265976041</v>
      </c>
      <c r="AJ112" s="8">
        <f t="shared" si="17"/>
        <v>2.7514921686379954E-2</v>
      </c>
      <c r="AK112" s="8">
        <f t="shared" si="18"/>
        <v>0.46867291265976041</v>
      </c>
      <c r="AL112" s="8">
        <f t="shared" si="19"/>
        <v>-1.7704219349339394E-2</v>
      </c>
    </row>
    <row r="113" spans="1:38">
      <c r="A113" t="s">
        <v>386</v>
      </c>
      <c r="B113" t="s">
        <v>387</v>
      </c>
      <c r="C113" t="s">
        <v>131</v>
      </c>
      <c r="D113">
        <v>24</v>
      </c>
      <c r="E113" t="s">
        <v>388</v>
      </c>
      <c r="F113">
        <v>-1589.454</v>
      </c>
      <c r="G113">
        <v>-1451.165</v>
      </c>
      <c r="H113">
        <v>2139.681</v>
      </c>
      <c r="I113">
        <v>-1535.3420000000001</v>
      </c>
      <c r="J113">
        <v>898.70600000000002</v>
      </c>
      <c r="K113">
        <v>242.03899999999999</v>
      </c>
      <c r="L113">
        <v>2539.9409999999998</v>
      </c>
      <c r="M113">
        <v>-1641.2349999999999</v>
      </c>
      <c r="N113">
        <v>-1516.3130000000001</v>
      </c>
      <c r="O113">
        <v>438.70299999999997</v>
      </c>
      <c r="P113">
        <v>207.81100000000001</v>
      </c>
      <c r="Q113">
        <v>64.605000000000004</v>
      </c>
      <c r="R113">
        <v>3217.663</v>
      </c>
      <c r="S113">
        <v>2747.752</v>
      </c>
      <c r="T113">
        <v>1340.5920000000001</v>
      </c>
      <c r="U113">
        <v>3498.703</v>
      </c>
      <c r="V113">
        <v>3160.1060000000002</v>
      </c>
      <c r="W113">
        <v>2851.35</v>
      </c>
      <c r="X113">
        <v>-1.14527164118539</v>
      </c>
      <c r="Y113">
        <v>3</v>
      </c>
      <c r="Z113" t="s">
        <v>32</v>
      </c>
      <c r="AA113" t="s">
        <v>33</v>
      </c>
      <c r="AB113" t="s">
        <v>34</v>
      </c>
      <c r="AC113" s="7">
        <f t="shared" si="10"/>
        <v>-0.65689485761872335</v>
      </c>
      <c r="AD113" s="8">
        <f t="shared" si="11"/>
        <v>-0.67821558447263863</v>
      </c>
      <c r="AE113" s="9">
        <f t="shared" si="12"/>
        <v>2.1659850991087796E-2</v>
      </c>
      <c r="AF113" s="8">
        <f t="shared" si="13"/>
        <v>-1.2242613710957546</v>
      </c>
      <c r="AG113" s="8">
        <f t="shared" si="14"/>
        <v>0.48788682530301136</v>
      </c>
      <c r="AH113" s="8">
        <f t="shared" si="15"/>
        <v>1.89464132263955</v>
      </c>
      <c r="AI113" s="8">
        <f t="shared" si="16"/>
        <v>0.35382947871623793</v>
      </c>
      <c r="AJ113" s="8">
        <f t="shared" si="17"/>
        <v>-1.1452716411853867</v>
      </c>
      <c r="AK113" s="8">
        <f t="shared" si="18"/>
        <v>0.32706954630548901</v>
      </c>
      <c r="AL113" s="8">
        <f t="shared" si="19"/>
        <v>-1.303701785545641</v>
      </c>
    </row>
    <row r="114" spans="1:38">
      <c r="A114" t="s">
        <v>389</v>
      </c>
      <c r="B114" t="s">
        <v>390</v>
      </c>
      <c r="C114" t="s">
        <v>124</v>
      </c>
      <c r="D114">
        <v>5</v>
      </c>
      <c r="E114" t="s">
        <v>391</v>
      </c>
      <c r="F114">
        <v>-60.985999999999997</v>
      </c>
      <c r="G114">
        <v>-30.757000000000001</v>
      </c>
      <c r="H114">
        <v>1594.944</v>
      </c>
      <c r="I114">
        <v>64.727000000000004</v>
      </c>
      <c r="J114">
        <v>953.75900000000001</v>
      </c>
      <c r="K114">
        <v>0</v>
      </c>
      <c r="L114">
        <v>1226.3979999999999</v>
      </c>
      <c r="M114">
        <v>-272.63900000000001</v>
      </c>
      <c r="N114">
        <v>-44.093000000000004</v>
      </c>
      <c r="O114">
        <v>355.33699999999999</v>
      </c>
      <c r="P114">
        <v>0</v>
      </c>
      <c r="Q114">
        <v>13.336</v>
      </c>
      <c r="R114">
        <v>1165.7380000000001</v>
      </c>
      <c r="S114">
        <v>1226.3979999999999</v>
      </c>
      <c r="T114">
        <v>1317.5719999999999</v>
      </c>
      <c r="U114">
        <v>1309.335</v>
      </c>
      <c r="V114">
        <v>88.281999999999996</v>
      </c>
      <c r="W114">
        <v>87.069000000000003</v>
      </c>
      <c r="X114">
        <v>4.9125968068538202E-2</v>
      </c>
      <c r="Y114">
        <v>3</v>
      </c>
      <c r="Z114" t="s">
        <v>62</v>
      </c>
      <c r="AA114" t="s">
        <v>33</v>
      </c>
      <c r="AB114" t="s">
        <v>34</v>
      </c>
      <c r="AC114" s="7">
        <f t="shared" si="10"/>
        <v>-4.6431792217996294E-2</v>
      </c>
      <c r="AD114" s="8">
        <f t="shared" si="11"/>
        <v>-1.9284062637935879E-2</v>
      </c>
      <c r="AE114" s="9">
        <f t="shared" si="12"/>
        <v>1.114986773327269E-2</v>
      </c>
      <c r="AF114" s="8">
        <f t="shared" si="13"/>
        <v>-0.20692531413843041</v>
      </c>
      <c r="AG114" s="8">
        <f t="shared" si="14"/>
        <v>1.0743429131489124</v>
      </c>
      <c r="AH114" s="8">
        <f t="shared" si="15"/>
        <v>0.93080150458570765</v>
      </c>
      <c r="AI114" s="8">
        <f t="shared" si="16"/>
        <v>0.77769125520426496</v>
      </c>
      <c r="AJ114" s="8">
        <f t="shared" si="17"/>
        <v>4.9125968068538195E-2</v>
      </c>
      <c r="AK114" s="8">
        <f t="shared" si="18"/>
        <v>0.77769125520426496</v>
      </c>
      <c r="AL114" s="8">
        <f t="shared" si="19"/>
        <v>-5.8500214569448978</v>
      </c>
    </row>
    <row r="115" spans="1:38">
      <c r="A115" t="s">
        <v>392</v>
      </c>
      <c r="B115" t="s">
        <v>393</v>
      </c>
      <c r="C115" t="s">
        <v>55</v>
      </c>
      <c r="D115">
        <v>58</v>
      </c>
      <c r="E115" t="s">
        <v>394</v>
      </c>
      <c r="F115">
        <v>78.94</v>
      </c>
      <c r="G115">
        <v>144.12700000000001</v>
      </c>
      <c r="H115">
        <v>1730.3230000000001</v>
      </c>
      <c r="I115">
        <v>247.79400000000001</v>
      </c>
      <c r="J115">
        <v>1059.1420000000001</v>
      </c>
      <c r="K115">
        <v>62.68</v>
      </c>
      <c r="L115">
        <v>982.16800000000001</v>
      </c>
      <c r="M115">
        <v>76.974000000000004</v>
      </c>
      <c r="N115">
        <v>78.94</v>
      </c>
      <c r="O115">
        <v>224.67599999999999</v>
      </c>
      <c r="P115">
        <v>0</v>
      </c>
      <c r="Q115">
        <v>13.714</v>
      </c>
      <c r="R115">
        <v>514.45699999999999</v>
      </c>
      <c r="S115">
        <v>982.16800000000001</v>
      </c>
      <c r="T115">
        <v>1283.818</v>
      </c>
      <c r="U115">
        <v>703.50199999999995</v>
      </c>
      <c r="V115">
        <v>331.892</v>
      </c>
      <c r="W115">
        <v>417.99</v>
      </c>
      <c r="X115">
        <v>0.19301333989708799</v>
      </c>
      <c r="Y115">
        <v>3</v>
      </c>
      <c r="Z115" t="s">
        <v>57</v>
      </c>
      <c r="AA115" t="s">
        <v>33</v>
      </c>
      <c r="AB115" t="s">
        <v>34</v>
      </c>
      <c r="AC115" s="7">
        <f t="shared" si="10"/>
        <v>7.9443672886097855E-2</v>
      </c>
      <c r="AD115" s="8">
        <f t="shared" si="11"/>
        <v>8.3294853041888717E-2</v>
      </c>
      <c r="AE115" s="9">
        <f t="shared" si="12"/>
        <v>1.8326568111584399E-2</v>
      </c>
      <c r="AF115" s="8">
        <f t="shared" si="13"/>
        <v>5.9957096722432622E-2</v>
      </c>
      <c r="AG115" s="8">
        <f t="shared" si="14"/>
        <v>1.3071266830114603</v>
      </c>
      <c r="AH115" s="8">
        <f t="shared" si="15"/>
        <v>0.76503678870369474</v>
      </c>
      <c r="AI115" s="8">
        <f t="shared" si="16"/>
        <v>1.0783715209617908</v>
      </c>
      <c r="AJ115" s="8">
        <f t="shared" si="17"/>
        <v>0.19301333989708822</v>
      </c>
      <c r="AK115" s="8">
        <f t="shared" si="18"/>
        <v>1.0783715209617908</v>
      </c>
      <c r="AL115" s="8">
        <f t="shared" si="19"/>
        <v>22.479317691688102</v>
      </c>
    </row>
    <row r="116" spans="1:38">
      <c r="A116" t="s">
        <v>395</v>
      </c>
      <c r="B116" t="s">
        <v>396</v>
      </c>
      <c r="C116" t="s">
        <v>47</v>
      </c>
      <c r="D116">
        <v>17</v>
      </c>
      <c r="E116" t="s">
        <v>397</v>
      </c>
      <c r="F116">
        <v>11.965999999999999</v>
      </c>
      <c r="G116">
        <v>77.093999999999994</v>
      </c>
      <c r="H116">
        <v>2200.9780000000001</v>
      </c>
      <c r="I116">
        <v>189.114</v>
      </c>
      <c r="J116">
        <v>998.02700000000004</v>
      </c>
      <c r="K116">
        <v>40</v>
      </c>
      <c r="L116">
        <v>886.51599999999996</v>
      </c>
      <c r="M116">
        <v>111.511</v>
      </c>
      <c r="N116">
        <v>11.965999999999999</v>
      </c>
      <c r="O116">
        <v>245.92099999999999</v>
      </c>
      <c r="P116">
        <v>148.429</v>
      </c>
      <c r="Q116">
        <v>28.408000000000001</v>
      </c>
      <c r="R116">
        <v>1283.615</v>
      </c>
      <c r="S116">
        <v>1034.9449999999999</v>
      </c>
      <c r="T116">
        <v>1249.1679999999999</v>
      </c>
      <c r="U116">
        <v>1465.2840000000001</v>
      </c>
      <c r="V116">
        <v>1390.252</v>
      </c>
      <c r="W116">
        <v>789.10599999999999</v>
      </c>
      <c r="X116">
        <v>0.15139196649289799</v>
      </c>
      <c r="Y116">
        <v>3</v>
      </c>
      <c r="Z116" t="s">
        <v>32</v>
      </c>
      <c r="AA116" t="s">
        <v>33</v>
      </c>
      <c r="AB116" t="s">
        <v>34</v>
      </c>
      <c r="AC116" s="7">
        <f t="shared" si="10"/>
        <v>8.816512504181322E-3</v>
      </c>
      <c r="AD116" s="8">
        <f t="shared" si="11"/>
        <v>3.502715610969305E-2</v>
      </c>
      <c r="AE116" s="9">
        <f t="shared" si="12"/>
        <v>2.4504865088675731E-2</v>
      </c>
      <c r="AF116" s="8">
        <f t="shared" si="13"/>
        <v>8.9268216925185412E-2</v>
      </c>
      <c r="AG116" s="8">
        <f t="shared" si="14"/>
        <v>1.2069897434163168</v>
      </c>
      <c r="AH116" s="8">
        <f t="shared" si="15"/>
        <v>0.70968516644678703</v>
      </c>
      <c r="AI116" s="8">
        <f t="shared" si="16"/>
        <v>1.1257856598188867</v>
      </c>
      <c r="AJ116" s="8">
        <f t="shared" si="17"/>
        <v>0.15139196649289768</v>
      </c>
      <c r="AK116" s="8">
        <f t="shared" si="18"/>
        <v>0.9643285391977352</v>
      </c>
      <c r="AL116" s="8">
        <f t="shared" si="19"/>
        <v>19.737765780954348</v>
      </c>
    </row>
    <row r="117" spans="1:38">
      <c r="A117" t="s">
        <v>398</v>
      </c>
      <c r="B117" t="s">
        <v>399</v>
      </c>
      <c r="C117" t="s">
        <v>120</v>
      </c>
      <c r="D117">
        <v>15</v>
      </c>
      <c r="E117" t="s">
        <v>400</v>
      </c>
      <c r="F117">
        <v>-1429.1690000000001</v>
      </c>
      <c r="G117">
        <v>-1376.203</v>
      </c>
      <c r="H117">
        <v>778.01700000000005</v>
      </c>
      <c r="I117">
        <v>-1368.6980000000001</v>
      </c>
      <c r="J117">
        <v>1190.0530000000001</v>
      </c>
      <c r="K117">
        <v>69.153999999999996</v>
      </c>
      <c r="L117">
        <v>2167.0419999999999</v>
      </c>
      <c r="M117">
        <v>-976.98900000000003</v>
      </c>
      <c r="N117">
        <v>-1409.7950000000001</v>
      </c>
      <c r="O117">
        <v>43.484999999999999</v>
      </c>
      <c r="P117">
        <v>284.83</v>
      </c>
      <c r="Q117">
        <v>33.591999999999999</v>
      </c>
      <c r="R117">
        <v>2327.9270000000001</v>
      </c>
      <c r="S117">
        <v>2451.8719999999998</v>
      </c>
      <c r="T117">
        <v>1235.722</v>
      </c>
      <c r="U117">
        <v>2522.1849999999999</v>
      </c>
      <c r="V117">
        <v>2247.3029999999999</v>
      </c>
      <c r="W117">
        <v>1807.1859999999999</v>
      </c>
      <c r="X117">
        <v>-1.1076099640534001</v>
      </c>
      <c r="Y117">
        <v>3</v>
      </c>
      <c r="Z117" t="s">
        <v>44</v>
      </c>
      <c r="AA117" t="s">
        <v>33</v>
      </c>
      <c r="AB117" t="s">
        <v>34</v>
      </c>
      <c r="AC117" s="7">
        <f t="shared" si="10"/>
        <v>-0.76061967472851244</v>
      </c>
      <c r="AD117" s="8">
        <f t="shared" si="11"/>
        <v>-1.7688598064052583</v>
      </c>
      <c r="AE117" s="9">
        <f t="shared" si="12"/>
        <v>1.4055821175744001E-2</v>
      </c>
      <c r="AF117" s="8">
        <f t="shared" si="13"/>
        <v>-0.79062200074126709</v>
      </c>
      <c r="AG117" s="8">
        <f t="shared" si="14"/>
        <v>0.50399123608410235</v>
      </c>
      <c r="AH117" s="8">
        <f t="shared" si="15"/>
        <v>1.7536646592032836</v>
      </c>
      <c r="AI117" s="8">
        <f t="shared" si="16"/>
        <v>0.54916009934279086</v>
      </c>
      <c r="AJ117" s="8">
        <f t="shared" si="17"/>
        <v>-1.1076099640534036</v>
      </c>
      <c r="AK117" s="8">
        <f t="shared" si="18"/>
        <v>0.48536505983999173</v>
      </c>
      <c r="AL117" s="8">
        <f t="shared" si="19"/>
        <v>-0.79634161694758077</v>
      </c>
    </row>
    <row r="118" spans="1:38">
      <c r="A118" t="s">
        <v>401</v>
      </c>
      <c r="B118" t="s">
        <v>402</v>
      </c>
      <c r="C118" t="s">
        <v>42</v>
      </c>
      <c r="D118">
        <v>0</v>
      </c>
      <c r="E118" t="s">
        <v>403</v>
      </c>
      <c r="F118">
        <v>-80.745999999999995</v>
      </c>
      <c r="G118">
        <v>5.859</v>
      </c>
      <c r="H118">
        <v>12.5</v>
      </c>
      <c r="I118">
        <v>1092.3040000000001</v>
      </c>
      <c r="J118">
        <v>142.768</v>
      </c>
      <c r="K118">
        <v>0</v>
      </c>
      <c r="L118">
        <v>29.094000000000001</v>
      </c>
      <c r="M118">
        <v>113.67400000000001</v>
      </c>
      <c r="N118">
        <v>4.2539999999999996</v>
      </c>
      <c r="O118">
        <v>1089.932</v>
      </c>
      <c r="P118">
        <v>111.333</v>
      </c>
      <c r="Q118">
        <v>1.619</v>
      </c>
      <c r="R118">
        <v>136.274</v>
      </c>
      <c r="S118">
        <v>140.42699999999999</v>
      </c>
      <c r="T118">
        <v>1232.731</v>
      </c>
      <c r="U118">
        <v>1312.405</v>
      </c>
      <c r="V118">
        <v>1287.0609999999999</v>
      </c>
      <c r="W118">
        <v>1278.971</v>
      </c>
      <c r="X118">
        <v>0.88608463646975699</v>
      </c>
      <c r="Y118">
        <v>3</v>
      </c>
      <c r="Z118" t="s">
        <v>44</v>
      </c>
      <c r="AA118" t="s">
        <v>33</v>
      </c>
      <c r="AB118" t="s">
        <v>34</v>
      </c>
      <c r="AC118" s="7">
        <f t="shared" si="10"/>
        <v>-6.3451226182019344E-2</v>
      </c>
      <c r="AD118" s="8">
        <f t="shared" si="11"/>
        <v>0.46872000000000003</v>
      </c>
      <c r="AE118" s="9">
        <f t="shared" si="12"/>
        <v>1.1702162261791608E-2</v>
      </c>
      <c r="AF118" s="8">
        <f t="shared" si="13"/>
        <v>9.2213143013358145E-2</v>
      </c>
      <c r="AG118" s="8">
        <f t="shared" si="14"/>
        <v>8.7784471647190365</v>
      </c>
      <c r="AH118" s="8">
        <f t="shared" si="15"/>
        <v>2.3601256072898306E-2</v>
      </c>
      <c r="AI118" s="8">
        <f t="shared" si="16"/>
        <v>4.9071286175843811</v>
      </c>
      <c r="AJ118" s="8">
        <f t="shared" si="17"/>
        <v>0.8860846364697571</v>
      </c>
      <c r="AK118" s="8">
        <f t="shared" si="18"/>
        <v>1.0166705832923868</v>
      </c>
      <c r="AL118" s="8">
        <f t="shared" si="19"/>
        <v>0.10996358006228336</v>
      </c>
    </row>
    <row r="119" spans="1:38">
      <c r="A119" t="s">
        <v>404</v>
      </c>
      <c r="B119" t="s">
        <v>405</v>
      </c>
      <c r="C119" t="s">
        <v>131</v>
      </c>
      <c r="D119">
        <v>5</v>
      </c>
      <c r="E119" t="s">
        <v>406</v>
      </c>
      <c r="F119">
        <v>-264.70499999999998</v>
      </c>
      <c r="G119">
        <v>-334.238</v>
      </c>
      <c r="H119">
        <v>1269.0440000000001</v>
      </c>
      <c r="I119">
        <v>-121.08</v>
      </c>
      <c r="J119">
        <v>1130.5</v>
      </c>
      <c r="K119">
        <v>548.5</v>
      </c>
      <c r="L119">
        <v>1025.73</v>
      </c>
      <c r="M119">
        <v>104.77</v>
      </c>
      <c r="N119">
        <v>-261.34399999999999</v>
      </c>
      <c r="O119">
        <v>33.548999999999999</v>
      </c>
      <c r="P119">
        <v>202.48400000000001</v>
      </c>
      <c r="Q119">
        <v>7.6289999999999996</v>
      </c>
      <c r="R119">
        <v>897.68399999999997</v>
      </c>
      <c r="S119">
        <v>1228.2139999999999</v>
      </c>
      <c r="T119">
        <v>1167.405</v>
      </c>
      <c r="U119">
        <v>1091.4760000000001</v>
      </c>
      <c r="V119">
        <v>859.99199999999996</v>
      </c>
      <c r="W119">
        <v>1729.383</v>
      </c>
      <c r="X119">
        <v>-0.103717218960001</v>
      </c>
      <c r="Y119">
        <v>3</v>
      </c>
      <c r="Z119" t="s">
        <v>32</v>
      </c>
      <c r="AA119" t="s">
        <v>33</v>
      </c>
      <c r="AB119" t="s">
        <v>34</v>
      </c>
      <c r="AC119" s="7">
        <f t="shared" si="10"/>
        <v>-0.23436825578682538</v>
      </c>
      <c r="AD119" s="8">
        <f t="shared" si="11"/>
        <v>-0.26337778674340684</v>
      </c>
      <c r="AE119" s="9">
        <f t="shared" si="12"/>
        <v>7.177202292866355E-3</v>
      </c>
      <c r="AF119" s="8">
        <f t="shared" si="13"/>
        <v>8.9746060707295239E-2</v>
      </c>
      <c r="AG119" s="8">
        <f t="shared" si="14"/>
        <v>0.9504898983401916</v>
      </c>
      <c r="AH119" s="8">
        <f t="shared" si="15"/>
        <v>0.87864108856823475</v>
      </c>
      <c r="AI119" s="8">
        <f t="shared" si="16"/>
        <v>1.1021418891911126</v>
      </c>
      <c r="AJ119" s="8">
        <f t="shared" si="17"/>
        <v>-0.10371721896000102</v>
      </c>
      <c r="AK119" s="8">
        <f t="shared" si="18"/>
        <v>0.92044220306884639</v>
      </c>
      <c r="AL119" s="8">
        <f t="shared" si="19"/>
        <v>12.112665839457861</v>
      </c>
    </row>
    <row r="120" spans="1:38">
      <c r="A120" t="s">
        <v>407</v>
      </c>
      <c r="B120" t="s">
        <v>408</v>
      </c>
      <c r="C120" t="s">
        <v>42</v>
      </c>
      <c r="D120">
        <v>8</v>
      </c>
      <c r="E120" t="s">
        <v>409</v>
      </c>
      <c r="F120">
        <v>-12.029</v>
      </c>
      <c r="G120">
        <v>29.041</v>
      </c>
      <c r="H120">
        <v>319.5</v>
      </c>
      <c r="I120">
        <v>267.49900000000002</v>
      </c>
      <c r="J120">
        <v>577.95399999999995</v>
      </c>
      <c r="K120">
        <v>5.2480000000000002</v>
      </c>
      <c r="L120">
        <v>660.63</v>
      </c>
      <c r="M120">
        <v>-82.676000000000002</v>
      </c>
      <c r="N120">
        <v>9.1080000000000005</v>
      </c>
      <c r="O120">
        <v>467.60599999999999</v>
      </c>
      <c r="P120">
        <v>229.96600000000001</v>
      </c>
      <c r="Q120">
        <v>16.768999999999998</v>
      </c>
      <c r="R120">
        <v>997.89700000000005</v>
      </c>
      <c r="S120">
        <v>890.596</v>
      </c>
      <c r="T120">
        <v>1158.095</v>
      </c>
      <c r="U120">
        <v>1319.3119999999999</v>
      </c>
      <c r="V120">
        <v>1613.83</v>
      </c>
      <c r="W120">
        <v>1957.5820000000001</v>
      </c>
      <c r="X120">
        <v>0.23098191426437401</v>
      </c>
      <c r="Y120">
        <v>3</v>
      </c>
      <c r="Z120" t="s">
        <v>44</v>
      </c>
      <c r="AA120" t="s">
        <v>33</v>
      </c>
      <c r="AB120" t="s">
        <v>34</v>
      </c>
      <c r="AC120" s="7">
        <f t="shared" si="10"/>
        <v>-9.7109598866879764E-3</v>
      </c>
      <c r="AD120" s="8">
        <f t="shared" si="11"/>
        <v>9.089514866979656E-2</v>
      </c>
      <c r="AE120" s="9">
        <f t="shared" si="12"/>
        <v>1.7759133870234096E-2</v>
      </c>
      <c r="AF120" s="8">
        <f t="shared" si="13"/>
        <v>-7.1389652835043754E-2</v>
      </c>
      <c r="AG120" s="8">
        <f t="shared" si="14"/>
        <v>1.300359534513966</v>
      </c>
      <c r="AH120" s="8">
        <f t="shared" si="15"/>
        <v>0.57044542977907686</v>
      </c>
      <c r="AI120" s="8">
        <f t="shared" si="16"/>
        <v>0.87485279203184829</v>
      </c>
      <c r="AJ120" s="8">
        <f t="shared" si="17"/>
        <v>0.23098191426437384</v>
      </c>
      <c r="AK120" s="8">
        <f t="shared" si="18"/>
        <v>0.6489519378034484</v>
      </c>
      <c r="AL120" s="8">
        <f t="shared" si="19"/>
        <v>-3.8644830422371665</v>
      </c>
    </row>
    <row r="121" spans="1:38">
      <c r="A121" t="s">
        <v>410</v>
      </c>
      <c r="B121" t="s">
        <v>411</v>
      </c>
      <c r="C121" t="s">
        <v>124</v>
      </c>
      <c r="D121">
        <v>13</v>
      </c>
      <c r="E121" t="s">
        <v>412</v>
      </c>
      <c r="F121">
        <v>-1426.98</v>
      </c>
      <c r="G121">
        <v>-1362.713</v>
      </c>
      <c r="H121">
        <v>3025.5479999999998</v>
      </c>
      <c r="I121">
        <v>-1320.308</v>
      </c>
      <c r="J121">
        <v>1073.9580000000001</v>
      </c>
      <c r="K121">
        <v>0</v>
      </c>
      <c r="L121">
        <v>2209.1309999999999</v>
      </c>
      <c r="M121">
        <v>-1135.173</v>
      </c>
      <c r="N121">
        <v>-1410.633</v>
      </c>
      <c r="O121">
        <v>59.917999999999999</v>
      </c>
      <c r="P121">
        <v>189.08099999999999</v>
      </c>
      <c r="Q121">
        <v>47.923000000000002</v>
      </c>
      <c r="R121">
        <v>1366.2560000000001</v>
      </c>
      <c r="S121">
        <v>2398.212</v>
      </c>
      <c r="T121">
        <v>1152.576</v>
      </c>
      <c r="U121">
        <v>1558.1869999999999</v>
      </c>
      <c r="V121">
        <v>950.28700000000003</v>
      </c>
      <c r="W121">
        <v>477.00200000000001</v>
      </c>
      <c r="X121">
        <v>-1.1455279304792001</v>
      </c>
      <c r="Y121">
        <v>3</v>
      </c>
      <c r="Z121" t="s">
        <v>62</v>
      </c>
      <c r="AA121" t="s">
        <v>33</v>
      </c>
      <c r="AB121" t="s">
        <v>34</v>
      </c>
      <c r="AC121" s="7">
        <f t="shared" si="10"/>
        <v>-1.0528253484351084</v>
      </c>
      <c r="AD121" s="8">
        <f t="shared" si="11"/>
        <v>-0.45040204286958929</v>
      </c>
      <c r="AE121" s="9">
        <f t="shared" si="12"/>
        <v>2.5460702548142262E-2</v>
      </c>
      <c r="AF121" s="8">
        <f t="shared" si="13"/>
        <v>-0.984900778777278</v>
      </c>
      <c r="AG121" s="8">
        <f t="shared" si="14"/>
        <v>0.48059804554393026</v>
      </c>
      <c r="AH121" s="8">
        <f t="shared" si="15"/>
        <v>1.9166900924537729</v>
      </c>
      <c r="AI121" s="8">
        <f t="shared" si="16"/>
        <v>0.48614500452893022</v>
      </c>
      <c r="AJ121" s="8">
        <f t="shared" si="17"/>
        <v>-1.1455279304792048</v>
      </c>
      <c r="AK121" s="8">
        <f t="shared" si="18"/>
        <v>0.4478161230116437</v>
      </c>
      <c r="AL121" s="8">
        <f t="shared" si="19"/>
        <v>-2.6652748083331788</v>
      </c>
    </row>
    <row r="122" spans="1:38">
      <c r="A122" t="s">
        <v>413</v>
      </c>
      <c r="B122" t="s">
        <v>414</v>
      </c>
      <c r="C122" t="s">
        <v>131</v>
      </c>
      <c r="D122">
        <v>2</v>
      </c>
      <c r="E122" t="s">
        <v>415</v>
      </c>
      <c r="F122">
        <v>-95.537000000000006</v>
      </c>
      <c r="G122">
        <v>-82.382000000000005</v>
      </c>
      <c r="H122">
        <v>442.05200000000002</v>
      </c>
      <c r="I122">
        <v>-81.623999999999995</v>
      </c>
      <c r="J122">
        <v>1135.4179999999999</v>
      </c>
      <c r="K122">
        <v>945.53200000000004</v>
      </c>
      <c r="L122">
        <v>1137.9559999999999</v>
      </c>
      <c r="M122">
        <v>-2.5379999999999998</v>
      </c>
      <c r="N122">
        <v>-84.634</v>
      </c>
      <c r="O122">
        <v>5.806</v>
      </c>
      <c r="P122">
        <v>54.898000000000003</v>
      </c>
      <c r="Q122">
        <v>2.1339999999999999</v>
      </c>
      <c r="R122">
        <v>1030.328</v>
      </c>
      <c r="S122">
        <v>1192.854</v>
      </c>
      <c r="T122">
        <v>1142.096</v>
      </c>
      <c r="U122">
        <v>1067.05</v>
      </c>
      <c r="V122">
        <v>997.59500000000003</v>
      </c>
      <c r="W122">
        <v>431.91</v>
      </c>
      <c r="X122">
        <v>-7.1468598086325497E-2</v>
      </c>
      <c r="Y122">
        <v>3</v>
      </c>
      <c r="Z122" t="s">
        <v>32</v>
      </c>
      <c r="AA122" t="s">
        <v>33</v>
      </c>
      <c r="AB122" t="s">
        <v>34</v>
      </c>
      <c r="AC122" s="7">
        <f t="shared" si="10"/>
        <v>-8.6492246325050509E-2</v>
      </c>
      <c r="AD122" s="8">
        <f t="shared" si="11"/>
        <v>-0.18636269036221983</v>
      </c>
      <c r="AE122" s="9">
        <f t="shared" si="12"/>
        <v>1.9197708509694664E-3</v>
      </c>
      <c r="AF122" s="8">
        <f t="shared" si="13"/>
        <v>-2.2222300051834521E-3</v>
      </c>
      <c r="AG122" s="8">
        <f t="shared" si="14"/>
        <v>0.95744827112119335</v>
      </c>
      <c r="AH122" s="8">
        <f t="shared" si="15"/>
        <v>0.99637508580714751</v>
      </c>
      <c r="AI122" s="8">
        <f t="shared" si="16"/>
        <v>0.99776968529538923</v>
      </c>
      <c r="AJ122" s="8">
        <f t="shared" si="17"/>
        <v>-7.1468598086325483E-2</v>
      </c>
      <c r="AK122" s="8">
        <f t="shared" si="18"/>
        <v>0.95184993301778742</v>
      </c>
      <c r="AL122" s="8">
        <f t="shared" si="19"/>
        <v>-174.17336485421595</v>
      </c>
    </row>
    <row r="123" spans="1:38">
      <c r="A123" t="s">
        <v>416</v>
      </c>
      <c r="B123" t="s">
        <v>417</v>
      </c>
      <c r="C123" t="s">
        <v>131</v>
      </c>
      <c r="D123">
        <v>6</v>
      </c>
      <c r="E123" t="s">
        <v>418</v>
      </c>
      <c r="F123">
        <v>-1213.864</v>
      </c>
      <c r="G123">
        <v>-1021.662</v>
      </c>
      <c r="H123">
        <v>289.67899999999997</v>
      </c>
      <c r="I123">
        <v>-1151.8340000000001</v>
      </c>
      <c r="J123">
        <v>1126.375</v>
      </c>
      <c r="K123">
        <v>0</v>
      </c>
      <c r="L123">
        <v>1330.7950000000001</v>
      </c>
      <c r="M123">
        <v>-204.42</v>
      </c>
      <c r="N123">
        <v>-1210.2809999999999</v>
      </c>
      <c r="O123">
        <v>11.202</v>
      </c>
      <c r="P123">
        <v>610.24800000000005</v>
      </c>
      <c r="Q123">
        <v>5.45</v>
      </c>
      <c r="R123">
        <v>1607.8009999999999</v>
      </c>
      <c r="S123">
        <v>1941.0429999999999</v>
      </c>
      <c r="T123">
        <v>1137.577</v>
      </c>
      <c r="U123">
        <v>1856.8869999999999</v>
      </c>
      <c r="V123">
        <v>1981.7529999999999</v>
      </c>
      <c r="W123">
        <v>1988.03</v>
      </c>
      <c r="X123">
        <v>-1.0125327780009601</v>
      </c>
      <c r="Y123">
        <v>3</v>
      </c>
      <c r="Z123" t="s">
        <v>32</v>
      </c>
      <c r="AA123" t="s">
        <v>33</v>
      </c>
      <c r="AB123" t="s">
        <v>34</v>
      </c>
      <c r="AC123" s="7">
        <f t="shared" si="10"/>
        <v>-0.81073874990649419</v>
      </c>
      <c r="AD123" s="8">
        <f t="shared" si="11"/>
        <v>-3.5268763010090485</v>
      </c>
      <c r="AE123" s="9">
        <f t="shared" si="12"/>
        <v>3.0714226942632587E-3</v>
      </c>
      <c r="AF123" s="8">
        <f t="shared" si="13"/>
        <v>-0.17969772595613306</v>
      </c>
      <c r="AG123" s="8">
        <f t="shared" si="14"/>
        <v>0.58606481154719403</v>
      </c>
      <c r="AH123" s="8">
        <f t="shared" si="15"/>
        <v>1.1698504804509937</v>
      </c>
      <c r="AI123" s="8">
        <f t="shared" si="16"/>
        <v>0.84639256985486111</v>
      </c>
      <c r="AJ123" s="8">
        <f t="shared" si="17"/>
        <v>-1.0125327780009616</v>
      </c>
      <c r="AK123" s="8">
        <f t="shared" si="18"/>
        <v>0.58029368746596555</v>
      </c>
      <c r="AL123" s="8">
        <f t="shared" si="19"/>
        <v>-1.4170775853634674</v>
      </c>
    </row>
    <row r="124" spans="1:38">
      <c r="A124" t="s">
        <v>419</v>
      </c>
      <c r="B124" t="s">
        <v>420</v>
      </c>
      <c r="C124" t="s">
        <v>69</v>
      </c>
      <c r="D124">
        <v>18</v>
      </c>
      <c r="E124" t="s">
        <v>421</v>
      </c>
      <c r="F124">
        <v>27.757000000000001</v>
      </c>
      <c r="G124">
        <v>100.91</v>
      </c>
      <c r="H124">
        <v>1973.0619999999999</v>
      </c>
      <c r="I124">
        <v>91.296999999999997</v>
      </c>
      <c r="J124">
        <v>699.91099999999994</v>
      </c>
      <c r="K124">
        <v>25.5</v>
      </c>
      <c r="L124">
        <v>925.51099999999997</v>
      </c>
      <c r="M124">
        <v>-225.6</v>
      </c>
      <c r="N124">
        <v>60.012999999999998</v>
      </c>
      <c r="O124">
        <v>431.44499999999999</v>
      </c>
      <c r="P124">
        <v>72.870999999999995</v>
      </c>
      <c r="Q124">
        <v>14.875999999999999</v>
      </c>
      <c r="R124">
        <v>777.77800000000002</v>
      </c>
      <c r="S124">
        <v>998.38199999999995</v>
      </c>
      <c r="T124">
        <v>1133.153</v>
      </c>
      <c r="U124">
        <v>848.92</v>
      </c>
      <c r="V124">
        <v>534.322</v>
      </c>
      <c r="W124">
        <v>143.036</v>
      </c>
      <c r="X124">
        <v>8.0568996419724398E-2</v>
      </c>
      <c r="Y124">
        <v>3</v>
      </c>
      <c r="Z124" t="s">
        <v>39</v>
      </c>
      <c r="AA124" t="s">
        <v>33</v>
      </c>
      <c r="AB124" t="s">
        <v>34</v>
      </c>
      <c r="AC124" s="7">
        <f t="shared" si="10"/>
        <v>2.800805015758754E-2</v>
      </c>
      <c r="AD124" s="8">
        <f t="shared" si="11"/>
        <v>5.1143856604607456E-2</v>
      </c>
      <c r="AE124" s="9">
        <f t="shared" si="12"/>
        <v>1.6750743176290425E-2</v>
      </c>
      <c r="AF124" s="8">
        <f t="shared" si="13"/>
        <v>-0.19909050234169612</v>
      </c>
      <c r="AG124" s="8">
        <f t="shared" si="14"/>
        <v>1.1349894128700238</v>
      </c>
      <c r="AH124" s="8">
        <f t="shared" si="15"/>
        <v>0.81675731344310953</v>
      </c>
      <c r="AI124" s="8">
        <f t="shared" si="16"/>
        <v>0.75624276750897612</v>
      </c>
      <c r="AJ124" s="8">
        <f t="shared" si="17"/>
        <v>8.0568996419724426E-2</v>
      </c>
      <c r="AK124" s="8">
        <f t="shared" si="18"/>
        <v>0.70104529128129311</v>
      </c>
      <c r="AL124" s="8">
        <f t="shared" si="19"/>
        <v>-8.7458421985815598</v>
      </c>
    </row>
    <row r="125" spans="1:38">
      <c r="A125" t="s">
        <v>422</v>
      </c>
      <c r="B125" t="s">
        <v>423</v>
      </c>
      <c r="C125" t="s">
        <v>65</v>
      </c>
      <c r="D125">
        <v>0</v>
      </c>
      <c r="E125" t="s">
        <v>424</v>
      </c>
      <c r="F125">
        <v>0</v>
      </c>
      <c r="G125">
        <v>0</v>
      </c>
      <c r="H125">
        <v>12</v>
      </c>
      <c r="I125">
        <v>-1328.489</v>
      </c>
      <c r="J125">
        <v>1131.394</v>
      </c>
      <c r="K125">
        <v>564.79999999999995</v>
      </c>
      <c r="L125">
        <v>2459.8829999999998</v>
      </c>
      <c r="M125">
        <v>-1328.489</v>
      </c>
      <c r="N125">
        <v>0</v>
      </c>
      <c r="O125">
        <v>0</v>
      </c>
      <c r="P125">
        <v>0</v>
      </c>
      <c r="Q125">
        <v>0</v>
      </c>
      <c r="R125">
        <v>2459.8829999999998</v>
      </c>
      <c r="S125">
        <v>2459.8829999999998</v>
      </c>
      <c r="T125">
        <v>1131.394</v>
      </c>
      <c r="U125">
        <v>1131.232</v>
      </c>
      <c r="V125">
        <v>2769.473</v>
      </c>
      <c r="W125">
        <v>2769.0250000000001</v>
      </c>
      <c r="X125">
        <v>-1.1742054492069101</v>
      </c>
      <c r="Y125">
        <v>3</v>
      </c>
      <c r="Z125" t="s">
        <v>62</v>
      </c>
      <c r="AA125" t="s">
        <v>33</v>
      </c>
      <c r="AB125" t="s">
        <v>34</v>
      </c>
      <c r="AC125" s="7">
        <f t="shared" si="10"/>
        <v>0</v>
      </c>
      <c r="AD125" s="8">
        <f t="shared" si="11"/>
        <v>0</v>
      </c>
      <c r="AE125" s="9">
        <f t="shared" si="12"/>
        <v>0</v>
      </c>
      <c r="AF125" s="8">
        <f t="shared" si="13"/>
        <v>-1.1742054492069076</v>
      </c>
      <c r="AG125" s="8">
        <f t="shared" si="14"/>
        <v>0.45993813526903521</v>
      </c>
      <c r="AH125" s="8">
        <f t="shared" si="15"/>
        <v>2.1742054492069074</v>
      </c>
      <c r="AI125" s="8">
        <f t="shared" si="16"/>
        <v>0.45993813526903521</v>
      </c>
      <c r="AJ125" s="8">
        <f t="shared" si="17"/>
        <v>-1.1742054492069076</v>
      </c>
      <c r="AK125" s="8">
        <f t="shared" si="18"/>
        <v>0.45993813526903521</v>
      </c>
      <c r="AL125" s="8">
        <f t="shared" si="19"/>
        <v>-9.0328184877706934E-3</v>
      </c>
    </row>
    <row r="126" spans="1:38">
      <c r="A126" t="s">
        <v>425</v>
      </c>
      <c r="B126" t="s">
        <v>426</v>
      </c>
      <c r="C126" t="s">
        <v>120</v>
      </c>
      <c r="D126">
        <v>1</v>
      </c>
      <c r="E126" t="s">
        <v>427</v>
      </c>
      <c r="F126">
        <v>2.9449999999999998</v>
      </c>
      <c r="G126">
        <v>4.1909999999999998</v>
      </c>
      <c r="H126">
        <v>41</v>
      </c>
      <c r="I126">
        <v>-615.02800000000002</v>
      </c>
      <c r="J126">
        <v>1060.374</v>
      </c>
      <c r="K126">
        <v>0</v>
      </c>
      <c r="L126">
        <v>1518.2729999999999</v>
      </c>
      <c r="M126">
        <v>-457.899</v>
      </c>
      <c r="N126">
        <v>3.4529999999999998</v>
      </c>
      <c r="O126">
        <v>64.875</v>
      </c>
      <c r="P126">
        <v>98.236000000000004</v>
      </c>
      <c r="Q126">
        <v>0.73799999999999999</v>
      </c>
      <c r="R126">
        <v>1601.9449999999999</v>
      </c>
      <c r="S126">
        <v>1616.509</v>
      </c>
      <c r="T126">
        <v>1128.17</v>
      </c>
      <c r="U126">
        <v>1110.6610000000001</v>
      </c>
      <c r="V126">
        <v>1109.5</v>
      </c>
      <c r="W126">
        <v>1434.1969999999999</v>
      </c>
      <c r="X126">
        <v>-0.54515542870312095</v>
      </c>
      <c r="Y126">
        <v>3</v>
      </c>
      <c r="Z126" t="s">
        <v>44</v>
      </c>
      <c r="AA126" t="s">
        <v>33</v>
      </c>
      <c r="AB126" t="s">
        <v>34</v>
      </c>
      <c r="AC126" s="7">
        <f t="shared" si="10"/>
        <v>2.6308372539061678E-3</v>
      </c>
      <c r="AD126" s="8">
        <f t="shared" si="11"/>
        <v>0.10221951219512194</v>
      </c>
      <c r="AE126" s="9">
        <f t="shared" si="12"/>
        <v>4.5860528067202453E-4</v>
      </c>
      <c r="AF126" s="8">
        <f t="shared" si="13"/>
        <v>-0.40587766028169509</v>
      </c>
      <c r="AG126" s="8">
        <f t="shared" si="14"/>
        <v>0.69790517714408029</v>
      </c>
      <c r="AH126" s="8">
        <f t="shared" si="15"/>
        <v>1.3457838800889934</v>
      </c>
      <c r="AI126" s="8">
        <f t="shared" si="16"/>
        <v>0.69840799381929342</v>
      </c>
      <c r="AJ126" s="8">
        <f t="shared" si="17"/>
        <v>-0.54515542870312095</v>
      </c>
      <c r="AK126" s="8">
        <f t="shared" si="18"/>
        <v>0.65596541683343557</v>
      </c>
      <c r="AL126" s="8">
        <f t="shared" si="19"/>
        <v>-8.9539396242402799E-2</v>
      </c>
    </row>
    <row r="127" spans="1:38">
      <c r="A127" t="s">
        <v>428</v>
      </c>
      <c r="B127" t="s">
        <v>429</v>
      </c>
      <c r="C127" t="s">
        <v>131</v>
      </c>
      <c r="D127">
        <v>0</v>
      </c>
      <c r="E127" t="s">
        <v>430</v>
      </c>
      <c r="F127">
        <v>-26.367000000000001</v>
      </c>
      <c r="G127">
        <v>-26.186</v>
      </c>
      <c r="H127">
        <v>73.471999999999994</v>
      </c>
      <c r="I127">
        <v>13.73</v>
      </c>
      <c r="J127">
        <v>1031.348</v>
      </c>
      <c r="K127">
        <v>1000</v>
      </c>
      <c r="L127">
        <v>523.274</v>
      </c>
      <c r="M127">
        <v>508.07400000000001</v>
      </c>
      <c r="N127">
        <v>-26.367000000000001</v>
      </c>
      <c r="O127">
        <v>50</v>
      </c>
      <c r="P127">
        <v>544.34400000000005</v>
      </c>
      <c r="Q127">
        <v>0.18099999999999999</v>
      </c>
      <c r="R127">
        <v>2041.405</v>
      </c>
      <c r="S127">
        <v>1067.6179999999999</v>
      </c>
      <c r="T127">
        <v>1081.348</v>
      </c>
      <c r="U127">
        <v>2081.5</v>
      </c>
      <c r="V127">
        <v>1488.278</v>
      </c>
      <c r="W127">
        <v>1500.5840000000001</v>
      </c>
      <c r="X127">
        <v>1.2697115082286201E-2</v>
      </c>
      <c r="Y127">
        <v>3</v>
      </c>
      <c r="Z127" t="s">
        <v>32</v>
      </c>
      <c r="AA127" t="s">
        <v>33</v>
      </c>
      <c r="AB127" t="s">
        <v>34</v>
      </c>
      <c r="AC127" s="7">
        <f t="shared" si="10"/>
        <v>-1.6672947925414058E-2</v>
      </c>
      <c r="AD127" s="8">
        <f t="shared" si="11"/>
        <v>-0.35640788327526135</v>
      </c>
      <c r="AE127" s="9">
        <f t="shared" si="12"/>
        <v>1.1643529172991E-4</v>
      </c>
      <c r="AF127" s="8">
        <f t="shared" si="13"/>
        <v>0.46985244343171673</v>
      </c>
      <c r="AG127" s="8">
        <f t="shared" si="14"/>
        <v>1.012860405126178</v>
      </c>
      <c r="AH127" s="8">
        <f t="shared" si="15"/>
        <v>0.48390897287459728</v>
      </c>
      <c r="AI127" s="8">
        <f t="shared" si="16"/>
        <v>1.9709521206862943</v>
      </c>
      <c r="AJ127" s="8">
        <f t="shared" si="17"/>
        <v>1.2697115082286185E-2</v>
      </c>
      <c r="AK127" s="8">
        <f t="shared" si="18"/>
        <v>0.96602717451373055</v>
      </c>
      <c r="AL127" s="8">
        <f t="shared" si="19"/>
        <v>0.14460885619024</v>
      </c>
    </row>
    <row r="128" spans="1:38">
      <c r="A128" t="s">
        <v>431</v>
      </c>
      <c r="B128" t="s">
        <v>432</v>
      </c>
      <c r="C128" t="s">
        <v>131</v>
      </c>
      <c r="D128">
        <v>4</v>
      </c>
      <c r="E128" t="s">
        <v>433</v>
      </c>
      <c r="F128">
        <v>5.8179999999999996</v>
      </c>
      <c r="G128">
        <v>36.149000000000001</v>
      </c>
      <c r="H128">
        <v>55.984999999999999</v>
      </c>
      <c r="I128">
        <v>366.529</v>
      </c>
      <c r="J128">
        <v>1048.895</v>
      </c>
      <c r="K128">
        <v>456.762</v>
      </c>
      <c r="L128">
        <v>673.61300000000006</v>
      </c>
      <c r="M128">
        <v>375.28199999999998</v>
      </c>
      <c r="N128">
        <v>30.61</v>
      </c>
      <c r="O128">
        <v>26.771999999999998</v>
      </c>
      <c r="P128">
        <v>30.085999999999999</v>
      </c>
      <c r="Q128">
        <v>1.347</v>
      </c>
      <c r="R128">
        <v>2019.509</v>
      </c>
      <c r="S128">
        <v>703.69899999999996</v>
      </c>
      <c r="T128">
        <v>1077.8989999999999</v>
      </c>
      <c r="U128">
        <v>2390.8290000000002</v>
      </c>
      <c r="V128">
        <v>2691.2849999999999</v>
      </c>
      <c r="W128">
        <v>1661.8620000000001</v>
      </c>
      <c r="X128">
        <v>0.34004020784878702</v>
      </c>
      <c r="Y128">
        <v>3</v>
      </c>
      <c r="Z128" t="s">
        <v>32</v>
      </c>
      <c r="AA128" t="s">
        <v>33</v>
      </c>
      <c r="AB128" t="s">
        <v>34</v>
      </c>
      <c r="AC128" s="7">
        <f t="shared" si="10"/>
        <v>3.3545437981876928E-3</v>
      </c>
      <c r="AD128" s="8">
        <f t="shared" si="11"/>
        <v>0.64569081003840312</v>
      </c>
      <c r="AE128" s="9">
        <f t="shared" si="12"/>
        <v>9.892744145875011E-4</v>
      </c>
      <c r="AF128" s="8">
        <f t="shared" si="13"/>
        <v>0.34816063471623965</v>
      </c>
      <c r="AG128" s="8">
        <f t="shared" si="14"/>
        <v>1.5317614491423179</v>
      </c>
      <c r="AH128" s="8">
        <f t="shared" si="15"/>
        <v>0.62493146389411269</v>
      </c>
      <c r="AI128" s="8">
        <f t="shared" si="16"/>
        <v>1.5571181078749963</v>
      </c>
      <c r="AJ128" s="8">
        <f t="shared" si="17"/>
        <v>0.34004020784878736</v>
      </c>
      <c r="AK128" s="8">
        <f t="shared" si="18"/>
        <v>1.4905449631163326</v>
      </c>
      <c r="AL128" s="8">
        <f t="shared" si="19"/>
        <v>0.14918114910920321</v>
      </c>
    </row>
    <row r="129" spans="1:38">
      <c r="A129" t="s">
        <v>434</v>
      </c>
      <c r="B129" t="s">
        <v>435</v>
      </c>
      <c r="C129" t="s">
        <v>42</v>
      </c>
      <c r="D129">
        <v>5</v>
      </c>
      <c r="E129" t="s">
        <v>436</v>
      </c>
      <c r="F129">
        <v>-538.14300000000003</v>
      </c>
      <c r="G129">
        <v>-421.58100000000002</v>
      </c>
      <c r="H129">
        <v>121.941</v>
      </c>
      <c r="I129">
        <v>-962.25599999999997</v>
      </c>
      <c r="J129">
        <v>951.65499999999997</v>
      </c>
      <c r="K129">
        <v>40</v>
      </c>
      <c r="L129">
        <v>1919.963</v>
      </c>
      <c r="M129">
        <v>-968.30799999999999</v>
      </c>
      <c r="N129">
        <v>-518.01800000000003</v>
      </c>
      <c r="O129">
        <v>79.200999999999993</v>
      </c>
      <c r="P129">
        <v>25.53</v>
      </c>
      <c r="Q129">
        <v>96.436999999999998</v>
      </c>
      <c r="R129">
        <v>2015.1559999999999</v>
      </c>
      <c r="S129">
        <v>1945.4929999999999</v>
      </c>
      <c r="T129">
        <v>1048.7639999999999</v>
      </c>
      <c r="U129">
        <v>1658.6079999999999</v>
      </c>
      <c r="V129">
        <v>1793.0170000000001</v>
      </c>
      <c r="W129">
        <v>2064.806</v>
      </c>
      <c r="X129">
        <v>-0.91751433115553205</v>
      </c>
      <c r="Y129">
        <v>3</v>
      </c>
      <c r="Z129" t="s">
        <v>44</v>
      </c>
      <c r="AA129" t="s">
        <v>33</v>
      </c>
      <c r="AB129" t="s">
        <v>34</v>
      </c>
      <c r="AC129" s="7">
        <f t="shared" si="10"/>
        <v>-0.39753901569492489</v>
      </c>
      <c r="AD129" s="8">
        <f t="shared" si="11"/>
        <v>-3.4572539178783184</v>
      </c>
      <c r="AE129" s="9">
        <f t="shared" si="12"/>
        <v>4.869757456416865E-2</v>
      </c>
      <c r="AF129" s="8">
        <f t="shared" si="13"/>
        <v>-0.9232849335026756</v>
      </c>
      <c r="AG129" s="8">
        <f t="shared" si="14"/>
        <v>0.53907364354433551</v>
      </c>
      <c r="AH129" s="8">
        <f t="shared" si="15"/>
        <v>1.8306911755170849</v>
      </c>
      <c r="AI129" s="8">
        <f t="shared" si="16"/>
        <v>0.4956631976762052</v>
      </c>
      <c r="AJ129" s="8">
        <f t="shared" si="17"/>
        <v>-0.91751433115553171</v>
      </c>
      <c r="AK129" s="8">
        <f t="shared" si="18"/>
        <v>0.48915878905758076</v>
      </c>
      <c r="AL129" s="8">
        <f t="shared" si="19"/>
        <v>-0.12593203815314963</v>
      </c>
    </row>
    <row r="130" spans="1:38">
      <c r="A130" t="s">
        <v>437</v>
      </c>
      <c r="B130" t="s">
        <v>438</v>
      </c>
      <c r="C130" t="s">
        <v>69</v>
      </c>
      <c r="D130">
        <v>3</v>
      </c>
      <c r="E130" t="s">
        <v>439</v>
      </c>
      <c r="F130">
        <v>-172.10300000000001</v>
      </c>
      <c r="G130">
        <v>-137.03100000000001</v>
      </c>
      <c r="H130">
        <v>136.804</v>
      </c>
      <c r="I130">
        <v>-132.797</v>
      </c>
      <c r="J130">
        <v>817.221</v>
      </c>
      <c r="K130">
        <v>14.852</v>
      </c>
      <c r="L130">
        <v>820.51900000000001</v>
      </c>
      <c r="M130">
        <v>-3.298</v>
      </c>
      <c r="N130">
        <v>-140.59299999999999</v>
      </c>
      <c r="O130">
        <v>138.19399999999999</v>
      </c>
      <c r="P130">
        <v>210.71899999999999</v>
      </c>
      <c r="Q130">
        <v>3.5619999999999998</v>
      </c>
      <c r="R130">
        <v>964.79300000000001</v>
      </c>
      <c r="S130">
        <v>1031.2380000000001</v>
      </c>
      <c r="T130">
        <v>1039.7339999999999</v>
      </c>
      <c r="U130">
        <v>1141.8389999999999</v>
      </c>
      <c r="V130">
        <v>1492.0229999999999</v>
      </c>
      <c r="W130">
        <v>1121.614</v>
      </c>
      <c r="X130">
        <v>-0.12772209045775201</v>
      </c>
      <c r="Y130">
        <v>3</v>
      </c>
      <c r="Z130" t="s">
        <v>39</v>
      </c>
      <c r="AA130" t="s">
        <v>33</v>
      </c>
      <c r="AB130" t="s">
        <v>34</v>
      </c>
      <c r="AC130" s="7">
        <f t="shared" si="10"/>
        <v>-0.15777881372752597</v>
      </c>
      <c r="AD130" s="8">
        <f t="shared" si="11"/>
        <v>-1.0016593082073624</v>
      </c>
      <c r="AE130" s="9">
        <f t="shared" si="12"/>
        <v>3.5690828449057152E-3</v>
      </c>
      <c r="AF130" s="8">
        <f t="shared" si="13"/>
        <v>-3.1719651372370244E-3</v>
      </c>
      <c r="AG130" s="8">
        <f t="shared" si="14"/>
        <v>1.0082386413223716</v>
      </c>
      <c r="AH130" s="8">
        <f t="shared" si="15"/>
        <v>0.78916242038829165</v>
      </c>
      <c r="AI130" s="8">
        <f t="shared" si="16"/>
        <v>0.99598059277116069</v>
      </c>
      <c r="AJ130" s="8">
        <f t="shared" si="17"/>
        <v>-0.12772209045775171</v>
      </c>
      <c r="AK130" s="8">
        <f t="shared" si="18"/>
        <v>0.79246594869467568</v>
      </c>
      <c r="AL130" s="8">
        <f t="shared" si="19"/>
        <v>-41.480897513644635</v>
      </c>
    </row>
    <row r="131" spans="1:38">
      <c r="A131" t="s">
        <v>440</v>
      </c>
      <c r="B131" t="s">
        <v>441</v>
      </c>
      <c r="C131" t="s">
        <v>69</v>
      </c>
      <c r="D131">
        <v>0</v>
      </c>
      <c r="E131" t="s">
        <v>442</v>
      </c>
      <c r="F131">
        <v>-203.024</v>
      </c>
      <c r="G131">
        <v>-202.87299999999999</v>
      </c>
      <c r="H131">
        <v>2.5</v>
      </c>
      <c r="I131">
        <v>157.62</v>
      </c>
      <c r="J131">
        <v>260.48</v>
      </c>
      <c r="K131">
        <v>253.99100000000001</v>
      </c>
      <c r="L131">
        <v>82.1</v>
      </c>
      <c r="M131">
        <v>178.38</v>
      </c>
      <c r="N131">
        <v>-203.024</v>
      </c>
      <c r="O131">
        <v>761.5</v>
      </c>
      <c r="P131">
        <v>782.26</v>
      </c>
      <c r="Q131">
        <v>0.151</v>
      </c>
      <c r="R131">
        <v>1571.789</v>
      </c>
      <c r="S131">
        <v>864.36</v>
      </c>
      <c r="T131">
        <v>1021.98</v>
      </c>
      <c r="U131">
        <v>1932.433</v>
      </c>
      <c r="V131">
        <v>1916.145</v>
      </c>
      <c r="W131">
        <v>2023.4459999999999</v>
      </c>
      <c r="X131">
        <v>0.15423002407092101</v>
      </c>
      <c r="Y131">
        <v>3</v>
      </c>
      <c r="Z131" t="s">
        <v>39</v>
      </c>
      <c r="AA131" t="s">
        <v>33</v>
      </c>
      <c r="AB131" t="s">
        <v>34</v>
      </c>
      <c r="AC131" s="7">
        <f t="shared" ref="AC131:AC194" si="20">F131/((T131+U131)/2)</f>
        <v>-0.13743779221117697</v>
      </c>
      <c r="AD131" s="8">
        <f t="shared" ref="AD131:AD194" si="21">G131/H131</f>
        <v>-81.149199999999993</v>
      </c>
      <c r="AE131" s="9">
        <f t="shared" ref="AE131:AE194" si="22">Q131/((R131+S131)/2)</f>
        <v>1.2396614492791698E-4</v>
      </c>
      <c r="AF131" s="8">
        <f t="shared" ref="AF131:AF194" si="23">M131/T131</f>
        <v>0.17454353314154875</v>
      </c>
      <c r="AG131" s="8">
        <f t="shared" ref="AG131:AG194" si="24">T131/S131</f>
        <v>1.1823545744828543</v>
      </c>
      <c r="AH131" s="8">
        <f t="shared" ref="AH131:AH194" si="25">L131/T131</f>
        <v>8.0334253116499332E-2</v>
      </c>
      <c r="AI131" s="8">
        <f t="shared" ref="AI131:AI194" si="26">J131/L131</f>
        <v>3.1727161997563953</v>
      </c>
      <c r="AJ131" s="8">
        <f t="shared" ref="AJ131:AJ194" si="27">I131/T131</f>
        <v>0.15423002407092115</v>
      </c>
      <c r="AK131" s="8">
        <f t="shared" ref="AK131:AK194" si="28">J131/S131</f>
        <v>0.30135591651626636</v>
      </c>
      <c r="AL131" s="8">
        <f t="shared" ref="AL131:AL194" si="29">H131/M131</f>
        <v>1.4015024105841463E-2</v>
      </c>
    </row>
    <row r="132" spans="1:38">
      <c r="A132" t="s">
        <v>443</v>
      </c>
      <c r="B132" t="s">
        <v>444</v>
      </c>
      <c r="C132" t="s">
        <v>124</v>
      </c>
      <c r="D132">
        <v>3</v>
      </c>
      <c r="E132" t="s">
        <v>445</v>
      </c>
      <c r="F132">
        <v>-1436.17</v>
      </c>
      <c r="G132">
        <v>-1426.203</v>
      </c>
      <c r="H132">
        <v>184.285</v>
      </c>
      <c r="I132">
        <v>-488.96499999999997</v>
      </c>
      <c r="J132">
        <v>995.82</v>
      </c>
      <c r="K132">
        <v>758.346</v>
      </c>
      <c r="L132">
        <v>641.55100000000004</v>
      </c>
      <c r="M132">
        <v>354.26900000000001</v>
      </c>
      <c r="N132">
        <v>-1434.4929999999999</v>
      </c>
      <c r="O132">
        <v>17.86</v>
      </c>
      <c r="P132">
        <v>0</v>
      </c>
      <c r="Q132">
        <v>8.2899999999999991</v>
      </c>
      <c r="R132">
        <v>540.83199999999999</v>
      </c>
      <c r="S132">
        <v>641.55100000000004</v>
      </c>
      <c r="T132">
        <v>1014.436</v>
      </c>
      <c r="U132">
        <v>1474.3019999999999</v>
      </c>
      <c r="V132">
        <v>1750.6210000000001</v>
      </c>
      <c r="W132">
        <v>1902.338</v>
      </c>
      <c r="X132">
        <v>-0.48200675054907399</v>
      </c>
      <c r="Y132">
        <v>3</v>
      </c>
      <c r="Z132" t="s">
        <v>62</v>
      </c>
      <c r="AA132" t="s">
        <v>33</v>
      </c>
      <c r="AB132" t="s">
        <v>34</v>
      </c>
      <c r="AC132" s="7">
        <f t="shared" si="20"/>
        <v>-1.154135148014777</v>
      </c>
      <c r="AD132" s="8">
        <f t="shared" si="21"/>
        <v>-7.7391160430854384</v>
      </c>
      <c r="AE132" s="9">
        <f t="shared" si="22"/>
        <v>1.4022529078987095E-2</v>
      </c>
      <c r="AF132" s="8">
        <f t="shared" si="23"/>
        <v>0.3492275510727143</v>
      </c>
      <c r="AG132" s="8">
        <f t="shared" si="24"/>
        <v>1.581224251852152</v>
      </c>
      <c r="AH132" s="8">
        <f t="shared" si="25"/>
        <v>0.63242136517237169</v>
      </c>
      <c r="AI132" s="8">
        <f t="shared" si="26"/>
        <v>1.552207073171112</v>
      </c>
      <c r="AJ132" s="8">
        <f t="shared" si="27"/>
        <v>-0.48200675054907355</v>
      </c>
      <c r="AK132" s="8">
        <f t="shared" si="28"/>
        <v>1.552207073171112</v>
      </c>
      <c r="AL132" s="8">
        <f t="shared" si="29"/>
        <v>0.52018381512353606</v>
      </c>
    </row>
    <row r="133" spans="1:38">
      <c r="A133" t="s">
        <v>446</v>
      </c>
      <c r="B133" t="s">
        <v>447</v>
      </c>
      <c r="C133" t="s">
        <v>47</v>
      </c>
      <c r="D133">
        <v>30</v>
      </c>
      <c r="E133" t="s">
        <v>448</v>
      </c>
      <c r="F133">
        <v>-3111.9879999999998</v>
      </c>
      <c r="G133">
        <v>-3009.8780000000002</v>
      </c>
      <c r="H133">
        <v>253.38900000000001</v>
      </c>
      <c r="I133">
        <v>-2831.98</v>
      </c>
      <c r="J133">
        <v>197.441</v>
      </c>
      <c r="K133">
        <v>124.983</v>
      </c>
      <c r="L133">
        <v>2820.723</v>
      </c>
      <c r="M133">
        <v>-2623.2820000000002</v>
      </c>
      <c r="N133">
        <v>-3042.1030000000001</v>
      </c>
      <c r="O133">
        <v>806.05399999999997</v>
      </c>
      <c r="P133">
        <v>628.351</v>
      </c>
      <c r="Q133">
        <v>32.225999999999999</v>
      </c>
      <c r="R133">
        <v>4240.2520000000004</v>
      </c>
      <c r="S133">
        <v>3449.0740000000001</v>
      </c>
      <c r="T133">
        <v>1012.829</v>
      </c>
      <c r="U133">
        <v>4938.5259999999998</v>
      </c>
      <c r="V133">
        <v>3897.8029999999999</v>
      </c>
      <c r="W133">
        <v>3208.172</v>
      </c>
      <c r="X133">
        <v>-2.7961087212155298</v>
      </c>
      <c r="Y133">
        <v>3</v>
      </c>
      <c r="Z133" t="s">
        <v>32</v>
      </c>
      <c r="AA133" t="s">
        <v>33</v>
      </c>
      <c r="AB133" t="s">
        <v>34</v>
      </c>
      <c r="AC133" s="7">
        <f t="shared" si="20"/>
        <v>-1.0458082235054034</v>
      </c>
      <c r="AD133" s="8">
        <f t="shared" si="21"/>
        <v>-11.878487227148771</v>
      </c>
      <c r="AE133" s="9">
        <f t="shared" si="22"/>
        <v>8.3820090343418897E-3</v>
      </c>
      <c r="AF133" s="8">
        <f t="shared" si="23"/>
        <v>-2.5900541947357354</v>
      </c>
      <c r="AG133" s="8">
        <f t="shared" si="24"/>
        <v>0.29365244120595846</v>
      </c>
      <c r="AH133" s="8">
        <f t="shared" si="25"/>
        <v>2.7849943080223811</v>
      </c>
      <c r="AI133" s="8">
        <f t="shared" si="26"/>
        <v>6.9996593072059896E-2</v>
      </c>
      <c r="AJ133" s="8">
        <f t="shared" si="27"/>
        <v>-2.7961087212155262</v>
      </c>
      <c r="AK133" s="8">
        <f t="shared" si="28"/>
        <v>5.7244640155589589E-2</v>
      </c>
      <c r="AL133" s="8">
        <f t="shared" si="29"/>
        <v>-9.6592360257113041E-2</v>
      </c>
    </row>
    <row r="134" spans="1:38">
      <c r="A134" t="s">
        <v>449</v>
      </c>
      <c r="B134" t="s">
        <v>450</v>
      </c>
      <c r="C134" t="s">
        <v>42</v>
      </c>
      <c r="D134">
        <v>10</v>
      </c>
      <c r="E134" t="s">
        <v>451</v>
      </c>
      <c r="F134">
        <v>-251.773</v>
      </c>
      <c r="G134">
        <v>-219.64</v>
      </c>
      <c r="H134">
        <v>431.41199999999998</v>
      </c>
      <c r="I134">
        <v>-99.837999999999994</v>
      </c>
      <c r="J134">
        <v>909.11099999999999</v>
      </c>
      <c r="K134">
        <v>117.901</v>
      </c>
      <c r="L134">
        <v>1079.519</v>
      </c>
      <c r="M134">
        <v>-170.40799999999999</v>
      </c>
      <c r="N134">
        <v>-251.773</v>
      </c>
      <c r="O134">
        <v>99.117999999999995</v>
      </c>
      <c r="P134">
        <v>0</v>
      </c>
      <c r="Q134">
        <v>32.811</v>
      </c>
      <c r="R134">
        <v>1141.471</v>
      </c>
      <c r="S134">
        <v>1079.519</v>
      </c>
      <c r="T134">
        <v>1008.229</v>
      </c>
      <c r="U134">
        <v>1316.145</v>
      </c>
      <c r="V134">
        <v>1241.9490000000001</v>
      </c>
      <c r="W134">
        <v>1190.8599999999999</v>
      </c>
      <c r="X134">
        <v>-9.9023138592522097E-2</v>
      </c>
      <c r="Y134">
        <v>3</v>
      </c>
      <c r="Z134" t="s">
        <v>44</v>
      </c>
      <c r="AA134" t="s">
        <v>33</v>
      </c>
      <c r="AB134" t="s">
        <v>34</v>
      </c>
      <c r="AC134" s="7">
        <f t="shared" si="20"/>
        <v>-0.21663725372939124</v>
      </c>
      <c r="AD134" s="8">
        <f t="shared" si="21"/>
        <v>-0.5091188933084847</v>
      </c>
      <c r="AE134" s="9">
        <f t="shared" si="22"/>
        <v>2.9546283414153152E-2</v>
      </c>
      <c r="AF134" s="8">
        <f t="shared" si="23"/>
        <v>-0.16901715780839471</v>
      </c>
      <c r="AG134" s="8">
        <f t="shared" si="24"/>
        <v>0.93396132907341145</v>
      </c>
      <c r="AH134" s="8">
        <f t="shared" si="25"/>
        <v>1.070708142693773</v>
      </c>
      <c r="AI134" s="8">
        <f t="shared" si="26"/>
        <v>0.8421445106570612</v>
      </c>
      <c r="AJ134" s="8">
        <f t="shared" si="27"/>
        <v>-9.9023138592522125E-2</v>
      </c>
      <c r="AK134" s="8">
        <f t="shared" si="28"/>
        <v>0.8421445106570612</v>
      </c>
      <c r="AL134" s="8">
        <f t="shared" si="29"/>
        <v>-2.5316417069621147</v>
      </c>
    </row>
    <row r="135" spans="1:38">
      <c r="A135" t="s">
        <v>452</v>
      </c>
      <c r="B135" t="s">
        <v>453</v>
      </c>
      <c r="C135" t="s">
        <v>51</v>
      </c>
      <c r="D135">
        <v>1</v>
      </c>
      <c r="E135" t="s">
        <v>454</v>
      </c>
      <c r="F135">
        <v>-65.072000000000003</v>
      </c>
      <c r="G135">
        <v>-45.637</v>
      </c>
      <c r="H135">
        <v>315.95299999999997</v>
      </c>
      <c r="I135">
        <v>-183.87700000000001</v>
      </c>
      <c r="J135">
        <v>771.79600000000005</v>
      </c>
      <c r="K135">
        <v>32.158999999999999</v>
      </c>
      <c r="L135">
        <v>976.55600000000004</v>
      </c>
      <c r="M135">
        <v>-204.76</v>
      </c>
      <c r="N135">
        <v>-48.603000000000002</v>
      </c>
      <c r="O135">
        <v>216.88900000000001</v>
      </c>
      <c r="P135">
        <v>196.702</v>
      </c>
      <c r="Q135">
        <v>2.9660000000000002</v>
      </c>
      <c r="R135">
        <v>1142.6310000000001</v>
      </c>
      <c r="S135">
        <v>1173.258</v>
      </c>
      <c r="T135">
        <v>989.43200000000002</v>
      </c>
      <c r="U135">
        <v>1139.296</v>
      </c>
      <c r="V135">
        <v>1795.5350000000001</v>
      </c>
      <c r="W135">
        <v>1986.452</v>
      </c>
      <c r="X135">
        <v>-0.18584096734288</v>
      </c>
      <c r="Y135">
        <v>3</v>
      </c>
      <c r="Z135" t="s">
        <v>39</v>
      </c>
      <c r="AA135" t="s">
        <v>33</v>
      </c>
      <c r="AB135" t="s">
        <v>34</v>
      </c>
      <c r="AC135" s="7">
        <f t="shared" si="20"/>
        <v>-6.1136979454397181E-2</v>
      </c>
      <c r="AD135" s="8">
        <f t="shared" si="21"/>
        <v>-0.14444236959294579</v>
      </c>
      <c r="AE135" s="9">
        <f t="shared" si="22"/>
        <v>2.56143537103894E-3</v>
      </c>
      <c r="AF135" s="8">
        <f t="shared" si="23"/>
        <v>-0.2069470160657832</v>
      </c>
      <c r="AG135" s="8">
        <f t="shared" si="24"/>
        <v>0.84332005407165345</v>
      </c>
      <c r="AH135" s="8">
        <f t="shared" si="25"/>
        <v>0.98698647304716247</v>
      </c>
      <c r="AI135" s="8">
        <f t="shared" si="26"/>
        <v>0.79032436439896947</v>
      </c>
      <c r="AJ135" s="8">
        <f t="shared" si="27"/>
        <v>-0.18584096734287955</v>
      </c>
      <c r="AK135" s="8">
        <f t="shared" si="28"/>
        <v>0.65782291703955997</v>
      </c>
      <c r="AL135" s="8">
        <f t="shared" si="29"/>
        <v>-1.5430406329361204</v>
      </c>
    </row>
    <row r="136" spans="1:38">
      <c r="A136" t="s">
        <v>455</v>
      </c>
      <c r="B136" t="s">
        <v>456</v>
      </c>
      <c r="C136" t="s">
        <v>69</v>
      </c>
      <c r="D136">
        <v>0</v>
      </c>
      <c r="E136" t="s">
        <v>457</v>
      </c>
      <c r="F136">
        <v>18.827000000000002</v>
      </c>
      <c r="G136">
        <v>31.742999999999999</v>
      </c>
      <c r="H136">
        <v>61.19</v>
      </c>
      <c r="I136">
        <v>133.875</v>
      </c>
      <c r="J136">
        <v>910.63199999999995</v>
      </c>
      <c r="K136">
        <v>275.39400000000001</v>
      </c>
      <c r="L136">
        <v>295.01100000000002</v>
      </c>
      <c r="M136">
        <v>615.62099999999998</v>
      </c>
      <c r="N136">
        <v>29.609000000000002</v>
      </c>
      <c r="O136">
        <v>27.827000000000002</v>
      </c>
      <c r="P136">
        <v>487.767</v>
      </c>
      <c r="Q136">
        <v>0</v>
      </c>
      <c r="R136">
        <v>785.98500000000001</v>
      </c>
      <c r="S136">
        <v>782.77800000000002</v>
      </c>
      <c r="T136">
        <v>938.45899999999995</v>
      </c>
      <c r="U136">
        <v>921.36500000000001</v>
      </c>
      <c r="V136">
        <v>954.23400000000004</v>
      </c>
      <c r="W136">
        <v>1139.1210000000001</v>
      </c>
      <c r="X136">
        <v>0.14265407439216801</v>
      </c>
      <c r="Y136">
        <v>2</v>
      </c>
      <c r="Z136" t="s">
        <v>39</v>
      </c>
      <c r="AA136" t="s">
        <v>33</v>
      </c>
      <c r="AB136" t="s">
        <v>34</v>
      </c>
      <c r="AC136" s="7">
        <f t="shared" si="20"/>
        <v>2.0246001772210705E-2</v>
      </c>
      <c r="AD136" s="8">
        <f t="shared" si="21"/>
        <v>0.51876123549599606</v>
      </c>
      <c r="AE136" s="9">
        <f t="shared" si="22"/>
        <v>0</v>
      </c>
      <c r="AF136" s="8">
        <f t="shared" si="23"/>
        <v>0.65599136456680585</v>
      </c>
      <c r="AG136" s="8">
        <f t="shared" si="24"/>
        <v>1.1988826972653803</v>
      </c>
      <c r="AH136" s="8">
        <f t="shared" si="25"/>
        <v>0.3143568339160262</v>
      </c>
      <c r="AI136" s="8">
        <f t="shared" si="26"/>
        <v>3.0867730355817238</v>
      </c>
      <c r="AJ136" s="8">
        <f t="shared" si="27"/>
        <v>0.14265407439216846</v>
      </c>
      <c r="AK136" s="8">
        <f t="shared" si="28"/>
        <v>1.1633336654837003</v>
      </c>
      <c r="AL136" s="8">
        <f t="shared" si="29"/>
        <v>9.9395569676797899E-2</v>
      </c>
    </row>
    <row r="137" spans="1:38">
      <c r="A137" t="s">
        <v>458</v>
      </c>
      <c r="B137" t="s">
        <v>459</v>
      </c>
      <c r="C137" t="s">
        <v>86</v>
      </c>
      <c r="D137">
        <v>5</v>
      </c>
      <c r="E137" t="s">
        <v>460</v>
      </c>
      <c r="F137">
        <v>239.29499999999999</v>
      </c>
      <c r="G137">
        <v>253.12100000000001</v>
      </c>
      <c r="H137">
        <v>252.41800000000001</v>
      </c>
      <c r="I137">
        <v>-1007.908</v>
      </c>
      <c r="J137">
        <v>580.14700000000005</v>
      </c>
      <c r="K137">
        <v>0</v>
      </c>
      <c r="L137">
        <v>1780.9670000000001</v>
      </c>
      <c r="M137">
        <v>-1200.82</v>
      </c>
      <c r="N137">
        <v>251.733</v>
      </c>
      <c r="O137">
        <v>328.35300000000001</v>
      </c>
      <c r="P137">
        <v>11.93</v>
      </c>
      <c r="Q137">
        <v>1.3879999999999999</v>
      </c>
      <c r="R137">
        <v>1977.425</v>
      </c>
      <c r="S137">
        <v>1792.8969999999999</v>
      </c>
      <c r="T137">
        <v>908.77499999999998</v>
      </c>
      <c r="U137">
        <v>893.49400000000003</v>
      </c>
      <c r="V137">
        <v>1212.297</v>
      </c>
      <c r="W137">
        <v>1460.4159999999999</v>
      </c>
      <c r="X137">
        <v>-1.10908420676185</v>
      </c>
      <c r="Y137">
        <v>2</v>
      </c>
      <c r="Z137" t="s">
        <v>57</v>
      </c>
      <c r="AA137" t="s">
        <v>33</v>
      </c>
      <c r="AB137" t="s">
        <v>34</v>
      </c>
      <c r="AC137" s="7">
        <f t="shared" si="20"/>
        <v>0.26554859457716912</v>
      </c>
      <c r="AD137" s="8">
        <f t="shared" si="21"/>
        <v>1.0027850628719031</v>
      </c>
      <c r="AE137" s="9">
        <f t="shared" si="22"/>
        <v>7.3627663631912598E-4</v>
      </c>
      <c r="AF137" s="8">
        <f t="shared" si="23"/>
        <v>-1.32136117300762</v>
      </c>
      <c r="AG137" s="8">
        <f t="shared" si="24"/>
        <v>0.50687518580264235</v>
      </c>
      <c r="AH137" s="8">
        <f t="shared" si="25"/>
        <v>1.9597447112871724</v>
      </c>
      <c r="AI137" s="8">
        <f t="shared" si="26"/>
        <v>0.32574831538147536</v>
      </c>
      <c r="AJ137" s="8">
        <f t="shared" si="27"/>
        <v>-1.1090842067618498</v>
      </c>
      <c r="AK137" s="8">
        <f t="shared" si="28"/>
        <v>0.32358077457879625</v>
      </c>
      <c r="AL137" s="8">
        <f t="shared" si="29"/>
        <v>-0.21020469345946938</v>
      </c>
    </row>
    <row r="138" spans="1:38">
      <c r="A138" t="s">
        <v>461</v>
      </c>
      <c r="B138" t="s">
        <v>462</v>
      </c>
      <c r="C138" t="s">
        <v>69</v>
      </c>
      <c r="D138">
        <v>4</v>
      </c>
      <c r="E138" t="s">
        <v>463</v>
      </c>
      <c r="F138">
        <v>4.6379999999999999</v>
      </c>
      <c r="G138">
        <v>16.315999999999999</v>
      </c>
      <c r="H138">
        <v>500.84199999999998</v>
      </c>
      <c r="I138">
        <v>46.179000000000002</v>
      </c>
      <c r="J138">
        <v>646.86699999999996</v>
      </c>
      <c r="K138">
        <v>64.213999999999999</v>
      </c>
      <c r="L138">
        <v>780.67200000000003</v>
      </c>
      <c r="M138">
        <v>-133.80500000000001</v>
      </c>
      <c r="N138">
        <v>12.109</v>
      </c>
      <c r="O138">
        <v>249.95699999999999</v>
      </c>
      <c r="P138">
        <v>2.9849999999999999</v>
      </c>
      <c r="Q138">
        <v>0.52100000000000002</v>
      </c>
      <c r="R138">
        <v>735.92</v>
      </c>
      <c r="S138">
        <v>783.65700000000004</v>
      </c>
      <c r="T138">
        <v>896.82399999999996</v>
      </c>
      <c r="U138">
        <v>835.697</v>
      </c>
      <c r="V138">
        <v>811.28200000000004</v>
      </c>
      <c r="W138">
        <v>885.36099999999999</v>
      </c>
      <c r="X138">
        <v>5.1491708518059301E-2</v>
      </c>
      <c r="Y138">
        <v>2</v>
      </c>
      <c r="Z138" t="s">
        <v>39</v>
      </c>
      <c r="AA138" t="s">
        <v>33</v>
      </c>
      <c r="AB138" t="s">
        <v>34</v>
      </c>
      <c r="AC138" s="7">
        <f t="shared" si="20"/>
        <v>5.3540476565652022E-3</v>
      </c>
      <c r="AD138" s="8">
        <f t="shared" si="21"/>
        <v>3.2577140096078205E-2</v>
      </c>
      <c r="AE138" s="9">
        <f t="shared" si="22"/>
        <v>6.8571714365247703E-4</v>
      </c>
      <c r="AF138" s="8">
        <f t="shared" si="23"/>
        <v>-0.1491987279555409</v>
      </c>
      <c r="AG138" s="8">
        <f t="shared" si="24"/>
        <v>1.1444088421337395</v>
      </c>
      <c r="AH138" s="8">
        <f t="shared" si="25"/>
        <v>0.87048517880877418</v>
      </c>
      <c r="AI138" s="8">
        <f t="shared" si="26"/>
        <v>0.82860279349073607</v>
      </c>
      <c r="AJ138" s="8">
        <f t="shared" si="27"/>
        <v>5.1491708518059287E-2</v>
      </c>
      <c r="AK138" s="8">
        <f t="shared" si="28"/>
        <v>0.82544659206770299</v>
      </c>
      <c r="AL138" s="8">
        <f t="shared" si="29"/>
        <v>-3.7430738761630726</v>
      </c>
    </row>
    <row r="139" spans="1:38">
      <c r="A139" t="s">
        <v>464</v>
      </c>
      <c r="B139" t="s">
        <v>465</v>
      </c>
      <c r="C139" t="s">
        <v>51</v>
      </c>
      <c r="D139">
        <v>25</v>
      </c>
      <c r="E139" t="s">
        <v>466</v>
      </c>
      <c r="F139">
        <v>-2015.318</v>
      </c>
      <c r="G139">
        <v>-840.46199999999999</v>
      </c>
      <c r="H139">
        <v>224.071</v>
      </c>
      <c r="I139">
        <v>-1965.318</v>
      </c>
      <c r="J139">
        <v>770.61599999999999</v>
      </c>
      <c r="K139">
        <v>7.5</v>
      </c>
      <c r="L139">
        <v>2792.57</v>
      </c>
      <c r="M139">
        <v>-2021.954</v>
      </c>
      <c r="N139">
        <v>-853.84699999999998</v>
      </c>
      <c r="O139">
        <v>50.859000000000002</v>
      </c>
      <c r="P139">
        <v>0</v>
      </c>
      <c r="Q139">
        <v>13.385</v>
      </c>
      <c r="R139">
        <v>2304.5949999999998</v>
      </c>
      <c r="S139">
        <v>2792.57</v>
      </c>
      <c r="T139">
        <v>863.00400000000002</v>
      </c>
      <c r="U139">
        <v>1824.9970000000001</v>
      </c>
      <c r="V139">
        <v>4734.2860000000001</v>
      </c>
      <c r="W139">
        <v>4128.0429999999997</v>
      </c>
      <c r="X139">
        <v>-2.2772988305963802</v>
      </c>
      <c r="Y139">
        <v>2</v>
      </c>
      <c r="Z139" t="s">
        <v>39</v>
      </c>
      <c r="AA139" t="s">
        <v>33</v>
      </c>
      <c r="AB139" t="s">
        <v>34</v>
      </c>
      <c r="AC139" s="7">
        <f t="shared" si="20"/>
        <v>-1.4994920016770825</v>
      </c>
      <c r="AD139" s="8">
        <f t="shared" si="21"/>
        <v>-3.7508736070263442</v>
      </c>
      <c r="AE139" s="9">
        <f t="shared" si="22"/>
        <v>5.2519390680898104E-3</v>
      </c>
      <c r="AF139" s="8">
        <f t="shared" si="23"/>
        <v>-2.3429254093839655</v>
      </c>
      <c r="AG139" s="8">
        <f t="shared" si="24"/>
        <v>0.30903576275617084</v>
      </c>
      <c r="AH139" s="8">
        <f t="shared" si="25"/>
        <v>3.2358714443965497</v>
      </c>
      <c r="AI139" s="8">
        <f t="shared" si="26"/>
        <v>0.27595225903021231</v>
      </c>
      <c r="AJ139" s="8">
        <f t="shared" si="27"/>
        <v>-2.2772988305963819</v>
      </c>
      <c r="AK139" s="8">
        <f t="shared" si="28"/>
        <v>0.27595225903021231</v>
      </c>
      <c r="AL139" s="8">
        <f t="shared" si="29"/>
        <v>-0.11081903940445727</v>
      </c>
    </row>
    <row r="140" spans="1:38">
      <c r="A140" t="s">
        <v>467</v>
      </c>
      <c r="B140" t="s">
        <v>468</v>
      </c>
      <c r="C140" t="s">
        <v>42</v>
      </c>
      <c r="D140">
        <v>0</v>
      </c>
      <c r="E140" t="s">
        <v>469</v>
      </c>
      <c r="F140">
        <v>-9.8859999999999992</v>
      </c>
      <c r="G140">
        <v>-9.516</v>
      </c>
      <c r="H140">
        <v>847.43299999999999</v>
      </c>
      <c r="I140">
        <v>223.42699999999999</v>
      </c>
      <c r="J140">
        <v>852.35400000000004</v>
      </c>
      <c r="K140">
        <v>540.22500000000002</v>
      </c>
      <c r="L140">
        <v>595.447</v>
      </c>
      <c r="M140">
        <v>256.90699999999998</v>
      </c>
      <c r="N140">
        <v>-9.8859999999999992</v>
      </c>
      <c r="O140">
        <v>9.0890000000000004</v>
      </c>
      <c r="P140">
        <v>41.933</v>
      </c>
      <c r="Q140">
        <v>0.37</v>
      </c>
      <c r="R140">
        <v>1495.502</v>
      </c>
      <c r="S140">
        <v>637.38</v>
      </c>
      <c r="T140">
        <v>861.44299999999998</v>
      </c>
      <c r="U140">
        <v>1729.45</v>
      </c>
      <c r="V140">
        <v>2394.576</v>
      </c>
      <c r="W140">
        <v>3446.4070000000002</v>
      </c>
      <c r="X140">
        <v>0.25936364913290799</v>
      </c>
      <c r="Y140">
        <v>2</v>
      </c>
      <c r="Z140" t="s">
        <v>44</v>
      </c>
      <c r="AA140" t="s">
        <v>33</v>
      </c>
      <c r="AB140" t="s">
        <v>34</v>
      </c>
      <c r="AC140" s="7">
        <f t="shared" si="20"/>
        <v>-7.6313456402869583E-3</v>
      </c>
      <c r="AD140" s="8">
        <f t="shared" si="21"/>
        <v>-1.1229206320735681E-2</v>
      </c>
      <c r="AE140" s="9">
        <f t="shared" si="22"/>
        <v>3.4694840127114389E-4</v>
      </c>
      <c r="AF140" s="8">
        <f t="shared" si="23"/>
        <v>0.29822866980171642</v>
      </c>
      <c r="AG140" s="8">
        <f t="shared" si="24"/>
        <v>1.3515375443220685</v>
      </c>
      <c r="AH140" s="8">
        <f t="shared" si="25"/>
        <v>0.69122042897788949</v>
      </c>
      <c r="AI140" s="8">
        <f t="shared" si="26"/>
        <v>1.4314523374876353</v>
      </c>
      <c r="AJ140" s="8">
        <f t="shared" si="27"/>
        <v>0.25936364913290838</v>
      </c>
      <c r="AK140" s="8">
        <f t="shared" si="28"/>
        <v>1.3372776051962723</v>
      </c>
      <c r="AL140" s="8">
        <f t="shared" si="29"/>
        <v>3.2985983254640785</v>
      </c>
    </row>
    <row r="141" spans="1:38">
      <c r="A141" t="s">
        <v>470</v>
      </c>
      <c r="B141" t="s">
        <v>471</v>
      </c>
      <c r="C141" t="s">
        <v>221</v>
      </c>
      <c r="D141">
        <v>10</v>
      </c>
      <c r="E141" t="s">
        <v>472</v>
      </c>
      <c r="F141">
        <v>-526.81200000000001</v>
      </c>
      <c r="G141">
        <v>-516.03599999999994</v>
      </c>
      <c r="H141">
        <v>413.56400000000002</v>
      </c>
      <c r="I141">
        <v>-525.77700000000004</v>
      </c>
      <c r="J141">
        <v>785.95899999999995</v>
      </c>
      <c r="K141">
        <v>0</v>
      </c>
      <c r="L141">
        <v>1231.33</v>
      </c>
      <c r="M141">
        <v>-445.37099999999998</v>
      </c>
      <c r="N141">
        <v>-520.63</v>
      </c>
      <c r="O141">
        <v>41.874000000000002</v>
      </c>
      <c r="P141">
        <v>79.525000000000006</v>
      </c>
      <c r="Q141">
        <v>4.6139999999999999</v>
      </c>
      <c r="R141">
        <v>1107.703</v>
      </c>
      <c r="S141">
        <v>1310.855</v>
      </c>
      <c r="T141">
        <v>828.80799999999999</v>
      </c>
      <c r="U141">
        <v>1151.3409999999999</v>
      </c>
      <c r="V141">
        <v>744.41300000000001</v>
      </c>
      <c r="W141">
        <v>700.75599999999997</v>
      </c>
      <c r="X141">
        <v>-0.63437732261271595</v>
      </c>
      <c r="Y141">
        <v>2</v>
      </c>
      <c r="Z141" t="s">
        <v>62</v>
      </c>
      <c r="AA141" t="s">
        <v>33</v>
      </c>
      <c r="AB141" t="s">
        <v>34</v>
      </c>
      <c r="AC141" s="7">
        <f t="shared" si="20"/>
        <v>-0.53209329196944277</v>
      </c>
      <c r="AD141" s="8">
        <f t="shared" si="21"/>
        <v>-1.2477778530046133</v>
      </c>
      <c r="AE141" s="9">
        <f t="shared" si="22"/>
        <v>3.8154966719838846E-3</v>
      </c>
      <c r="AF141" s="8">
        <f t="shared" si="23"/>
        <v>-0.5373632976515671</v>
      </c>
      <c r="AG141" s="8">
        <f t="shared" si="24"/>
        <v>0.63226520095662753</v>
      </c>
      <c r="AH141" s="8">
        <f t="shared" si="25"/>
        <v>1.4856637484194166</v>
      </c>
      <c r="AI141" s="8">
        <f t="shared" si="26"/>
        <v>0.63830086166990163</v>
      </c>
      <c r="AJ141" s="8">
        <f t="shared" si="27"/>
        <v>-0.63437732261271618</v>
      </c>
      <c r="AK141" s="8">
        <f t="shared" si="28"/>
        <v>0.59957737507199493</v>
      </c>
      <c r="AL141" s="8">
        <f t="shared" si="29"/>
        <v>-0.92858313630658496</v>
      </c>
    </row>
    <row r="142" spans="1:38">
      <c r="A142" t="s">
        <v>473</v>
      </c>
      <c r="B142" t="s">
        <v>474</v>
      </c>
      <c r="C142" t="s">
        <v>69</v>
      </c>
      <c r="D142">
        <v>0</v>
      </c>
      <c r="E142" t="s">
        <v>475</v>
      </c>
      <c r="F142">
        <v>-890.86900000000003</v>
      </c>
      <c r="G142">
        <v>-890.81299999999999</v>
      </c>
      <c r="H142">
        <v>134.91999999999999</v>
      </c>
      <c r="I142">
        <v>-1694.0419999999999</v>
      </c>
      <c r="J142">
        <v>825.202</v>
      </c>
      <c r="K142">
        <v>52</v>
      </c>
      <c r="L142">
        <v>2522.1089999999999</v>
      </c>
      <c r="M142">
        <v>-1696.9069999999999</v>
      </c>
      <c r="N142">
        <v>-890.86900000000003</v>
      </c>
      <c r="O142">
        <v>2.8650000000000002</v>
      </c>
      <c r="P142">
        <v>0</v>
      </c>
      <c r="Q142">
        <v>5.6000000000000001E-2</v>
      </c>
      <c r="R142">
        <v>2544.96</v>
      </c>
      <c r="S142">
        <v>2522.1089999999999</v>
      </c>
      <c r="T142">
        <v>828.06700000000001</v>
      </c>
      <c r="U142">
        <v>1741.787</v>
      </c>
      <c r="V142">
        <v>2620.884</v>
      </c>
      <c r="W142">
        <v>2436.7379999999998</v>
      </c>
      <c r="X142">
        <v>-2.04577890436402</v>
      </c>
      <c r="Y142">
        <v>2</v>
      </c>
      <c r="Z142" t="s">
        <v>39</v>
      </c>
      <c r="AA142" t="s">
        <v>33</v>
      </c>
      <c r="AB142" t="s">
        <v>34</v>
      </c>
      <c r="AC142" s="7">
        <f t="shared" si="20"/>
        <v>-0.69332265568394158</v>
      </c>
      <c r="AD142" s="8">
        <f t="shared" si="21"/>
        <v>-6.602527423658465</v>
      </c>
      <c r="AE142" s="9">
        <f t="shared" si="22"/>
        <v>2.2103507964860951E-5</v>
      </c>
      <c r="AF142" s="8">
        <f t="shared" si="23"/>
        <v>-2.0492387693266365</v>
      </c>
      <c r="AG142" s="8">
        <f t="shared" si="24"/>
        <v>0.3283232405895225</v>
      </c>
      <c r="AH142" s="8">
        <f t="shared" si="25"/>
        <v>3.0457789043640187</v>
      </c>
      <c r="AI142" s="8">
        <f t="shared" si="26"/>
        <v>0.32718728651299372</v>
      </c>
      <c r="AJ142" s="8">
        <f t="shared" si="27"/>
        <v>-2.0457789043640187</v>
      </c>
      <c r="AK142" s="8">
        <f t="shared" si="28"/>
        <v>0.32718728651299372</v>
      </c>
      <c r="AL142" s="8">
        <f t="shared" si="29"/>
        <v>-7.9509366158546105E-2</v>
      </c>
    </row>
    <row r="143" spans="1:38">
      <c r="A143" t="s">
        <v>476</v>
      </c>
      <c r="B143" t="s">
        <v>477</v>
      </c>
      <c r="C143" t="s">
        <v>42</v>
      </c>
      <c r="D143">
        <v>5</v>
      </c>
      <c r="E143" t="s">
        <v>478</v>
      </c>
      <c r="F143">
        <v>-461.98099999999999</v>
      </c>
      <c r="G143">
        <v>-391.23200000000003</v>
      </c>
      <c r="H143">
        <v>162.41300000000001</v>
      </c>
      <c r="I143">
        <v>-1003.394</v>
      </c>
      <c r="J143">
        <v>733.53200000000004</v>
      </c>
      <c r="K143">
        <v>0</v>
      </c>
      <c r="L143">
        <v>1822.1379999999999</v>
      </c>
      <c r="M143">
        <v>-1088.606</v>
      </c>
      <c r="N143">
        <v>-395.18900000000002</v>
      </c>
      <c r="O143">
        <v>8.7859999999999996</v>
      </c>
      <c r="P143">
        <v>0</v>
      </c>
      <c r="Q143">
        <v>3.9569999999999999</v>
      </c>
      <c r="R143">
        <v>2273.9299999999998</v>
      </c>
      <c r="S143">
        <v>1822.1379999999999</v>
      </c>
      <c r="T143">
        <v>818.74400000000003</v>
      </c>
      <c r="U143">
        <v>1965.1690000000001</v>
      </c>
      <c r="V143">
        <v>3712.9789999999998</v>
      </c>
      <c r="W143">
        <v>3532.875</v>
      </c>
      <c r="X143">
        <v>-1.2255283702842401</v>
      </c>
      <c r="Y143">
        <v>2</v>
      </c>
      <c r="Z143" t="s">
        <v>44</v>
      </c>
      <c r="AA143" t="s">
        <v>33</v>
      </c>
      <c r="AB143" t="s">
        <v>34</v>
      </c>
      <c r="AC143" s="7">
        <f t="shared" si="20"/>
        <v>-0.33189327396366192</v>
      </c>
      <c r="AD143" s="8">
        <f t="shared" si="21"/>
        <v>-2.4088712110483765</v>
      </c>
      <c r="AE143" s="9">
        <f t="shared" si="22"/>
        <v>1.9320968304237139E-3</v>
      </c>
      <c r="AF143" s="8">
        <f t="shared" si="23"/>
        <v>-1.3296048581730064</v>
      </c>
      <c r="AG143" s="8">
        <f t="shared" si="24"/>
        <v>0.44933149959004204</v>
      </c>
      <c r="AH143" s="8">
        <f t="shared" si="25"/>
        <v>2.2255283702842399</v>
      </c>
      <c r="AI143" s="8">
        <f t="shared" si="26"/>
        <v>0.40256665521491791</v>
      </c>
      <c r="AJ143" s="8">
        <f t="shared" si="27"/>
        <v>-1.2255283702842401</v>
      </c>
      <c r="AK143" s="8">
        <f t="shared" si="28"/>
        <v>0.40256665521491791</v>
      </c>
      <c r="AL143" s="8">
        <f t="shared" si="29"/>
        <v>-0.14919355579520965</v>
      </c>
    </row>
    <row r="144" spans="1:38">
      <c r="A144" t="s">
        <v>479</v>
      </c>
      <c r="B144" t="s">
        <v>480</v>
      </c>
      <c r="C144" t="s">
        <v>42</v>
      </c>
      <c r="D144">
        <v>15</v>
      </c>
      <c r="E144" t="s">
        <v>481</v>
      </c>
      <c r="F144">
        <v>-737.29899999999998</v>
      </c>
      <c r="G144">
        <v>-676.69799999999998</v>
      </c>
      <c r="H144">
        <v>1761.6479999999999</v>
      </c>
      <c r="I144">
        <v>-704.49099999999999</v>
      </c>
      <c r="J144">
        <v>740.15499999999997</v>
      </c>
      <c r="K144">
        <v>0</v>
      </c>
      <c r="L144">
        <v>1072.357</v>
      </c>
      <c r="M144">
        <v>-332.202</v>
      </c>
      <c r="N144">
        <v>-729.60199999999998</v>
      </c>
      <c r="O144">
        <v>32.131</v>
      </c>
      <c r="P144">
        <v>290.02199999999999</v>
      </c>
      <c r="Q144">
        <v>32.448</v>
      </c>
      <c r="R144">
        <v>1036.9359999999999</v>
      </c>
      <c r="S144">
        <v>1362.3789999999999</v>
      </c>
      <c r="T144">
        <v>775.226</v>
      </c>
      <c r="U144">
        <v>1202.3019999999999</v>
      </c>
      <c r="V144">
        <v>1048.4100000000001</v>
      </c>
      <c r="W144">
        <v>900.11900000000003</v>
      </c>
      <c r="X144">
        <v>-0.90875564029070199</v>
      </c>
      <c r="Y144">
        <v>2</v>
      </c>
      <c r="Z144" t="s">
        <v>44</v>
      </c>
      <c r="AA144" t="s">
        <v>33</v>
      </c>
      <c r="AB144" t="s">
        <v>34</v>
      </c>
      <c r="AC144" s="7">
        <f t="shared" si="20"/>
        <v>-0.74567743162170153</v>
      </c>
      <c r="AD144" s="8">
        <f t="shared" si="21"/>
        <v>-0.38412781668074442</v>
      </c>
      <c r="AE144" s="9">
        <f t="shared" si="22"/>
        <v>2.7047719870046248E-2</v>
      </c>
      <c r="AF144" s="8">
        <f t="shared" si="23"/>
        <v>-0.42852277916375353</v>
      </c>
      <c r="AG144" s="8">
        <f t="shared" si="24"/>
        <v>0.5690237444940065</v>
      </c>
      <c r="AH144" s="8">
        <f t="shared" si="25"/>
        <v>1.3832830684213377</v>
      </c>
      <c r="AI144" s="8">
        <f t="shared" si="26"/>
        <v>0.69021324055328592</v>
      </c>
      <c r="AJ144" s="8">
        <f t="shared" si="27"/>
        <v>-0.90875564029070233</v>
      </c>
      <c r="AK144" s="8">
        <f t="shared" si="28"/>
        <v>0.54328127488753131</v>
      </c>
      <c r="AL144" s="8">
        <f t="shared" si="29"/>
        <v>-5.3029421857785319</v>
      </c>
    </row>
    <row r="145" spans="1:38">
      <c r="A145" t="s">
        <v>482</v>
      </c>
      <c r="B145" t="s">
        <v>483</v>
      </c>
      <c r="C145" t="s">
        <v>131</v>
      </c>
      <c r="D145">
        <v>25</v>
      </c>
      <c r="E145" t="s">
        <v>484</v>
      </c>
      <c r="F145">
        <v>55.140999999999998</v>
      </c>
      <c r="G145">
        <v>97.23</v>
      </c>
      <c r="H145">
        <v>1422.35</v>
      </c>
      <c r="I145">
        <v>174.74199999999999</v>
      </c>
      <c r="J145">
        <v>731.14599999999996</v>
      </c>
      <c r="K145">
        <v>0</v>
      </c>
      <c r="L145">
        <v>557.05799999999999</v>
      </c>
      <c r="M145">
        <v>174.08799999999999</v>
      </c>
      <c r="N145">
        <v>63.04</v>
      </c>
      <c r="O145">
        <v>21.507000000000001</v>
      </c>
      <c r="P145">
        <v>0</v>
      </c>
      <c r="Q145">
        <v>0.309</v>
      </c>
      <c r="R145">
        <v>414.46</v>
      </c>
      <c r="S145">
        <v>557.05799999999999</v>
      </c>
      <c r="T145">
        <v>753.70899999999995</v>
      </c>
      <c r="U145">
        <v>546.21</v>
      </c>
      <c r="V145">
        <v>269.37200000000001</v>
      </c>
      <c r="W145">
        <v>411.61500000000001</v>
      </c>
      <c r="X145">
        <v>0.23184279343884701</v>
      </c>
      <c r="Y145">
        <v>2</v>
      </c>
      <c r="Z145" t="s">
        <v>32</v>
      </c>
      <c r="AA145" t="s">
        <v>33</v>
      </c>
      <c r="AB145" t="s">
        <v>34</v>
      </c>
      <c r="AC145" s="7">
        <f t="shared" si="20"/>
        <v>8.483759372699376E-2</v>
      </c>
      <c r="AD145" s="8">
        <f t="shared" si="21"/>
        <v>6.8358702147853917E-2</v>
      </c>
      <c r="AE145" s="9">
        <f t="shared" si="22"/>
        <v>6.3611791032178503E-4</v>
      </c>
      <c r="AF145" s="8">
        <f t="shared" si="23"/>
        <v>0.23097508454854593</v>
      </c>
      <c r="AG145" s="8">
        <f t="shared" si="24"/>
        <v>1.3530171005532636</v>
      </c>
      <c r="AH145" s="8">
        <f t="shared" si="25"/>
        <v>0.73908895873606395</v>
      </c>
      <c r="AI145" s="8">
        <f t="shared" si="26"/>
        <v>1.3125132391959184</v>
      </c>
      <c r="AJ145" s="8">
        <f t="shared" si="27"/>
        <v>0.23184279343884709</v>
      </c>
      <c r="AK145" s="8">
        <f t="shared" si="28"/>
        <v>1.3125132391959184</v>
      </c>
      <c r="AL145" s="8">
        <f t="shared" si="29"/>
        <v>8.1702931850558329</v>
      </c>
    </row>
    <row r="146" spans="1:38">
      <c r="A146" t="s">
        <v>485</v>
      </c>
      <c r="B146" t="s">
        <v>486</v>
      </c>
      <c r="C146" t="s">
        <v>51</v>
      </c>
      <c r="D146">
        <v>11</v>
      </c>
      <c r="E146" t="s">
        <v>487</v>
      </c>
      <c r="F146">
        <v>248.89599999999999</v>
      </c>
      <c r="G146">
        <v>297.488</v>
      </c>
      <c r="H146">
        <v>695.74099999999999</v>
      </c>
      <c r="I146">
        <v>436.072</v>
      </c>
      <c r="J146">
        <v>729.72500000000002</v>
      </c>
      <c r="K146">
        <v>0</v>
      </c>
      <c r="L146">
        <v>303.16399999999999</v>
      </c>
      <c r="M146">
        <v>426.56099999999998</v>
      </c>
      <c r="N146">
        <v>250.29</v>
      </c>
      <c r="O146">
        <v>10.132999999999999</v>
      </c>
      <c r="P146">
        <v>0</v>
      </c>
      <c r="Q146">
        <v>0.02</v>
      </c>
      <c r="R146">
        <v>342.48</v>
      </c>
      <c r="S146">
        <v>303.16399999999999</v>
      </c>
      <c r="T146">
        <v>739.85799999999995</v>
      </c>
      <c r="U146">
        <v>543.42399999999998</v>
      </c>
      <c r="V146">
        <v>267.28399999999999</v>
      </c>
      <c r="W146">
        <v>105.419</v>
      </c>
      <c r="X146">
        <v>0.58939958748841004</v>
      </c>
      <c r="Y146">
        <v>2</v>
      </c>
      <c r="Z146" t="s">
        <v>39</v>
      </c>
      <c r="AA146" t="s">
        <v>33</v>
      </c>
      <c r="AB146" t="s">
        <v>34</v>
      </c>
      <c r="AC146" s="7">
        <f t="shared" si="20"/>
        <v>0.38790538634532395</v>
      </c>
      <c r="AD146" s="8">
        <f t="shared" si="21"/>
        <v>0.42758440281656535</v>
      </c>
      <c r="AE146" s="9">
        <f t="shared" si="22"/>
        <v>6.1953646281851923E-5</v>
      </c>
      <c r="AF146" s="8">
        <f t="shared" si="23"/>
        <v>0.57654441798291023</v>
      </c>
      <c r="AG146" s="8">
        <f t="shared" si="24"/>
        <v>2.4404546713989785</v>
      </c>
      <c r="AH146" s="8">
        <f t="shared" si="25"/>
        <v>0.40975971064717825</v>
      </c>
      <c r="AI146" s="8">
        <f t="shared" si="26"/>
        <v>2.4070305181353988</v>
      </c>
      <c r="AJ146" s="8">
        <f t="shared" si="27"/>
        <v>0.58939958748841004</v>
      </c>
      <c r="AK146" s="8">
        <f t="shared" si="28"/>
        <v>2.4070305181353988</v>
      </c>
      <c r="AL146" s="8">
        <f t="shared" si="29"/>
        <v>1.6310469077107377</v>
      </c>
    </row>
    <row r="147" spans="1:38">
      <c r="A147" t="s">
        <v>488</v>
      </c>
      <c r="B147" t="s">
        <v>489</v>
      </c>
      <c r="C147" t="s">
        <v>42</v>
      </c>
      <c r="D147">
        <v>21</v>
      </c>
      <c r="E147" t="s">
        <v>490</v>
      </c>
      <c r="F147">
        <v>-416.04500000000002</v>
      </c>
      <c r="G147">
        <v>-405.56299999999999</v>
      </c>
      <c r="H147">
        <v>938.14099999999996</v>
      </c>
      <c r="I147">
        <v>-403.47800000000001</v>
      </c>
      <c r="J147">
        <v>717.22500000000002</v>
      </c>
      <c r="K147">
        <v>45</v>
      </c>
      <c r="L147">
        <v>918.84900000000005</v>
      </c>
      <c r="M147">
        <v>-201.624</v>
      </c>
      <c r="N147">
        <v>-412.428</v>
      </c>
      <c r="O147">
        <v>14.569000000000001</v>
      </c>
      <c r="P147">
        <v>194.04300000000001</v>
      </c>
      <c r="Q147">
        <v>6.8650000000000002</v>
      </c>
      <c r="R147">
        <v>785.84</v>
      </c>
      <c r="S147">
        <v>1112.8920000000001</v>
      </c>
      <c r="T147">
        <v>739.29399999999998</v>
      </c>
      <c r="U147">
        <v>859.31899999999996</v>
      </c>
      <c r="V147">
        <v>1188.6769999999999</v>
      </c>
      <c r="W147">
        <v>1065.732</v>
      </c>
      <c r="X147">
        <v>-0.54576122625099099</v>
      </c>
      <c r="Y147">
        <v>2</v>
      </c>
      <c r="Z147" t="s">
        <v>44</v>
      </c>
      <c r="AA147" t="s">
        <v>33</v>
      </c>
      <c r="AB147" t="s">
        <v>34</v>
      </c>
      <c r="AC147" s="7">
        <f t="shared" si="20"/>
        <v>-0.52050746490864275</v>
      </c>
      <c r="AD147" s="8">
        <f t="shared" si="21"/>
        <v>-0.4323049520274671</v>
      </c>
      <c r="AE147" s="9">
        <f t="shared" si="22"/>
        <v>7.2311416250423971E-3</v>
      </c>
      <c r="AF147" s="8">
        <f t="shared" si="23"/>
        <v>-0.2727250593133449</v>
      </c>
      <c r="AG147" s="8">
        <f t="shared" si="24"/>
        <v>0.66429986018409692</v>
      </c>
      <c r="AH147" s="8">
        <f t="shared" si="25"/>
        <v>1.2428736064407395</v>
      </c>
      <c r="AI147" s="8">
        <f t="shared" si="26"/>
        <v>0.78056895093753165</v>
      </c>
      <c r="AJ147" s="8">
        <f t="shared" si="27"/>
        <v>-0.54576122625099088</v>
      </c>
      <c r="AK147" s="8">
        <f t="shared" si="28"/>
        <v>0.64446954421453295</v>
      </c>
      <c r="AL147" s="8">
        <f t="shared" si="29"/>
        <v>-4.6529232631035988</v>
      </c>
    </row>
    <row r="148" spans="1:38">
      <c r="A148" t="s">
        <v>491</v>
      </c>
      <c r="B148" t="s">
        <v>492</v>
      </c>
      <c r="C148" t="s">
        <v>65</v>
      </c>
      <c r="D148">
        <v>1</v>
      </c>
      <c r="E148" t="s">
        <v>493</v>
      </c>
      <c r="F148">
        <v>-10.145</v>
      </c>
      <c r="G148">
        <v>9.5370000000000008</v>
      </c>
      <c r="H148">
        <v>54.496000000000002</v>
      </c>
      <c r="I148">
        <v>77.120999999999995</v>
      </c>
      <c r="J148">
        <v>159.40700000000001</v>
      </c>
      <c r="K148">
        <v>53.804000000000002</v>
      </c>
      <c r="L148">
        <v>463.89800000000002</v>
      </c>
      <c r="M148">
        <v>-304.49099999999999</v>
      </c>
      <c r="N148">
        <v>1.353</v>
      </c>
      <c r="O148">
        <v>560.22699999999998</v>
      </c>
      <c r="P148">
        <v>0</v>
      </c>
      <c r="Q148">
        <v>8.1839999999999993</v>
      </c>
      <c r="R148">
        <v>502.76</v>
      </c>
      <c r="S148">
        <v>463.89800000000002</v>
      </c>
      <c r="T148">
        <v>719.86199999999997</v>
      </c>
      <c r="U148">
        <v>766.27300000000002</v>
      </c>
      <c r="V148">
        <v>917.34699999999998</v>
      </c>
      <c r="W148">
        <v>988.54399999999998</v>
      </c>
      <c r="X148">
        <v>0.107133033831484</v>
      </c>
      <c r="Y148">
        <v>2</v>
      </c>
      <c r="Z148" t="s">
        <v>62</v>
      </c>
      <c r="AA148" t="s">
        <v>33</v>
      </c>
      <c r="AB148" t="s">
        <v>34</v>
      </c>
      <c r="AC148" s="7">
        <f t="shared" si="20"/>
        <v>-1.3652864645540276E-2</v>
      </c>
      <c r="AD148" s="8">
        <f t="shared" si="21"/>
        <v>0.17500366999412803</v>
      </c>
      <c r="AE148" s="9">
        <f t="shared" si="22"/>
        <v>1.6932565602312294E-2</v>
      </c>
      <c r="AF148" s="8">
        <f t="shared" si="23"/>
        <v>-0.42298523883744382</v>
      </c>
      <c r="AG148" s="8">
        <f t="shared" si="24"/>
        <v>1.5517678455177646</v>
      </c>
      <c r="AH148" s="8">
        <f t="shared" si="25"/>
        <v>0.64442629281723451</v>
      </c>
      <c r="AI148" s="8">
        <f t="shared" si="26"/>
        <v>0.34362510724340267</v>
      </c>
      <c r="AJ148" s="8">
        <f t="shared" si="27"/>
        <v>0.10713303383148437</v>
      </c>
      <c r="AK148" s="8">
        <f t="shared" si="28"/>
        <v>0.34362510724340267</v>
      </c>
      <c r="AL148" s="8">
        <f t="shared" si="29"/>
        <v>-0.17897409118824531</v>
      </c>
    </row>
    <row r="149" spans="1:38">
      <c r="A149" t="s">
        <v>494</v>
      </c>
      <c r="B149" t="s">
        <v>495</v>
      </c>
      <c r="C149" t="s">
        <v>69</v>
      </c>
      <c r="D149">
        <v>17</v>
      </c>
      <c r="E149" t="s">
        <v>496</v>
      </c>
      <c r="F149">
        <v>-4132.6149999999998</v>
      </c>
      <c r="G149">
        <v>-3784.491</v>
      </c>
      <c r="H149">
        <v>1007.83</v>
      </c>
      <c r="I149">
        <v>-3907.8330000000001</v>
      </c>
      <c r="J149">
        <v>467.39699999999999</v>
      </c>
      <c r="K149">
        <v>0</v>
      </c>
      <c r="L149">
        <v>4059.51</v>
      </c>
      <c r="M149">
        <v>-3592.1129999999998</v>
      </c>
      <c r="N149">
        <v>-3896.3850000000002</v>
      </c>
      <c r="O149">
        <v>241.733</v>
      </c>
      <c r="P149">
        <v>475.25700000000001</v>
      </c>
      <c r="Q149">
        <v>111.89400000000001</v>
      </c>
      <c r="R149">
        <v>3475.7130000000002</v>
      </c>
      <c r="S149">
        <v>4534.7669999999998</v>
      </c>
      <c r="T149">
        <v>709.13</v>
      </c>
      <c r="U149">
        <v>3949.7249999999999</v>
      </c>
      <c r="V149">
        <v>4028.8530000000001</v>
      </c>
      <c r="W149">
        <v>3648.7809999999999</v>
      </c>
      <c r="X149">
        <v>-5.5107427411053003</v>
      </c>
      <c r="Y149">
        <v>2</v>
      </c>
      <c r="Z149" t="s">
        <v>39</v>
      </c>
      <c r="AA149" t="s">
        <v>33</v>
      </c>
      <c r="AB149" t="s">
        <v>34</v>
      </c>
      <c r="AC149" s="7">
        <f t="shared" si="20"/>
        <v>-1.7740904149195458</v>
      </c>
      <c r="AD149" s="8">
        <f t="shared" si="21"/>
        <v>-3.755088655824891</v>
      </c>
      <c r="AE149" s="9">
        <f t="shared" si="22"/>
        <v>2.7936902657518654E-2</v>
      </c>
      <c r="AF149" s="8">
        <f t="shared" si="23"/>
        <v>-5.0655211315273645</v>
      </c>
      <c r="AG149" s="8">
        <f t="shared" si="24"/>
        <v>0.15637628129515807</v>
      </c>
      <c r="AH149" s="8">
        <f t="shared" si="25"/>
        <v>5.7246344111798972</v>
      </c>
      <c r="AI149" s="8">
        <f t="shared" si="26"/>
        <v>0.11513630955460141</v>
      </c>
      <c r="AJ149" s="8">
        <f t="shared" si="27"/>
        <v>-5.5107427411052985</v>
      </c>
      <c r="AK149" s="8">
        <f t="shared" si="28"/>
        <v>0.10306968362431852</v>
      </c>
      <c r="AL149" s="8">
        <f t="shared" si="29"/>
        <v>-0.28056745430892627</v>
      </c>
    </row>
    <row r="150" spans="1:38">
      <c r="A150" t="s">
        <v>497</v>
      </c>
      <c r="B150" t="s">
        <v>498</v>
      </c>
      <c r="C150" t="s">
        <v>124</v>
      </c>
      <c r="D150">
        <v>0</v>
      </c>
      <c r="E150" t="s">
        <v>499</v>
      </c>
      <c r="F150">
        <v>-44.140999999999998</v>
      </c>
      <c r="G150">
        <v>-23.82</v>
      </c>
      <c r="H150">
        <v>110.5</v>
      </c>
      <c r="I150">
        <v>-2454.415</v>
      </c>
      <c r="J150">
        <v>659.00800000000004</v>
      </c>
      <c r="K150">
        <v>552.35</v>
      </c>
      <c r="L150">
        <v>3142.6410000000001</v>
      </c>
      <c r="M150">
        <v>-2483.6329999999998</v>
      </c>
      <c r="N150">
        <v>-44.140999999999998</v>
      </c>
      <c r="O150">
        <v>29.218</v>
      </c>
      <c r="P150">
        <v>0</v>
      </c>
      <c r="Q150">
        <v>20.321000000000002</v>
      </c>
      <c r="R150">
        <v>3088.944</v>
      </c>
      <c r="S150">
        <v>3142.6410000000001</v>
      </c>
      <c r="T150">
        <v>688.226</v>
      </c>
      <c r="U150">
        <v>767.93600000000004</v>
      </c>
      <c r="V150">
        <v>773.21400000000006</v>
      </c>
      <c r="W150">
        <v>2004.481</v>
      </c>
      <c r="X150">
        <v>-3.5662921772789802</v>
      </c>
      <c r="Y150">
        <v>2</v>
      </c>
      <c r="Z150" t="s">
        <v>62</v>
      </c>
      <c r="AA150" t="s">
        <v>33</v>
      </c>
      <c r="AB150" t="s">
        <v>34</v>
      </c>
      <c r="AC150" s="7">
        <f t="shared" si="20"/>
        <v>-6.0626496227754872E-2</v>
      </c>
      <c r="AD150" s="8">
        <f t="shared" si="21"/>
        <v>-0.2155656108597285</v>
      </c>
      <c r="AE150" s="9">
        <f t="shared" si="22"/>
        <v>6.5219362329166659E-3</v>
      </c>
      <c r="AF150" s="8">
        <f t="shared" si="23"/>
        <v>-3.6087462548639544</v>
      </c>
      <c r="AG150" s="8">
        <f t="shared" si="24"/>
        <v>0.21899606095637394</v>
      </c>
      <c r="AH150" s="8">
        <f t="shared" si="25"/>
        <v>4.5662921772789753</v>
      </c>
      <c r="AI150" s="8">
        <f t="shared" si="26"/>
        <v>0.2096987851937272</v>
      </c>
      <c r="AJ150" s="8">
        <f t="shared" si="27"/>
        <v>-3.5662921772789753</v>
      </c>
      <c r="AK150" s="8">
        <f t="shared" si="28"/>
        <v>0.2096987851937272</v>
      </c>
      <c r="AL150" s="8">
        <f t="shared" si="29"/>
        <v>-4.4491275482327709E-2</v>
      </c>
    </row>
    <row r="151" spans="1:38">
      <c r="A151" t="s">
        <v>500</v>
      </c>
      <c r="B151" t="s">
        <v>501</v>
      </c>
      <c r="C151" t="s">
        <v>55</v>
      </c>
      <c r="D151">
        <v>6</v>
      </c>
      <c r="E151" t="s">
        <v>502</v>
      </c>
      <c r="F151">
        <v>15.254</v>
      </c>
      <c r="G151">
        <v>21.167000000000002</v>
      </c>
      <c r="H151">
        <v>580.23099999999999</v>
      </c>
      <c r="I151">
        <v>120.625</v>
      </c>
      <c r="J151">
        <v>637.24400000000003</v>
      </c>
      <c r="K151">
        <v>78.942999999999998</v>
      </c>
      <c r="L151">
        <v>270.77999999999997</v>
      </c>
      <c r="M151">
        <v>366.464</v>
      </c>
      <c r="N151">
        <v>17.399000000000001</v>
      </c>
      <c r="O151">
        <v>13.023</v>
      </c>
      <c r="P151">
        <v>239.99299999999999</v>
      </c>
      <c r="Q151">
        <v>3.7679999999999998</v>
      </c>
      <c r="R151">
        <v>370.20600000000002</v>
      </c>
      <c r="S151">
        <v>510.77300000000002</v>
      </c>
      <c r="T151">
        <v>660.48699999999997</v>
      </c>
      <c r="U151">
        <v>501.358</v>
      </c>
      <c r="V151">
        <v>286.54000000000002</v>
      </c>
      <c r="W151">
        <v>146.11600000000001</v>
      </c>
      <c r="X151">
        <v>0.18263039242256099</v>
      </c>
      <c r="Y151">
        <v>2</v>
      </c>
      <c r="Z151" t="s">
        <v>57</v>
      </c>
      <c r="AA151" t="s">
        <v>33</v>
      </c>
      <c r="AB151" t="s">
        <v>34</v>
      </c>
      <c r="AC151" s="7">
        <f t="shared" si="20"/>
        <v>2.6258235823195003E-2</v>
      </c>
      <c r="AD151" s="8">
        <f t="shared" si="21"/>
        <v>3.6480298363927473E-2</v>
      </c>
      <c r="AE151" s="9">
        <f t="shared" si="22"/>
        <v>8.5541199052417815E-3</v>
      </c>
      <c r="AF151" s="8">
        <f t="shared" si="23"/>
        <v>0.55483908086003209</v>
      </c>
      <c r="AG151" s="8">
        <f t="shared" si="24"/>
        <v>1.2931125960064449</v>
      </c>
      <c r="AH151" s="8">
        <f t="shared" si="25"/>
        <v>0.40997021894450608</v>
      </c>
      <c r="AI151" s="8">
        <f t="shared" si="26"/>
        <v>2.3533643548267968</v>
      </c>
      <c r="AJ151" s="8">
        <f t="shared" si="27"/>
        <v>0.18263039242256093</v>
      </c>
      <c r="AK151" s="8">
        <f t="shared" si="28"/>
        <v>1.2476070583214069</v>
      </c>
      <c r="AL151" s="8">
        <f t="shared" si="29"/>
        <v>1.5833233278030039</v>
      </c>
    </row>
    <row r="152" spans="1:38">
      <c r="A152" t="s">
        <v>503</v>
      </c>
      <c r="B152" t="s">
        <v>504</v>
      </c>
      <c r="C152" t="s">
        <v>51</v>
      </c>
      <c r="D152">
        <v>12</v>
      </c>
      <c r="E152" t="s">
        <v>505</v>
      </c>
      <c r="F152">
        <v>-386.13299999999998</v>
      </c>
      <c r="G152">
        <v>-378.91899999999998</v>
      </c>
      <c r="H152">
        <v>832.94399999999996</v>
      </c>
      <c r="I152">
        <v>-323.69200000000001</v>
      </c>
      <c r="J152">
        <v>628.399</v>
      </c>
      <c r="K152">
        <v>0</v>
      </c>
      <c r="L152">
        <v>932.93200000000002</v>
      </c>
      <c r="M152">
        <v>-304.53300000000002</v>
      </c>
      <c r="N152">
        <v>-382.98700000000002</v>
      </c>
      <c r="O152">
        <v>10.680999999999999</v>
      </c>
      <c r="P152">
        <v>0</v>
      </c>
      <c r="Q152">
        <v>4.1520000000000001</v>
      </c>
      <c r="R152">
        <v>724.39400000000001</v>
      </c>
      <c r="S152">
        <v>932.93200000000002</v>
      </c>
      <c r="T152">
        <v>642.56799999999998</v>
      </c>
      <c r="U152">
        <v>780.83600000000001</v>
      </c>
      <c r="V152">
        <v>467.78199999999998</v>
      </c>
      <c r="W152">
        <v>329.25400000000002</v>
      </c>
      <c r="X152">
        <v>-0.50374746330349496</v>
      </c>
      <c r="Y152">
        <v>2</v>
      </c>
      <c r="Z152" t="s">
        <v>39</v>
      </c>
      <c r="AA152" t="s">
        <v>33</v>
      </c>
      <c r="AB152" t="s">
        <v>34</v>
      </c>
      <c r="AC152" s="7">
        <f t="shared" si="20"/>
        <v>-0.54254870718362458</v>
      </c>
      <c r="AD152" s="8">
        <f t="shared" si="21"/>
        <v>-0.45491533644518717</v>
      </c>
      <c r="AE152" s="9">
        <f t="shared" si="22"/>
        <v>5.0104807382494454E-3</v>
      </c>
      <c r="AF152" s="8">
        <f t="shared" si="23"/>
        <v>-0.47393116370563121</v>
      </c>
      <c r="AG152" s="8">
        <f t="shared" si="24"/>
        <v>0.68876188189492904</v>
      </c>
      <c r="AH152" s="8">
        <f t="shared" si="25"/>
        <v>1.4518805791760561</v>
      </c>
      <c r="AI152" s="8">
        <f t="shared" si="26"/>
        <v>0.67357427979745577</v>
      </c>
      <c r="AJ152" s="8">
        <f t="shared" si="27"/>
        <v>-0.50374746330349474</v>
      </c>
      <c r="AK152" s="8">
        <f t="shared" si="28"/>
        <v>0.67357427979745577</v>
      </c>
      <c r="AL152" s="8">
        <f t="shared" si="29"/>
        <v>-2.7351518554639398</v>
      </c>
    </row>
    <row r="153" spans="1:38">
      <c r="A153" t="s">
        <v>506</v>
      </c>
      <c r="B153" t="s">
        <v>507</v>
      </c>
      <c r="C153" t="s">
        <v>508</v>
      </c>
      <c r="D153">
        <v>2</v>
      </c>
      <c r="E153" t="s">
        <v>509</v>
      </c>
      <c r="F153">
        <v>-67.659000000000006</v>
      </c>
      <c r="G153">
        <v>-67.594999999999999</v>
      </c>
      <c r="H153">
        <v>38.418999999999997</v>
      </c>
      <c r="I153">
        <v>-707.596</v>
      </c>
      <c r="J153">
        <v>630.62800000000004</v>
      </c>
      <c r="K153">
        <v>0</v>
      </c>
      <c r="L153">
        <v>1011.41</v>
      </c>
      <c r="M153">
        <v>-380.78199999999998</v>
      </c>
      <c r="N153">
        <v>-67.659000000000006</v>
      </c>
      <c r="O153">
        <v>7.7530000000000001</v>
      </c>
      <c r="P153">
        <v>336.48899999999998</v>
      </c>
      <c r="Q153">
        <v>6.4000000000000001E-2</v>
      </c>
      <c r="R153">
        <v>1194.4770000000001</v>
      </c>
      <c r="S153">
        <v>1347.8989999999999</v>
      </c>
      <c r="T153">
        <v>640.303</v>
      </c>
      <c r="U153">
        <v>577.096</v>
      </c>
      <c r="V153">
        <v>562.44100000000003</v>
      </c>
      <c r="W153">
        <v>507.31799999999998</v>
      </c>
      <c r="X153">
        <v>-1.10509555632255</v>
      </c>
      <c r="Y153">
        <v>2</v>
      </c>
      <c r="Z153" t="s">
        <v>62</v>
      </c>
      <c r="AA153" t="s">
        <v>33</v>
      </c>
      <c r="AB153" t="s">
        <v>34</v>
      </c>
      <c r="AC153" s="7">
        <f t="shared" si="20"/>
        <v>-0.11115336878049023</v>
      </c>
      <c r="AD153" s="8">
        <f t="shared" si="21"/>
        <v>-1.7594159140008852</v>
      </c>
      <c r="AE153" s="9">
        <f t="shared" si="22"/>
        <v>5.0346604908164644E-5</v>
      </c>
      <c r="AF153" s="8">
        <f t="shared" si="23"/>
        <v>-0.59469032629864294</v>
      </c>
      <c r="AG153" s="8">
        <f t="shared" si="24"/>
        <v>0.47503781811545231</v>
      </c>
      <c r="AH153" s="8">
        <f t="shared" si="25"/>
        <v>1.5795802924552906</v>
      </c>
      <c r="AI153" s="8">
        <f t="shared" si="26"/>
        <v>0.62351370858504473</v>
      </c>
      <c r="AJ153" s="8">
        <f t="shared" si="27"/>
        <v>-1.1050955563225535</v>
      </c>
      <c r="AK153" s="8">
        <f t="shared" si="28"/>
        <v>0.46785998060685563</v>
      </c>
      <c r="AL153" s="8">
        <f t="shared" si="29"/>
        <v>-0.1008950002888792</v>
      </c>
    </row>
    <row r="154" spans="1:38">
      <c r="A154" t="s">
        <v>510</v>
      </c>
      <c r="B154" t="s">
        <v>511</v>
      </c>
      <c r="C154" t="s">
        <v>69</v>
      </c>
      <c r="D154">
        <v>0</v>
      </c>
      <c r="E154" t="s">
        <v>512</v>
      </c>
      <c r="F154">
        <v>3.2290000000000001</v>
      </c>
      <c r="G154">
        <v>6.0979999999999999</v>
      </c>
      <c r="H154">
        <v>44.530999999999999</v>
      </c>
      <c r="I154">
        <v>12.509</v>
      </c>
      <c r="J154">
        <v>616.91800000000001</v>
      </c>
      <c r="K154">
        <v>439.875</v>
      </c>
      <c r="L154">
        <v>429.404</v>
      </c>
      <c r="M154">
        <v>187.51400000000001</v>
      </c>
      <c r="N154">
        <v>5.5529999999999999</v>
      </c>
      <c r="O154">
        <v>5.2370000000000001</v>
      </c>
      <c r="P154">
        <v>188.215</v>
      </c>
      <c r="Q154">
        <v>0.54500000000000004</v>
      </c>
      <c r="R154">
        <v>671.2</v>
      </c>
      <c r="S154">
        <v>617.61900000000003</v>
      </c>
      <c r="T154">
        <v>630.12800000000004</v>
      </c>
      <c r="U154">
        <v>680.59900000000005</v>
      </c>
      <c r="V154">
        <v>710.87599999999998</v>
      </c>
      <c r="W154">
        <v>712.34100000000001</v>
      </c>
      <c r="X154">
        <v>1.9851522230404001E-2</v>
      </c>
      <c r="Y154">
        <v>2</v>
      </c>
      <c r="Z154" t="s">
        <v>39</v>
      </c>
      <c r="AA154" t="s">
        <v>33</v>
      </c>
      <c r="AB154" t="s">
        <v>34</v>
      </c>
      <c r="AC154" s="7">
        <f t="shared" si="20"/>
        <v>4.9270366750665852E-3</v>
      </c>
      <c r="AD154" s="8">
        <f t="shared" si="21"/>
        <v>0.13693831263614112</v>
      </c>
      <c r="AE154" s="9">
        <f t="shared" si="22"/>
        <v>8.4573551445160265E-4</v>
      </c>
      <c r="AF154" s="8">
        <f t="shared" si="23"/>
        <v>0.29758080897849326</v>
      </c>
      <c r="AG154" s="8">
        <f t="shared" si="24"/>
        <v>1.0202535867581795</v>
      </c>
      <c r="AH154" s="8">
        <f t="shared" si="25"/>
        <v>0.68145519640454</v>
      </c>
      <c r="AI154" s="8">
        <f t="shared" si="26"/>
        <v>1.4366843345660496</v>
      </c>
      <c r="AJ154" s="8">
        <f t="shared" si="27"/>
        <v>1.9851522230403981E-2</v>
      </c>
      <c r="AK154" s="8">
        <f t="shared" si="28"/>
        <v>0.99886499605743995</v>
      </c>
      <c r="AL154" s="8">
        <f t="shared" si="29"/>
        <v>0.23748093475687146</v>
      </c>
    </row>
    <row r="155" spans="1:38">
      <c r="A155" t="s">
        <v>513</v>
      </c>
      <c r="B155" t="s">
        <v>514</v>
      </c>
      <c r="C155" t="s">
        <v>65</v>
      </c>
      <c r="D155">
        <v>0</v>
      </c>
      <c r="E155" t="s">
        <v>515</v>
      </c>
      <c r="F155">
        <v>-38.613</v>
      </c>
      <c r="G155">
        <v>-36.377000000000002</v>
      </c>
      <c r="H155">
        <v>182.86</v>
      </c>
      <c r="I155">
        <v>-1867.8810000000001</v>
      </c>
      <c r="J155">
        <v>618.82000000000005</v>
      </c>
      <c r="K155">
        <v>396.30500000000001</v>
      </c>
      <c r="L155">
        <v>1941.8240000000001</v>
      </c>
      <c r="M155">
        <v>-1323.0039999999999</v>
      </c>
      <c r="N155">
        <v>-38.613</v>
      </c>
      <c r="O155">
        <v>1E-3</v>
      </c>
      <c r="P155">
        <v>544.87800000000004</v>
      </c>
      <c r="Q155">
        <v>1.597</v>
      </c>
      <c r="R155">
        <v>2445.13</v>
      </c>
      <c r="S155">
        <v>2486.7020000000002</v>
      </c>
      <c r="T155">
        <v>618.82100000000003</v>
      </c>
      <c r="U155">
        <v>615.86300000000006</v>
      </c>
      <c r="V155">
        <v>2242.2240000000002</v>
      </c>
      <c r="W155">
        <v>2629.4340000000002</v>
      </c>
      <c r="X155">
        <v>-3.0184512161028798</v>
      </c>
      <c r="Y155">
        <v>2</v>
      </c>
      <c r="Z155" t="s">
        <v>62</v>
      </c>
      <c r="AA155" t="s">
        <v>33</v>
      </c>
      <c r="AB155" t="s">
        <v>34</v>
      </c>
      <c r="AC155" s="7">
        <f t="shared" si="20"/>
        <v>-6.2547178063374911E-2</v>
      </c>
      <c r="AD155" s="8">
        <f t="shared" si="21"/>
        <v>-0.19893361041233731</v>
      </c>
      <c r="AE155" s="9">
        <f t="shared" si="22"/>
        <v>6.4762952184908157E-4</v>
      </c>
      <c r="AF155" s="8">
        <f t="shared" si="23"/>
        <v>-2.1379429592725518</v>
      </c>
      <c r="AG155" s="8">
        <f t="shared" si="24"/>
        <v>0.24885209405871711</v>
      </c>
      <c r="AH155" s="8">
        <f t="shared" si="25"/>
        <v>3.1379413432963652</v>
      </c>
      <c r="AI155" s="8">
        <f t="shared" si="26"/>
        <v>0.31867975676477378</v>
      </c>
      <c r="AJ155" s="8">
        <f t="shared" si="27"/>
        <v>-3.0184512161028794</v>
      </c>
      <c r="AK155" s="8">
        <f t="shared" si="28"/>
        <v>0.24885169191965906</v>
      </c>
      <c r="AL155" s="8">
        <f t="shared" si="29"/>
        <v>-0.13821575747314446</v>
      </c>
    </row>
    <row r="156" spans="1:38">
      <c r="A156" t="s">
        <v>516</v>
      </c>
      <c r="B156" t="s">
        <v>517</v>
      </c>
      <c r="C156" t="s">
        <v>37</v>
      </c>
      <c r="D156">
        <v>8</v>
      </c>
      <c r="E156" t="s">
        <v>518</v>
      </c>
      <c r="F156">
        <v>-391.40100000000001</v>
      </c>
      <c r="G156">
        <v>-300.36799999999999</v>
      </c>
      <c r="H156">
        <v>746.43200000000002</v>
      </c>
      <c r="I156">
        <v>-374.90699999999998</v>
      </c>
      <c r="J156">
        <v>581.327</v>
      </c>
      <c r="K156">
        <v>189.66800000000001</v>
      </c>
      <c r="L156">
        <v>901.66499999999996</v>
      </c>
      <c r="M156">
        <v>-320.33800000000002</v>
      </c>
      <c r="N156">
        <v>-338.54899999999998</v>
      </c>
      <c r="O156">
        <v>23.068999999999999</v>
      </c>
      <c r="P156">
        <v>17.529</v>
      </c>
      <c r="Q156">
        <v>38.180999999999997</v>
      </c>
      <c r="R156">
        <v>1099.9690000000001</v>
      </c>
      <c r="S156">
        <v>919.19399999999996</v>
      </c>
      <c r="T156">
        <v>611.89599999999996</v>
      </c>
      <c r="U156">
        <v>1202.2850000000001</v>
      </c>
      <c r="V156">
        <v>675.32500000000005</v>
      </c>
      <c r="W156">
        <v>623.86900000000003</v>
      </c>
      <c r="X156">
        <v>-0.61269725574280598</v>
      </c>
      <c r="Y156">
        <v>2</v>
      </c>
      <c r="Z156" t="s">
        <v>39</v>
      </c>
      <c r="AA156" t="s">
        <v>33</v>
      </c>
      <c r="AB156" t="s">
        <v>34</v>
      </c>
      <c r="AC156" s="7">
        <f t="shared" si="20"/>
        <v>-0.43149057343230912</v>
      </c>
      <c r="AD156" s="8">
        <f t="shared" si="21"/>
        <v>-0.40240504158449797</v>
      </c>
      <c r="AE156" s="9">
        <f t="shared" si="22"/>
        <v>3.7818640694188631E-2</v>
      </c>
      <c r="AF156" s="8">
        <f t="shared" si="23"/>
        <v>-0.5235170682599658</v>
      </c>
      <c r="AG156" s="8">
        <f t="shared" si="24"/>
        <v>0.6656875480040122</v>
      </c>
      <c r="AH156" s="8">
        <f t="shared" si="25"/>
        <v>1.4735592322878399</v>
      </c>
      <c r="AI156" s="8">
        <f t="shared" si="26"/>
        <v>0.64472614551967755</v>
      </c>
      <c r="AJ156" s="8">
        <f t="shared" si="27"/>
        <v>-0.61269725574280598</v>
      </c>
      <c r="AK156" s="8">
        <f t="shared" si="28"/>
        <v>0.63243123867214102</v>
      </c>
      <c r="AL156" s="8">
        <f t="shared" si="29"/>
        <v>-2.3301387909021094</v>
      </c>
    </row>
    <row r="157" spans="1:38">
      <c r="A157" t="s">
        <v>519</v>
      </c>
      <c r="B157" t="s">
        <v>520</v>
      </c>
      <c r="C157" t="s">
        <v>69</v>
      </c>
      <c r="D157">
        <v>6</v>
      </c>
      <c r="E157" t="s">
        <v>521</v>
      </c>
      <c r="F157">
        <v>2.8639999999999999</v>
      </c>
      <c r="G157">
        <v>7.5460000000000003</v>
      </c>
      <c r="H157">
        <v>346.85599999999999</v>
      </c>
      <c r="I157">
        <v>13.255000000000001</v>
      </c>
      <c r="J157">
        <v>596.24400000000003</v>
      </c>
      <c r="K157">
        <v>180.8</v>
      </c>
      <c r="L157">
        <v>356.51</v>
      </c>
      <c r="M157">
        <v>239.73400000000001</v>
      </c>
      <c r="N157">
        <v>3.9119999999999999</v>
      </c>
      <c r="O157">
        <v>5.298</v>
      </c>
      <c r="P157">
        <v>227.053</v>
      </c>
      <c r="Q157">
        <v>1.952</v>
      </c>
      <c r="R157">
        <v>193.78299999999999</v>
      </c>
      <c r="S157">
        <v>583.56299999999999</v>
      </c>
      <c r="T157">
        <v>604.35699999999997</v>
      </c>
      <c r="U157">
        <v>202.554</v>
      </c>
      <c r="V157">
        <v>203.11600000000001</v>
      </c>
      <c r="W157">
        <v>203.15700000000001</v>
      </c>
      <c r="X157">
        <v>2.1932400882259999E-2</v>
      </c>
      <c r="Y157">
        <v>2</v>
      </c>
      <c r="Z157" t="s">
        <v>39</v>
      </c>
      <c r="AA157" t="s">
        <v>33</v>
      </c>
      <c r="AB157" t="s">
        <v>34</v>
      </c>
      <c r="AC157" s="7">
        <f t="shared" si="20"/>
        <v>7.0986763100267568E-3</v>
      </c>
      <c r="AD157" s="8">
        <f t="shared" si="21"/>
        <v>2.1755425882787095E-2</v>
      </c>
      <c r="AE157" s="9">
        <f t="shared" si="22"/>
        <v>5.0222166191116954E-3</v>
      </c>
      <c r="AF157" s="8">
        <f t="shared" si="23"/>
        <v>0.39667613678670061</v>
      </c>
      <c r="AG157" s="8">
        <f t="shared" si="24"/>
        <v>1.0356328279894373</v>
      </c>
      <c r="AH157" s="8">
        <f t="shared" si="25"/>
        <v>0.58989967850128322</v>
      </c>
      <c r="AI157" s="8">
        <f t="shared" si="26"/>
        <v>1.6724467756865167</v>
      </c>
      <c r="AJ157" s="8">
        <f t="shared" si="27"/>
        <v>2.1932400882259992E-2</v>
      </c>
      <c r="AK157" s="8">
        <f t="shared" si="28"/>
        <v>1.0217303016126795</v>
      </c>
      <c r="AL157" s="8">
        <f t="shared" si="29"/>
        <v>1.4468369109095913</v>
      </c>
    </row>
    <row r="158" spans="1:38">
      <c r="A158" t="s">
        <v>522</v>
      </c>
      <c r="B158" t="s">
        <v>523</v>
      </c>
      <c r="C158" t="s">
        <v>124</v>
      </c>
      <c r="D158">
        <v>15</v>
      </c>
      <c r="E158" t="s">
        <v>524</v>
      </c>
      <c r="F158">
        <v>-385.44</v>
      </c>
      <c r="G158">
        <v>-376.34899999999999</v>
      </c>
      <c r="H158">
        <v>655.57399999999996</v>
      </c>
      <c r="I158">
        <v>-288.59399999999999</v>
      </c>
      <c r="J158">
        <v>561.21299999999997</v>
      </c>
      <c r="K158">
        <v>28.285</v>
      </c>
      <c r="L158">
        <v>834.50699999999995</v>
      </c>
      <c r="M158">
        <v>-273.29399999999998</v>
      </c>
      <c r="N158">
        <v>-383.23200000000003</v>
      </c>
      <c r="O158">
        <v>10.458</v>
      </c>
      <c r="P158">
        <v>0</v>
      </c>
      <c r="Q158">
        <v>7.4909999999999997</v>
      </c>
      <c r="R158">
        <v>328.37799999999999</v>
      </c>
      <c r="S158">
        <v>834.50699999999995</v>
      </c>
      <c r="T158">
        <v>572.31200000000001</v>
      </c>
      <c r="U158">
        <v>384.05700000000002</v>
      </c>
      <c r="V158">
        <v>87.463999999999999</v>
      </c>
      <c r="W158">
        <v>47.250999999999998</v>
      </c>
      <c r="X158">
        <v>-0.50425991417268901</v>
      </c>
      <c r="Y158">
        <v>2</v>
      </c>
      <c r="Z158" t="s">
        <v>62</v>
      </c>
      <c r="AA158" t="s">
        <v>33</v>
      </c>
      <c r="AB158" t="s">
        <v>34</v>
      </c>
      <c r="AC158" s="7">
        <f t="shared" si="20"/>
        <v>-0.80604871132376721</v>
      </c>
      <c r="AD158" s="8">
        <f t="shared" si="21"/>
        <v>-0.57407554295929986</v>
      </c>
      <c r="AE158" s="9">
        <f t="shared" si="22"/>
        <v>1.2883475150165321E-2</v>
      </c>
      <c r="AF158" s="8">
        <f t="shared" si="23"/>
        <v>-0.47752624442611719</v>
      </c>
      <c r="AG158" s="8">
        <f t="shared" si="24"/>
        <v>0.6858085072983211</v>
      </c>
      <c r="AH158" s="8">
        <f t="shared" si="25"/>
        <v>1.458132976418457</v>
      </c>
      <c r="AI158" s="8">
        <f t="shared" si="26"/>
        <v>0.67250843911435132</v>
      </c>
      <c r="AJ158" s="8">
        <f t="shared" si="27"/>
        <v>-0.50425991417268901</v>
      </c>
      <c r="AK158" s="8">
        <f t="shared" si="28"/>
        <v>0.67250843911435132</v>
      </c>
      <c r="AL158" s="8">
        <f t="shared" si="29"/>
        <v>-2.3987866546649395</v>
      </c>
    </row>
    <row r="159" spans="1:38">
      <c r="A159" t="s">
        <v>525</v>
      </c>
      <c r="B159" t="s">
        <v>526</v>
      </c>
      <c r="C159" t="s">
        <v>86</v>
      </c>
      <c r="D159">
        <v>1</v>
      </c>
      <c r="E159" t="s">
        <v>527</v>
      </c>
      <c r="F159">
        <v>-991.99199999999996</v>
      </c>
      <c r="G159">
        <v>-986.56899999999996</v>
      </c>
      <c r="H159">
        <v>187.06700000000001</v>
      </c>
      <c r="I159">
        <v>-981.86800000000005</v>
      </c>
      <c r="J159">
        <v>520.41499999999996</v>
      </c>
      <c r="K159">
        <v>130</v>
      </c>
      <c r="L159">
        <v>1287.0619999999999</v>
      </c>
      <c r="M159">
        <v>-766.64700000000005</v>
      </c>
      <c r="N159">
        <v>-987.19</v>
      </c>
      <c r="O159">
        <v>26.968</v>
      </c>
      <c r="P159">
        <v>250.52099999999999</v>
      </c>
      <c r="Q159">
        <v>0.621</v>
      </c>
      <c r="R159">
        <v>1661.885</v>
      </c>
      <c r="S159">
        <v>1537.5830000000001</v>
      </c>
      <c r="T159">
        <v>556.04300000000001</v>
      </c>
      <c r="U159">
        <v>1672.008</v>
      </c>
      <c r="V159">
        <v>2281.5059999999999</v>
      </c>
      <c r="W159">
        <v>3330.7080000000001</v>
      </c>
      <c r="X159">
        <v>-1.7658130756074599</v>
      </c>
      <c r="Y159">
        <v>2</v>
      </c>
      <c r="Z159" t="s">
        <v>57</v>
      </c>
      <c r="AA159" t="s">
        <v>33</v>
      </c>
      <c r="AB159" t="s">
        <v>34</v>
      </c>
      <c r="AC159" s="7">
        <f t="shared" si="20"/>
        <v>-0.89045717535191071</v>
      </c>
      <c r="AD159" s="8">
        <f t="shared" si="21"/>
        <v>-5.2738804813248725</v>
      </c>
      <c r="AE159" s="9">
        <f t="shared" si="22"/>
        <v>3.881895365104449E-4</v>
      </c>
      <c r="AF159" s="8">
        <f t="shared" si="23"/>
        <v>-1.3787548804678775</v>
      </c>
      <c r="AG159" s="8">
        <f t="shared" si="24"/>
        <v>0.36163446135915911</v>
      </c>
      <c r="AH159" s="8">
        <f t="shared" si="25"/>
        <v>2.3146806991545614</v>
      </c>
      <c r="AI159" s="8">
        <f t="shared" si="26"/>
        <v>0.40434338050536806</v>
      </c>
      <c r="AJ159" s="8">
        <f t="shared" si="27"/>
        <v>-1.7658130756074621</v>
      </c>
      <c r="AK159" s="8">
        <f t="shared" si="28"/>
        <v>0.33846302931288907</v>
      </c>
      <c r="AL159" s="8">
        <f t="shared" si="29"/>
        <v>-0.24400669408476131</v>
      </c>
    </row>
    <row r="160" spans="1:38">
      <c r="A160" t="s">
        <v>528</v>
      </c>
      <c r="B160" t="s">
        <v>529</v>
      </c>
      <c r="C160" t="s">
        <v>124</v>
      </c>
      <c r="D160">
        <v>6</v>
      </c>
      <c r="E160" t="s">
        <v>530</v>
      </c>
      <c r="F160">
        <v>-1913.894</v>
      </c>
      <c r="G160">
        <v>-1713.3679999999999</v>
      </c>
      <c r="H160">
        <v>399.5</v>
      </c>
      <c r="I160">
        <v>-1898.694</v>
      </c>
      <c r="J160">
        <v>86.046999999999997</v>
      </c>
      <c r="K160">
        <v>26.116</v>
      </c>
      <c r="L160">
        <v>1868.0619999999999</v>
      </c>
      <c r="M160">
        <v>-1782.0150000000001</v>
      </c>
      <c r="N160">
        <v>-1772.86</v>
      </c>
      <c r="O160">
        <v>446.74599999999998</v>
      </c>
      <c r="P160">
        <v>467.03300000000002</v>
      </c>
      <c r="Q160">
        <v>59.491999999999997</v>
      </c>
      <c r="R160">
        <v>2022.694</v>
      </c>
      <c r="S160">
        <v>2335.0949999999998</v>
      </c>
      <c r="T160">
        <v>532.79300000000001</v>
      </c>
      <c r="U160">
        <v>2131.7649999999999</v>
      </c>
      <c r="V160">
        <v>2057.616</v>
      </c>
      <c r="W160">
        <v>1768.415</v>
      </c>
      <c r="X160">
        <v>-3.5636616847443601</v>
      </c>
      <c r="Y160">
        <v>2</v>
      </c>
      <c r="Z160" t="s">
        <v>62</v>
      </c>
      <c r="AA160" t="s">
        <v>33</v>
      </c>
      <c r="AB160" t="s">
        <v>34</v>
      </c>
      <c r="AC160" s="7">
        <f t="shared" si="20"/>
        <v>-1.4365564570183873</v>
      </c>
      <c r="AD160" s="8">
        <f t="shared" si="21"/>
        <v>-4.2887809762202753</v>
      </c>
      <c r="AE160" s="9">
        <f t="shared" si="22"/>
        <v>2.7303754266211604E-2</v>
      </c>
      <c r="AF160" s="8">
        <f t="shared" si="23"/>
        <v>-3.3446666904407532</v>
      </c>
      <c r="AG160" s="8">
        <f t="shared" si="24"/>
        <v>0.22816759061194514</v>
      </c>
      <c r="AH160" s="8">
        <f t="shared" si="25"/>
        <v>3.5061684368976316</v>
      </c>
      <c r="AI160" s="8">
        <f t="shared" si="26"/>
        <v>4.6062175666546398E-2</v>
      </c>
      <c r="AJ160" s="8">
        <f t="shared" si="27"/>
        <v>-3.5636616847443565</v>
      </c>
      <c r="AK160" s="8">
        <f t="shared" si="28"/>
        <v>3.6849464368687357E-2</v>
      </c>
      <c r="AL160" s="8">
        <f t="shared" si="29"/>
        <v>-0.22418442044539466</v>
      </c>
    </row>
    <row r="161" spans="1:38">
      <c r="A161" t="s">
        <v>531</v>
      </c>
      <c r="B161" t="s">
        <v>532</v>
      </c>
      <c r="C161" t="s">
        <v>47</v>
      </c>
      <c r="D161">
        <v>4</v>
      </c>
      <c r="E161" t="s">
        <v>533</v>
      </c>
      <c r="F161">
        <v>10.186</v>
      </c>
      <c r="G161">
        <v>12.496</v>
      </c>
      <c r="H161">
        <v>948.31600000000003</v>
      </c>
      <c r="I161">
        <v>37.201999999999998</v>
      </c>
      <c r="J161">
        <v>521.20100000000002</v>
      </c>
      <c r="K161">
        <v>0</v>
      </c>
      <c r="L161">
        <v>458.80099999999999</v>
      </c>
      <c r="M161">
        <v>62.4</v>
      </c>
      <c r="N161">
        <v>12.484999999999999</v>
      </c>
      <c r="O161">
        <v>7.6310000000000002</v>
      </c>
      <c r="P161">
        <v>32.192999999999998</v>
      </c>
      <c r="Q161">
        <v>1.0999999999999999E-2</v>
      </c>
      <c r="R161">
        <v>330.76900000000001</v>
      </c>
      <c r="S161">
        <v>490.99400000000003</v>
      </c>
      <c r="T161">
        <v>529.89400000000001</v>
      </c>
      <c r="U161">
        <v>377.71800000000002</v>
      </c>
      <c r="V161">
        <v>138.72800000000001</v>
      </c>
      <c r="W161">
        <v>139.19</v>
      </c>
      <c r="X161">
        <v>7.0206494129014502E-2</v>
      </c>
      <c r="Y161">
        <v>2</v>
      </c>
      <c r="Z161" t="s">
        <v>32</v>
      </c>
      <c r="AA161" t="s">
        <v>33</v>
      </c>
      <c r="AB161" t="s">
        <v>34</v>
      </c>
      <c r="AC161" s="7">
        <f t="shared" si="20"/>
        <v>2.2445714688655503E-2</v>
      </c>
      <c r="AD161" s="8">
        <f t="shared" si="21"/>
        <v>1.3177042251738873E-2</v>
      </c>
      <c r="AE161" s="9">
        <f t="shared" si="22"/>
        <v>2.6771709118079054E-5</v>
      </c>
      <c r="AF161" s="8">
        <f t="shared" si="23"/>
        <v>0.11775940093679113</v>
      </c>
      <c r="AG161" s="8">
        <f t="shared" si="24"/>
        <v>1.0792270373976056</v>
      </c>
      <c r="AH161" s="8">
        <f t="shared" si="25"/>
        <v>0.86583543123719076</v>
      </c>
      <c r="AI161" s="8">
        <f t="shared" si="26"/>
        <v>1.1360066782766385</v>
      </c>
      <c r="AJ161" s="8">
        <f t="shared" si="27"/>
        <v>7.0206494129014474E-2</v>
      </c>
      <c r="AK161" s="8">
        <f t="shared" si="28"/>
        <v>1.0615221367267218</v>
      </c>
      <c r="AL161" s="8">
        <f t="shared" si="29"/>
        <v>15.197371794871795</v>
      </c>
    </row>
    <row r="162" spans="1:38">
      <c r="A162" t="s">
        <v>534</v>
      </c>
      <c r="B162" t="s">
        <v>535</v>
      </c>
      <c r="C162" t="s">
        <v>124</v>
      </c>
      <c r="D162">
        <v>4</v>
      </c>
      <c r="E162" t="s">
        <v>536</v>
      </c>
      <c r="F162">
        <v>-228.06700000000001</v>
      </c>
      <c r="G162">
        <v>-214.42599999999999</v>
      </c>
      <c r="H162">
        <v>692.88400000000001</v>
      </c>
      <c r="I162">
        <v>-173.47800000000001</v>
      </c>
      <c r="J162">
        <v>491.65199999999999</v>
      </c>
      <c r="K162">
        <v>133.19999999999999</v>
      </c>
      <c r="L162">
        <v>667.41800000000001</v>
      </c>
      <c r="M162">
        <v>-175.76599999999999</v>
      </c>
      <c r="N162">
        <v>-226.31100000000001</v>
      </c>
      <c r="O162">
        <v>2.585</v>
      </c>
      <c r="P162">
        <v>0</v>
      </c>
      <c r="Q162">
        <v>11.885</v>
      </c>
      <c r="R162">
        <v>692.76700000000005</v>
      </c>
      <c r="S162">
        <v>667.41800000000001</v>
      </c>
      <c r="T162">
        <v>494.23700000000002</v>
      </c>
      <c r="U162">
        <v>764.423</v>
      </c>
      <c r="V162">
        <v>906.65200000000004</v>
      </c>
      <c r="W162">
        <v>632.26099999999997</v>
      </c>
      <c r="X162">
        <v>-0.35100164495980701</v>
      </c>
      <c r="Y162">
        <v>2</v>
      </c>
      <c r="Z162" t="s">
        <v>62</v>
      </c>
      <c r="AA162" t="s">
        <v>33</v>
      </c>
      <c r="AB162" t="s">
        <v>34</v>
      </c>
      <c r="AC162" s="7">
        <f t="shared" si="20"/>
        <v>-0.36239651693070407</v>
      </c>
      <c r="AD162" s="8">
        <f t="shared" si="21"/>
        <v>-0.30946882883715021</v>
      </c>
      <c r="AE162" s="9">
        <f t="shared" si="22"/>
        <v>1.7475563985781345E-2</v>
      </c>
      <c r="AF162" s="8">
        <f t="shared" si="23"/>
        <v>-0.35563100293988509</v>
      </c>
      <c r="AG162" s="8">
        <f t="shared" si="24"/>
        <v>0.74052093290861198</v>
      </c>
      <c r="AH162" s="8">
        <f t="shared" si="25"/>
        <v>1.3504007186835465</v>
      </c>
      <c r="AI162" s="8">
        <f t="shared" si="26"/>
        <v>0.73664779793173096</v>
      </c>
      <c r="AJ162" s="8">
        <f t="shared" si="27"/>
        <v>-0.35100164495980674</v>
      </c>
      <c r="AK162" s="8">
        <f t="shared" si="28"/>
        <v>0.73664779793173096</v>
      </c>
      <c r="AL162" s="8">
        <f t="shared" si="29"/>
        <v>-3.9420820864103412</v>
      </c>
    </row>
    <row r="163" spans="1:38">
      <c r="A163" t="s">
        <v>537</v>
      </c>
      <c r="B163" t="s">
        <v>538</v>
      </c>
      <c r="C163" t="s">
        <v>51</v>
      </c>
      <c r="D163">
        <v>4</v>
      </c>
      <c r="E163" t="s">
        <v>539</v>
      </c>
      <c r="F163">
        <v>-6.3979999999999997</v>
      </c>
      <c r="G163">
        <v>20.733000000000001</v>
      </c>
      <c r="H163">
        <v>388.142</v>
      </c>
      <c r="I163">
        <v>33.674999999999997</v>
      </c>
      <c r="J163">
        <v>303.98700000000002</v>
      </c>
      <c r="K163">
        <v>34.450000000000003</v>
      </c>
      <c r="L163">
        <v>355.46800000000002</v>
      </c>
      <c r="M163">
        <v>-51.481000000000002</v>
      </c>
      <c r="N163">
        <v>7.6909999999999998</v>
      </c>
      <c r="O163">
        <v>165.95699999999999</v>
      </c>
      <c r="P163">
        <v>78.320999999999998</v>
      </c>
      <c r="Q163">
        <v>12.804</v>
      </c>
      <c r="R163">
        <v>576.31799999999998</v>
      </c>
      <c r="S163">
        <v>433.78899999999999</v>
      </c>
      <c r="T163">
        <v>469.94400000000002</v>
      </c>
      <c r="U163">
        <v>627.14</v>
      </c>
      <c r="V163">
        <v>949.69600000000003</v>
      </c>
      <c r="W163">
        <v>1009.1950000000001</v>
      </c>
      <c r="X163">
        <v>7.1657474082018294E-2</v>
      </c>
      <c r="Y163">
        <v>2</v>
      </c>
      <c r="Z163" t="s">
        <v>39</v>
      </c>
      <c r="AA163" t="s">
        <v>33</v>
      </c>
      <c r="AB163" t="s">
        <v>34</v>
      </c>
      <c r="AC163" s="7">
        <f t="shared" si="20"/>
        <v>-1.1663646539371643E-2</v>
      </c>
      <c r="AD163" s="8">
        <f t="shared" si="21"/>
        <v>5.3416017849137687E-2</v>
      </c>
      <c r="AE163" s="9">
        <f t="shared" si="22"/>
        <v>2.5351769664005895E-2</v>
      </c>
      <c r="AF163" s="8">
        <f t="shared" si="23"/>
        <v>-0.10954709497301807</v>
      </c>
      <c r="AG163" s="8">
        <f t="shared" si="24"/>
        <v>1.0833469728370244</v>
      </c>
      <c r="AH163" s="8">
        <f t="shared" si="25"/>
        <v>0.75640501847028585</v>
      </c>
      <c r="AI163" s="8">
        <f t="shared" si="26"/>
        <v>0.85517402410343546</v>
      </c>
      <c r="AJ163" s="8">
        <f t="shared" si="27"/>
        <v>7.165747408201828E-2</v>
      </c>
      <c r="AK163" s="8">
        <f t="shared" si="28"/>
        <v>0.7007715732764086</v>
      </c>
      <c r="AL163" s="8">
        <f t="shared" si="29"/>
        <v>-7.5395194343544221</v>
      </c>
    </row>
    <row r="164" spans="1:38">
      <c r="A164" t="s">
        <v>540</v>
      </c>
      <c r="B164" t="s">
        <v>541</v>
      </c>
      <c r="C164" t="s">
        <v>60</v>
      </c>
      <c r="D164">
        <v>0</v>
      </c>
      <c r="E164" t="s">
        <v>542</v>
      </c>
      <c r="F164">
        <v>5.9669999999999996</v>
      </c>
      <c r="G164">
        <v>6.3959999999999999</v>
      </c>
      <c r="H164">
        <v>7.1360000000000001</v>
      </c>
      <c r="I164">
        <v>-63.435000000000002</v>
      </c>
      <c r="J164">
        <v>462.20100000000002</v>
      </c>
      <c r="K164">
        <v>399</v>
      </c>
      <c r="L164">
        <v>362.35399999999998</v>
      </c>
      <c r="M164">
        <v>99.846999999999994</v>
      </c>
      <c r="N164">
        <v>6.0949999999999998</v>
      </c>
      <c r="O164">
        <v>0.95599999999999996</v>
      </c>
      <c r="P164">
        <v>164.00399999999999</v>
      </c>
      <c r="Q164">
        <v>0</v>
      </c>
      <c r="R164">
        <v>524.35299999999995</v>
      </c>
      <c r="S164">
        <v>526.35799999999995</v>
      </c>
      <c r="T164">
        <v>463.15699999999998</v>
      </c>
      <c r="U164">
        <v>454.95100000000002</v>
      </c>
      <c r="V164">
        <v>453.26</v>
      </c>
      <c r="W164">
        <v>443.476</v>
      </c>
      <c r="X164">
        <v>-0.13696219640424301</v>
      </c>
      <c r="Y164">
        <v>2</v>
      </c>
      <c r="Z164" t="s">
        <v>62</v>
      </c>
      <c r="AA164" t="s">
        <v>33</v>
      </c>
      <c r="AB164" t="s">
        <v>34</v>
      </c>
      <c r="AC164" s="7">
        <f t="shared" si="20"/>
        <v>1.2998470768144924E-2</v>
      </c>
      <c r="AD164" s="8">
        <f t="shared" si="21"/>
        <v>0.89630044843049328</v>
      </c>
      <c r="AE164" s="9">
        <f t="shared" si="22"/>
        <v>0</v>
      </c>
      <c r="AF164" s="8">
        <f t="shared" si="23"/>
        <v>0.21557916645975339</v>
      </c>
      <c r="AG164" s="8">
        <f t="shared" si="24"/>
        <v>0.87992772979607037</v>
      </c>
      <c r="AH164" s="8">
        <f t="shared" si="25"/>
        <v>0.7823567386436997</v>
      </c>
      <c r="AI164" s="8">
        <f t="shared" si="26"/>
        <v>1.2755509805328491</v>
      </c>
      <c r="AJ164" s="8">
        <f t="shared" si="27"/>
        <v>-0.13696219640424306</v>
      </c>
      <c r="AK164" s="8">
        <f t="shared" si="28"/>
        <v>0.87811147545966828</v>
      </c>
      <c r="AL164" s="8">
        <f t="shared" si="29"/>
        <v>7.1469348102596975E-2</v>
      </c>
    </row>
    <row r="165" spans="1:38">
      <c r="A165" t="s">
        <v>543</v>
      </c>
      <c r="B165" t="s">
        <v>544</v>
      </c>
      <c r="C165" t="s">
        <v>120</v>
      </c>
      <c r="D165">
        <v>0</v>
      </c>
      <c r="E165" t="s">
        <v>545</v>
      </c>
      <c r="F165">
        <v>-4.4649999999999999</v>
      </c>
      <c r="G165">
        <v>-4.4589999999999996</v>
      </c>
      <c r="H165">
        <v>82.391000000000005</v>
      </c>
      <c r="I165">
        <v>94.855000000000004</v>
      </c>
      <c r="J165">
        <v>384.41899999999998</v>
      </c>
      <c r="K165">
        <v>0</v>
      </c>
      <c r="L165">
        <v>355.44499999999999</v>
      </c>
      <c r="M165">
        <v>28.974</v>
      </c>
      <c r="N165">
        <v>-4.4649999999999999</v>
      </c>
      <c r="O165">
        <v>74.322999999999993</v>
      </c>
      <c r="P165">
        <v>0</v>
      </c>
      <c r="Q165">
        <v>6.0000000000000001E-3</v>
      </c>
      <c r="R165">
        <v>389.17899999999997</v>
      </c>
      <c r="S165">
        <v>355.44499999999999</v>
      </c>
      <c r="T165">
        <v>458.74200000000002</v>
      </c>
      <c r="U165">
        <v>420.56700000000001</v>
      </c>
      <c r="V165">
        <v>397.01</v>
      </c>
      <c r="W165">
        <v>385.08199999999999</v>
      </c>
      <c r="X165">
        <v>0.206771998203783</v>
      </c>
      <c r="Y165">
        <v>2</v>
      </c>
      <c r="Z165" t="s">
        <v>44</v>
      </c>
      <c r="AA165" t="s">
        <v>33</v>
      </c>
      <c r="AB165" t="s">
        <v>34</v>
      </c>
      <c r="AC165" s="7">
        <f t="shared" si="20"/>
        <v>-1.0155701806759626E-2</v>
      </c>
      <c r="AD165" s="8">
        <f t="shared" si="21"/>
        <v>-5.4119988833731834E-2</v>
      </c>
      <c r="AE165" s="9">
        <f t="shared" si="22"/>
        <v>1.6115516018822921E-5</v>
      </c>
      <c r="AF165" s="8">
        <f t="shared" si="23"/>
        <v>6.3159684528558538E-2</v>
      </c>
      <c r="AG165" s="8">
        <f t="shared" si="24"/>
        <v>1.2906131750341123</v>
      </c>
      <c r="AH165" s="8">
        <f t="shared" si="25"/>
        <v>0.77482550104415981</v>
      </c>
      <c r="AI165" s="8">
        <f t="shared" si="26"/>
        <v>1.0815147209835558</v>
      </c>
      <c r="AJ165" s="8">
        <f t="shared" si="27"/>
        <v>0.20677199820378339</v>
      </c>
      <c r="AK165" s="8">
        <f t="shared" si="28"/>
        <v>1.0815147209835558</v>
      </c>
      <c r="AL165" s="8">
        <f t="shared" si="29"/>
        <v>2.8436184165113554</v>
      </c>
    </row>
    <row r="166" spans="1:38">
      <c r="A166" t="s">
        <v>546</v>
      </c>
      <c r="B166" t="s">
        <v>547</v>
      </c>
      <c r="C166" t="s">
        <v>65</v>
      </c>
      <c r="D166">
        <v>6</v>
      </c>
      <c r="E166" t="s">
        <v>548</v>
      </c>
      <c r="F166">
        <v>-24.734999999999999</v>
      </c>
      <c r="G166">
        <v>-10.111000000000001</v>
      </c>
      <c r="H166">
        <v>261.84399999999999</v>
      </c>
      <c r="I166">
        <v>15.379</v>
      </c>
      <c r="J166">
        <v>363.286</v>
      </c>
      <c r="K166">
        <v>158.05699999999999</v>
      </c>
      <c r="L166">
        <v>341.334</v>
      </c>
      <c r="M166">
        <v>21.952000000000002</v>
      </c>
      <c r="N166">
        <v>-17.239999999999998</v>
      </c>
      <c r="O166">
        <v>93.028000000000006</v>
      </c>
      <c r="P166">
        <v>84.533000000000001</v>
      </c>
      <c r="Q166">
        <v>7.1289999999999996</v>
      </c>
      <c r="R166">
        <v>305.995</v>
      </c>
      <c r="S166">
        <v>425.86700000000002</v>
      </c>
      <c r="T166">
        <v>456.31400000000002</v>
      </c>
      <c r="U166">
        <v>364.44499999999999</v>
      </c>
      <c r="V166">
        <v>263.596</v>
      </c>
      <c r="W166">
        <v>288.286</v>
      </c>
      <c r="X166">
        <v>3.3702669652914401E-2</v>
      </c>
      <c r="Y166">
        <v>2</v>
      </c>
      <c r="Z166" t="s">
        <v>62</v>
      </c>
      <c r="AA166" t="s">
        <v>33</v>
      </c>
      <c r="AB166" t="s">
        <v>34</v>
      </c>
      <c r="AC166" s="7">
        <f t="shared" si="20"/>
        <v>-6.0273478572881928E-2</v>
      </c>
      <c r="AD166" s="8">
        <f t="shared" si="21"/>
        <v>-3.8614594949664689E-2</v>
      </c>
      <c r="AE166" s="9">
        <f t="shared" si="22"/>
        <v>1.9481814877668192E-2</v>
      </c>
      <c r="AF166" s="8">
        <f t="shared" si="23"/>
        <v>4.8107224411260668E-2</v>
      </c>
      <c r="AG166" s="8">
        <f t="shared" si="24"/>
        <v>1.0714941519300627</v>
      </c>
      <c r="AH166" s="8">
        <f t="shared" si="25"/>
        <v>0.74802438671616467</v>
      </c>
      <c r="AI166" s="8">
        <f t="shared" si="26"/>
        <v>1.0643123743898937</v>
      </c>
      <c r="AJ166" s="8">
        <f t="shared" si="27"/>
        <v>3.3702669652914435E-2</v>
      </c>
      <c r="AK166" s="8">
        <f t="shared" si="28"/>
        <v>0.85305036548969515</v>
      </c>
      <c r="AL166" s="8">
        <f t="shared" si="29"/>
        <v>11.928024781341106</v>
      </c>
    </row>
    <row r="167" spans="1:38">
      <c r="A167" t="s">
        <v>549</v>
      </c>
      <c r="B167" t="s">
        <v>550</v>
      </c>
      <c r="C167" t="s">
        <v>55</v>
      </c>
      <c r="D167">
        <v>7</v>
      </c>
      <c r="E167" t="s">
        <v>551</v>
      </c>
      <c r="F167">
        <v>-64.069000000000003</v>
      </c>
      <c r="G167">
        <v>-64.051000000000002</v>
      </c>
      <c r="H167">
        <v>175.167</v>
      </c>
      <c r="I167">
        <v>-323.38600000000002</v>
      </c>
      <c r="J167">
        <v>434.67899999999997</v>
      </c>
      <c r="K167">
        <v>0</v>
      </c>
      <c r="L167">
        <v>703.59699999999998</v>
      </c>
      <c r="M167">
        <v>-268.91800000000001</v>
      </c>
      <c r="N167">
        <v>-64.069000000000003</v>
      </c>
      <c r="O167">
        <v>5.2050000000000001</v>
      </c>
      <c r="P167">
        <v>0</v>
      </c>
      <c r="Q167">
        <v>1.7999999999999999E-2</v>
      </c>
      <c r="R167">
        <v>477.35300000000001</v>
      </c>
      <c r="S167">
        <v>703.59699999999998</v>
      </c>
      <c r="T167">
        <v>440.48899999999998</v>
      </c>
      <c r="U167">
        <v>272.04599999999999</v>
      </c>
      <c r="V167">
        <v>314.76299999999998</v>
      </c>
      <c r="W167">
        <v>348.82100000000003</v>
      </c>
      <c r="X167">
        <v>-0.73415227167988295</v>
      </c>
      <c r="Y167">
        <v>2</v>
      </c>
      <c r="Z167" t="s">
        <v>57</v>
      </c>
      <c r="AA167" t="s">
        <v>33</v>
      </c>
      <c r="AB167" t="s">
        <v>34</v>
      </c>
      <c r="AC167" s="7">
        <f t="shared" si="20"/>
        <v>-0.17983397306798965</v>
      </c>
      <c r="AD167" s="8">
        <f t="shared" si="21"/>
        <v>-0.36565677325066936</v>
      </c>
      <c r="AE167" s="9">
        <f t="shared" si="22"/>
        <v>3.0483932427283116E-5</v>
      </c>
      <c r="AF167" s="8">
        <f t="shared" si="23"/>
        <v>-0.61049878657582823</v>
      </c>
      <c r="AG167" s="8">
        <f t="shared" si="24"/>
        <v>0.62605298203374937</v>
      </c>
      <c r="AH167" s="8">
        <f t="shared" si="25"/>
        <v>1.5973088998817224</v>
      </c>
      <c r="AI167" s="8">
        <f t="shared" si="26"/>
        <v>0.61779541413621719</v>
      </c>
      <c r="AJ167" s="8">
        <f t="shared" si="27"/>
        <v>-0.73415227167988317</v>
      </c>
      <c r="AK167" s="8">
        <f t="shared" si="28"/>
        <v>0.61779541413621719</v>
      </c>
      <c r="AL167" s="8">
        <f t="shared" si="29"/>
        <v>-0.65137699968019991</v>
      </c>
    </row>
    <row r="168" spans="1:38">
      <c r="A168" t="s">
        <v>552</v>
      </c>
      <c r="B168" t="s">
        <v>553</v>
      </c>
      <c r="C168" t="s">
        <v>168</v>
      </c>
      <c r="D168">
        <v>0</v>
      </c>
      <c r="E168" t="s">
        <v>554</v>
      </c>
      <c r="F168">
        <v>-15.661</v>
      </c>
      <c r="G168">
        <v>-3.9359999999999999</v>
      </c>
      <c r="H168">
        <v>92.5</v>
      </c>
      <c r="I168">
        <v>-188.11</v>
      </c>
      <c r="J168">
        <v>422.92500000000001</v>
      </c>
      <c r="K168">
        <v>386.41500000000002</v>
      </c>
      <c r="L168">
        <v>278.93700000000001</v>
      </c>
      <c r="M168">
        <v>143.988</v>
      </c>
      <c r="N168">
        <v>-15.661</v>
      </c>
      <c r="O168">
        <v>0</v>
      </c>
      <c r="P168">
        <v>345.59800000000001</v>
      </c>
      <c r="Q168">
        <v>11.725</v>
      </c>
      <c r="R168">
        <v>713.19299999999998</v>
      </c>
      <c r="S168">
        <v>624.53499999999997</v>
      </c>
      <c r="T168">
        <v>436.42500000000001</v>
      </c>
      <c r="U168">
        <v>540.74300000000005</v>
      </c>
      <c r="V168">
        <v>803.572</v>
      </c>
      <c r="W168">
        <v>1005.471</v>
      </c>
      <c r="X168">
        <v>-0.43102480380363201</v>
      </c>
      <c r="Y168">
        <v>2</v>
      </c>
      <c r="Z168" t="s">
        <v>44</v>
      </c>
      <c r="AA168" t="s">
        <v>33</v>
      </c>
      <c r="AB168" t="s">
        <v>34</v>
      </c>
      <c r="AC168" s="7">
        <f t="shared" si="20"/>
        <v>-3.205385358505395E-2</v>
      </c>
      <c r="AD168" s="8">
        <f t="shared" si="21"/>
        <v>-4.2551351351351352E-2</v>
      </c>
      <c r="AE168" s="9">
        <f t="shared" si="22"/>
        <v>1.7529722036168788E-2</v>
      </c>
      <c r="AF168" s="8">
        <f t="shared" si="23"/>
        <v>0.32992610414160506</v>
      </c>
      <c r="AG168" s="8">
        <f t="shared" si="24"/>
        <v>0.69879990713090545</v>
      </c>
      <c r="AH168" s="8">
        <f t="shared" si="25"/>
        <v>0.63914074583261726</v>
      </c>
      <c r="AI168" s="8">
        <f t="shared" si="26"/>
        <v>1.5162025833790425</v>
      </c>
      <c r="AJ168" s="8">
        <f t="shared" si="27"/>
        <v>-0.43102480380363178</v>
      </c>
      <c r="AK168" s="8">
        <f t="shared" si="28"/>
        <v>0.67718382476562566</v>
      </c>
      <c r="AL168" s="8">
        <f t="shared" si="29"/>
        <v>0.64241464566491657</v>
      </c>
    </row>
    <row r="169" spans="1:38">
      <c r="A169" t="s">
        <v>555</v>
      </c>
      <c r="B169" t="s">
        <v>556</v>
      </c>
      <c r="C169" t="s">
        <v>69</v>
      </c>
      <c r="D169">
        <v>0</v>
      </c>
      <c r="E169" t="s">
        <v>557</v>
      </c>
      <c r="F169">
        <v>-190.03</v>
      </c>
      <c r="G169">
        <v>-135.43799999999999</v>
      </c>
      <c r="H169">
        <v>0.4</v>
      </c>
      <c r="I169">
        <v>-440.63600000000002</v>
      </c>
      <c r="J169">
        <v>436.166</v>
      </c>
      <c r="K169">
        <v>387.17099999999999</v>
      </c>
      <c r="L169">
        <v>709.13</v>
      </c>
      <c r="M169">
        <v>-272.964</v>
      </c>
      <c r="N169">
        <v>-190.03</v>
      </c>
      <c r="O169">
        <v>0</v>
      </c>
      <c r="P169">
        <v>167.672</v>
      </c>
      <c r="Q169">
        <v>4.5919999999999996</v>
      </c>
      <c r="R169">
        <v>778.63</v>
      </c>
      <c r="S169">
        <v>876.80200000000002</v>
      </c>
      <c r="T169">
        <v>436.166</v>
      </c>
      <c r="U169">
        <v>528.024</v>
      </c>
      <c r="V169">
        <v>684.68200000000002</v>
      </c>
      <c r="W169">
        <v>909.47400000000005</v>
      </c>
      <c r="X169">
        <v>-1.0102483916673899</v>
      </c>
      <c r="Y169">
        <v>2</v>
      </c>
      <c r="Z169" t="s">
        <v>39</v>
      </c>
      <c r="AA169" t="s">
        <v>33</v>
      </c>
      <c r="AB169" t="s">
        <v>34</v>
      </c>
      <c r="AC169" s="7">
        <f t="shared" si="20"/>
        <v>-0.39417542185668797</v>
      </c>
      <c r="AD169" s="8">
        <f t="shared" si="21"/>
        <v>-338.59499999999997</v>
      </c>
      <c r="AE169" s="9">
        <f t="shared" si="22"/>
        <v>5.5477965872352351E-3</v>
      </c>
      <c r="AF169" s="8">
        <f t="shared" si="23"/>
        <v>-0.62582594700182959</v>
      </c>
      <c r="AG169" s="8">
        <f t="shared" si="24"/>
        <v>0.49745096384360438</v>
      </c>
      <c r="AH169" s="8">
        <f t="shared" si="25"/>
        <v>1.6258259470018295</v>
      </c>
      <c r="AI169" s="8">
        <f t="shared" si="26"/>
        <v>0.615071989621085</v>
      </c>
      <c r="AJ169" s="8">
        <f t="shared" si="27"/>
        <v>-1.0102483916673928</v>
      </c>
      <c r="AK169" s="8">
        <f t="shared" si="28"/>
        <v>0.49745096384360438</v>
      </c>
      <c r="AL169" s="8">
        <f t="shared" si="29"/>
        <v>-1.4653947040635395E-3</v>
      </c>
    </row>
    <row r="170" spans="1:38">
      <c r="A170" t="s">
        <v>558</v>
      </c>
      <c r="B170" t="s">
        <v>559</v>
      </c>
      <c r="C170" t="s">
        <v>69</v>
      </c>
      <c r="D170">
        <v>0</v>
      </c>
      <c r="E170" t="s">
        <v>560</v>
      </c>
      <c r="F170">
        <v>-261.61599999999999</v>
      </c>
      <c r="G170">
        <v>-247.71600000000001</v>
      </c>
      <c r="H170">
        <v>0.318</v>
      </c>
      <c r="I170">
        <v>-597.18100000000004</v>
      </c>
      <c r="J170">
        <v>401.47399999999999</v>
      </c>
      <c r="K170">
        <v>0</v>
      </c>
      <c r="L170">
        <v>995.05799999999999</v>
      </c>
      <c r="M170">
        <v>-593.58399999999995</v>
      </c>
      <c r="N170">
        <v>-249.50700000000001</v>
      </c>
      <c r="O170">
        <v>19.504000000000001</v>
      </c>
      <c r="P170">
        <v>11.558999999999999</v>
      </c>
      <c r="Q170">
        <v>1.7909999999999999</v>
      </c>
      <c r="R170">
        <v>988.63599999999997</v>
      </c>
      <c r="S170">
        <v>1006.617</v>
      </c>
      <c r="T170">
        <v>423.14299999999997</v>
      </c>
      <c r="U170">
        <v>666.77800000000002</v>
      </c>
      <c r="V170">
        <v>934.17200000000003</v>
      </c>
      <c r="W170">
        <v>760.43200000000002</v>
      </c>
      <c r="X170">
        <v>-1.4112983081369701</v>
      </c>
      <c r="Y170">
        <v>2</v>
      </c>
      <c r="Z170" t="s">
        <v>39</v>
      </c>
      <c r="AA170" t="s">
        <v>33</v>
      </c>
      <c r="AB170" t="s">
        <v>34</v>
      </c>
      <c r="AC170" s="7">
        <f t="shared" si="20"/>
        <v>-0.48006415143849873</v>
      </c>
      <c r="AD170" s="8">
        <f t="shared" si="21"/>
        <v>-778.98113207547169</v>
      </c>
      <c r="AE170" s="9">
        <f t="shared" si="22"/>
        <v>1.7952610521071765E-3</v>
      </c>
      <c r="AF170" s="8">
        <f t="shared" si="23"/>
        <v>-1.4027976357874288</v>
      </c>
      <c r="AG170" s="8">
        <f t="shared" si="24"/>
        <v>0.42036146816515119</v>
      </c>
      <c r="AH170" s="8">
        <f t="shared" si="25"/>
        <v>2.3515879974382186</v>
      </c>
      <c r="AI170" s="8">
        <f t="shared" si="26"/>
        <v>0.4034679385523256</v>
      </c>
      <c r="AJ170" s="8">
        <f t="shared" si="27"/>
        <v>-1.4112983081369657</v>
      </c>
      <c r="AK170" s="8">
        <f t="shared" si="28"/>
        <v>0.39883490940447064</v>
      </c>
      <c r="AL170" s="8">
        <f t="shared" si="29"/>
        <v>-5.357287258416669E-4</v>
      </c>
    </row>
    <row r="171" spans="1:38">
      <c r="A171" t="s">
        <v>561</v>
      </c>
      <c r="B171" t="s">
        <v>562</v>
      </c>
      <c r="C171" t="s">
        <v>131</v>
      </c>
      <c r="D171">
        <v>6</v>
      </c>
      <c r="E171" t="s">
        <v>563</v>
      </c>
      <c r="F171">
        <v>-1168.048</v>
      </c>
      <c r="G171">
        <v>-1140.4690000000001</v>
      </c>
      <c r="H171">
        <v>874.52800000000002</v>
      </c>
      <c r="I171">
        <v>-1017.62</v>
      </c>
      <c r="J171">
        <v>391.68</v>
      </c>
      <c r="K171">
        <v>42.643000000000001</v>
      </c>
      <c r="L171">
        <v>1398.133</v>
      </c>
      <c r="M171">
        <v>-1006.453</v>
      </c>
      <c r="N171">
        <v>-1155.211</v>
      </c>
      <c r="O171">
        <v>27.759</v>
      </c>
      <c r="P171">
        <v>29.253</v>
      </c>
      <c r="Q171">
        <v>14.744999999999999</v>
      </c>
      <c r="R171">
        <v>1684.8789999999999</v>
      </c>
      <c r="S171">
        <v>1427.386</v>
      </c>
      <c r="T171">
        <v>420.25700000000001</v>
      </c>
      <c r="U171">
        <v>1839.83</v>
      </c>
      <c r="V171">
        <v>2323.5309999999999</v>
      </c>
      <c r="W171">
        <v>1535.44</v>
      </c>
      <c r="X171">
        <v>-2.4214230815905502</v>
      </c>
      <c r="Y171">
        <v>2</v>
      </c>
      <c r="Z171" t="s">
        <v>32</v>
      </c>
      <c r="AA171" t="s">
        <v>33</v>
      </c>
      <c r="AB171" t="s">
        <v>34</v>
      </c>
      <c r="AC171" s="7">
        <f t="shared" si="20"/>
        <v>-1.0336310062400254</v>
      </c>
      <c r="AD171" s="8">
        <f t="shared" si="21"/>
        <v>-1.3040966098283875</v>
      </c>
      <c r="AE171" s="9">
        <f t="shared" si="22"/>
        <v>9.4754142079803618E-3</v>
      </c>
      <c r="AF171" s="8">
        <f t="shared" si="23"/>
        <v>-2.3948512457853171</v>
      </c>
      <c r="AG171" s="8">
        <f t="shared" si="24"/>
        <v>0.29442421321212342</v>
      </c>
      <c r="AH171" s="8">
        <f t="shared" si="25"/>
        <v>3.3268523784255826</v>
      </c>
      <c r="AI171" s="8">
        <f t="shared" si="26"/>
        <v>0.28014502196858238</v>
      </c>
      <c r="AJ171" s="8">
        <f t="shared" si="27"/>
        <v>-2.4214230815905506</v>
      </c>
      <c r="AK171" s="8">
        <f t="shared" si="28"/>
        <v>0.27440370019041804</v>
      </c>
      <c r="AL171" s="8">
        <f t="shared" si="29"/>
        <v>-0.86892085373087469</v>
      </c>
    </row>
    <row r="172" spans="1:38">
      <c r="A172" t="s">
        <v>564</v>
      </c>
      <c r="B172" t="s">
        <v>565</v>
      </c>
      <c r="C172" t="s">
        <v>193</v>
      </c>
      <c r="D172">
        <v>6</v>
      </c>
      <c r="E172" t="s">
        <v>566</v>
      </c>
      <c r="F172">
        <v>-0.52900000000000003</v>
      </c>
      <c r="G172">
        <v>8.5030000000000001</v>
      </c>
      <c r="H172">
        <v>636.95299999999997</v>
      </c>
      <c r="I172">
        <v>8.7989999999999995</v>
      </c>
      <c r="J172">
        <v>396.233</v>
      </c>
      <c r="K172">
        <v>0</v>
      </c>
      <c r="L172">
        <v>400.27100000000002</v>
      </c>
      <c r="M172">
        <v>-4.0380000000000003</v>
      </c>
      <c r="N172">
        <v>2.5840000000000001</v>
      </c>
      <c r="O172">
        <v>13.555999999999999</v>
      </c>
      <c r="P172">
        <v>0</v>
      </c>
      <c r="Q172">
        <v>1.4610000000000001</v>
      </c>
      <c r="R172">
        <v>177.876</v>
      </c>
      <c r="S172">
        <v>400.27100000000002</v>
      </c>
      <c r="T172">
        <v>409.78899999999999</v>
      </c>
      <c r="U172">
        <v>197.71199999999999</v>
      </c>
      <c r="V172">
        <v>60.895000000000003</v>
      </c>
      <c r="W172">
        <v>40.848999999999997</v>
      </c>
      <c r="X172">
        <v>2.1472025847448301E-2</v>
      </c>
      <c r="Y172">
        <v>2</v>
      </c>
      <c r="Z172" t="s">
        <v>32</v>
      </c>
      <c r="AA172" t="s">
        <v>33</v>
      </c>
      <c r="AB172" t="s">
        <v>34</v>
      </c>
      <c r="AC172" s="7">
        <f t="shared" si="20"/>
        <v>-1.7415609192412854E-3</v>
      </c>
      <c r="AD172" s="8">
        <f t="shared" si="21"/>
        <v>1.3349493604708669E-2</v>
      </c>
      <c r="AE172" s="9">
        <f t="shared" si="22"/>
        <v>5.0540779421150671E-3</v>
      </c>
      <c r="AF172" s="8">
        <f t="shared" si="23"/>
        <v>-9.8538516163196189E-3</v>
      </c>
      <c r="AG172" s="8">
        <f t="shared" si="24"/>
        <v>1.0237788898021589</v>
      </c>
      <c r="AH172" s="8">
        <f t="shared" si="25"/>
        <v>0.97677341265870976</v>
      </c>
      <c r="AI172" s="8">
        <f t="shared" si="26"/>
        <v>0.98991183473196909</v>
      </c>
      <c r="AJ172" s="8">
        <f t="shared" si="27"/>
        <v>2.1472025847448322E-2</v>
      </c>
      <c r="AK172" s="8">
        <f t="shared" si="28"/>
        <v>0.98991183473196909</v>
      </c>
      <c r="AL172" s="8">
        <f t="shared" si="29"/>
        <v>-157.73972263496779</v>
      </c>
    </row>
    <row r="173" spans="1:38">
      <c r="A173" t="s">
        <v>567</v>
      </c>
      <c r="B173" t="s">
        <v>568</v>
      </c>
      <c r="C173" t="s">
        <v>65</v>
      </c>
      <c r="D173">
        <v>2</v>
      </c>
      <c r="E173" t="s">
        <v>569</v>
      </c>
      <c r="F173">
        <v>-16.167999999999999</v>
      </c>
      <c r="G173">
        <v>1.853</v>
      </c>
      <c r="H173">
        <v>86.823999999999998</v>
      </c>
      <c r="I173">
        <v>-14.778</v>
      </c>
      <c r="J173">
        <v>392.26</v>
      </c>
      <c r="K173">
        <v>0</v>
      </c>
      <c r="L173">
        <v>389.55200000000002</v>
      </c>
      <c r="M173">
        <v>2.7080000000000002</v>
      </c>
      <c r="N173">
        <v>-13.694000000000001</v>
      </c>
      <c r="O173">
        <v>6.9539999999999997</v>
      </c>
      <c r="P173">
        <v>17.09</v>
      </c>
      <c r="Q173">
        <v>15.547000000000001</v>
      </c>
      <c r="R173">
        <v>367.95299999999997</v>
      </c>
      <c r="S173">
        <v>406.642</v>
      </c>
      <c r="T173">
        <v>400.11799999999999</v>
      </c>
      <c r="U173">
        <v>393.74900000000002</v>
      </c>
      <c r="V173">
        <v>420.39499999999998</v>
      </c>
      <c r="W173">
        <v>393.49900000000002</v>
      </c>
      <c r="X173">
        <v>-3.6934104439190402E-2</v>
      </c>
      <c r="Y173">
        <v>2</v>
      </c>
      <c r="Z173" t="s">
        <v>62</v>
      </c>
      <c r="AA173" t="s">
        <v>33</v>
      </c>
      <c r="AB173" t="s">
        <v>34</v>
      </c>
      <c r="AC173" s="7">
        <f t="shared" si="20"/>
        <v>-4.0732263716718294E-2</v>
      </c>
      <c r="AD173" s="8">
        <f t="shared" si="21"/>
        <v>2.1342025246475629E-2</v>
      </c>
      <c r="AE173" s="9">
        <f t="shared" si="22"/>
        <v>4.0142267894835368E-2</v>
      </c>
      <c r="AF173" s="8">
        <f t="shared" si="23"/>
        <v>6.7680034389854997E-3</v>
      </c>
      <c r="AG173" s="8">
        <f t="shared" si="24"/>
        <v>0.98395640391302419</v>
      </c>
      <c r="AH173" s="8">
        <f t="shared" si="25"/>
        <v>0.97359279012691258</v>
      </c>
      <c r="AI173" s="8">
        <f t="shared" si="26"/>
        <v>1.006951575142728</v>
      </c>
      <c r="AJ173" s="8">
        <f t="shared" si="27"/>
        <v>-3.6934104439190443E-2</v>
      </c>
      <c r="AK173" s="8">
        <f t="shared" si="28"/>
        <v>0.96463228097441978</v>
      </c>
      <c r="AL173" s="8">
        <f t="shared" si="29"/>
        <v>32.062038404726735</v>
      </c>
    </row>
    <row r="174" spans="1:38">
      <c r="A174" t="s">
        <v>570</v>
      </c>
      <c r="B174" t="s">
        <v>571</v>
      </c>
      <c r="C174" t="s">
        <v>69</v>
      </c>
      <c r="D174">
        <v>5</v>
      </c>
      <c r="E174" t="s">
        <v>572</v>
      </c>
      <c r="F174">
        <v>-1115.3910000000001</v>
      </c>
      <c r="G174">
        <v>-1059.17</v>
      </c>
      <c r="H174">
        <v>3196.6590000000001</v>
      </c>
      <c r="I174">
        <v>-1903.32</v>
      </c>
      <c r="J174">
        <v>307.51799999999997</v>
      </c>
      <c r="K174">
        <v>0</v>
      </c>
      <c r="L174">
        <v>2097.6350000000002</v>
      </c>
      <c r="M174">
        <v>-1790.117</v>
      </c>
      <c r="N174">
        <v>-1107.646</v>
      </c>
      <c r="O174">
        <v>83.382000000000005</v>
      </c>
      <c r="P174">
        <v>0</v>
      </c>
      <c r="Q174">
        <v>48.478000000000002</v>
      </c>
      <c r="R174">
        <v>3538.2</v>
      </c>
      <c r="S174">
        <v>2097.6350000000002</v>
      </c>
      <c r="T174">
        <v>396.625</v>
      </c>
      <c r="U174">
        <v>2928.643</v>
      </c>
      <c r="V174">
        <v>2916.1529999999998</v>
      </c>
      <c r="W174">
        <v>1236.396</v>
      </c>
      <c r="X174">
        <v>-4.7987897888433704</v>
      </c>
      <c r="Y174">
        <v>2</v>
      </c>
      <c r="Z174" t="s">
        <v>39</v>
      </c>
      <c r="AA174" t="s">
        <v>33</v>
      </c>
      <c r="AB174" t="s">
        <v>34</v>
      </c>
      <c r="AC174" s="7">
        <f t="shared" si="20"/>
        <v>-0.67085780755115076</v>
      </c>
      <c r="AD174" s="8">
        <f t="shared" si="21"/>
        <v>-0.33133656107830084</v>
      </c>
      <c r="AE174" s="9">
        <f t="shared" si="22"/>
        <v>1.7203484488101585E-2</v>
      </c>
      <c r="AF174" s="8">
        <f t="shared" si="23"/>
        <v>-4.5133740939174283</v>
      </c>
      <c r="AG174" s="8">
        <f t="shared" si="24"/>
        <v>0.18908198995535447</v>
      </c>
      <c r="AH174" s="8">
        <f t="shared" si="25"/>
        <v>5.2887109990545227</v>
      </c>
      <c r="AI174" s="8">
        <f t="shared" si="26"/>
        <v>0.14660224490914767</v>
      </c>
      <c r="AJ174" s="8">
        <f t="shared" si="27"/>
        <v>-4.7987897888433659</v>
      </c>
      <c r="AK174" s="8">
        <f t="shared" si="28"/>
        <v>0.14660224490914767</v>
      </c>
      <c r="AL174" s="8">
        <f t="shared" si="29"/>
        <v>-1.7857262961024336</v>
      </c>
    </row>
    <row r="175" spans="1:38">
      <c r="A175" t="s">
        <v>573</v>
      </c>
      <c r="B175" t="s">
        <v>574</v>
      </c>
      <c r="C175" t="s">
        <v>47</v>
      </c>
      <c r="D175">
        <v>11</v>
      </c>
      <c r="E175" t="s">
        <v>575</v>
      </c>
      <c r="F175">
        <v>1.9750000000000001</v>
      </c>
      <c r="G175">
        <v>30.48</v>
      </c>
      <c r="H175">
        <v>732.18399999999997</v>
      </c>
      <c r="I175">
        <v>12.292999999999999</v>
      </c>
      <c r="J175">
        <v>338.96699999999998</v>
      </c>
      <c r="K175">
        <v>137.80799999999999</v>
      </c>
      <c r="L175">
        <v>239.94499999999999</v>
      </c>
      <c r="M175">
        <v>99.022000000000006</v>
      </c>
      <c r="N175">
        <v>14.093999999999999</v>
      </c>
      <c r="O175">
        <v>42.238</v>
      </c>
      <c r="P175">
        <v>103.325</v>
      </c>
      <c r="Q175">
        <v>5.1950000000000003</v>
      </c>
      <c r="R175">
        <v>231.65700000000001</v>
      </c>
      <c r="S175">
        <v>343.27</v>
      </c>
      <c r="T175">
        <v>387.40600000000001</v>
      </c>
      <c r="U175">
        <v>282.15699999999998</v>
      </c>
      <c r="V175">
        <v>275.07</v>
      </c>
      <c r="W175">
        <v>240.096</v>
      </c>
      <c r="X175">
        <v>3.1731568432084203E-2</v>
      </c>
      <c r="Y175">
        <v>2</v>
      </c>
      <c r="Z175" t="s">
        <v>32</v>
      </c>
      <c r="AA175" t="s">
        <v>33</v>
      </c>
      <c r="AB175" t="s">
        <v>34</v>
      </c>
      <c r="AC175" s="7">
        <f t="shared" si="20"/>
        <v>5.8993701862259419E-3</v>
      </c>
      <c r="AD175" s="8">
        <f t="shared" si="21"/>
        <v>4.1628880172197152E-2</v>
      </c>
      <c r="AE175" s="9">
        <f t="shared" si="22"/>
        <v>1.8071859557822124E-2</v>
      </c>
      <c r="AF175" s="8">
        <f t="shared" si="23"/>
        <v>0.25560264941689081</v>
      </c>
      <c r="AG175" s="8">
        <f t="shared" si="24"/>
        <v>1.1285751740612346</v>
      </c>
      <c r="AH175" s="8">
        <f t="shared" si="25"/>
        <v>0.61936314873801646</v>
      </c>
      <c r="AI175" s="8">
        <f t="shared" si="26"/>
        <v>1.4126862405968035</v>
      </c>
      <c r="AJ175" s="8">
        <f t="shared" si="27"/>
        <v>3.1731568432084169E-2</v>
      </c>
      <c r="AK175" s="8">
        <f t="shared" si="28"/>
        <v>0.98746467795030157</v>
      </c>
      <c r="AL175" s="8">
        <f t="shared" si="29"/>
        <v>7.3941548342792505</v>
      </c>
    </row>
    <row r="176" spans="1:38">
      <c r="A176" t="s">
        <v>576</v>
      </c>
      <c r="B176" t="s">
        <v>577</v>
      </c>
      <c r="C176" t="s">
        <v>168</v>
      </c>
      <c r="D176">
        <v>5</v>
      </c>
      <c r="E176" t="s">
        <v>578</v>
      </c>
      <c r="F176">
        <v>5.2190000000000003</v>
      </c>
      <c r="G176">
        <v>17.425000000000001</v>
      </c>
      <c r="H176">
        <v>268.39</v>
      </c>
      <c r="I176">
        <v>20.457999999999998</v>
      </c>
      <c r="J176">
        <v>343.65899999999999</v>
      </c>
      <c r="K176">
        <v>201.89500000000001</v>
      </c>
      <c r="L176">
        <v>239.43899999999999</v>
      </c>
      <c r="M176">
        <v>104.22</v>
      </c>
      <c r="N176">
        <v>5.2190000000000003</v>
      </c>
      <c r="O176">
        <v>14.026</v>
      </c>
      <c r="P176">
        <v>84.013000000000005</v>
      </c>
      <c r="Q176">
        <v>6.66</v>
      </c>
      <c r="R176">
        <v>289.13</v>
      </c>
      <c r="S176">
        <v>323.452</v>
      </c>
      <c r="T176">
        <v>358.01499999999999</v>
      </c>
      <c r="U176">
        <v>318.29700000000003</v>
      </c>
      <c r="V176">
        <v>219.52199999999999</v>
      </c>
      <c r="W176">
        <v>143.65199999999999</v>
      </c>
      <c r="X176">
        <v>5.7142857142857099E-2</v>
      </c>
      <c r="Y176">
        <v>1</v>
      </c>
      <c r="Z176" t="s">
        <v>44</v>
      </c>
      <c r="AA176" t="s">
        <v>33</v>
      </c>
      <c r="AB176" t="s">
        <v>34</v>
      </c>
      <c r="AC176" s="7">
        <f t="shared" si="20"/>
        <v>1.5433705153834326E-2</v>
      </c>
      <c r="AD176" s="8">
        <f t="shared" si="21"/>
        <v>6.4924177502887592E-2</v>
      </c>
      <c r="AE176" s="9">
        <f t="shared" si="22"/>
        <v>2.1744027738327277E-2</v>
      </c>
      <c r="AF176" s="8">
        <f t="shared" si="23"/>
        <v>0.29110512129380056</v>
      </c>
      <c r="AG176" s="8">
        <f t="shared" si="24"/>
        <v>1.1068566587932676</v>
      </c>
      <c r="AH176" s="8">
        <f t="shared" si="25"/>
        <v>0.66879600016759078</v>
      </c>
      <c r="AI176" s="8">
        <f t="shared" si="26"/>
        <v>1.4352674376354728</v>
      </c>
      <c r="AJ176" s="8">
        <f t="shared" si="27"/>
        <v>5.7142857142857141E-2</v>
      </c>
      <c r="AK176" s="8">
        <f t="shared" si="28"/>
        <v>1.062472948072666</v>
      </c>
      <c r="AL176" s="8">
        <f t="shared" si="29"/>
        <v>2.5752254845519094</v>
      </c>
    </row>
    <row r="177" spans="1:38">
      <c r="A177" t="s">
        <v>579</v>
      </c>
      <c r="B177" t="s">
        <v>580</v>
      </c>
      <c r="C177" t="s">
        <v>42</v>
      </c>
      <c r="D177">
        <v>5</v>
      </c>
      <c r="E177" t="s">
        <v>581</v>
      </c>
      <c r="F177">
        <v>4.9240000000000004</v>
      </c>
      <c r="G177">
        <v>6.3339999999999996</v>
      </c>
      <c r="H177">
        <v>226.79</v>
      </c>
      <c r="I177">
        <v>13.693</v>
      </c>
      <c r="J177">
        <v>356.87</v>
      </c>
      <c r="K177">
        <v>156.96</v>
      </c>
      <c r="L177">
        <v>341.92</v>
      </c>
      <c r="M177">
        <v>14.95</v>
      </c>
      <c r="N177">
        <v>5.2210000000000001</v>
      </c>
      <c r="O177">
        <v>0.89</v>
      </c>
      <c r="P177">
        <v>0</v>
      </c>
      <c r="Q177">
        <v>4.0000000000000001E-3</v>
      </c>
      <c r="R177">
        <v>179.523</v>
      </c>
      <c r="S177">
        <v>341.92</v>
      </c>
      <c r="T177">
        <v>358.02699999999999</v>
      </c>
      <c r="U177">
        <v>188.90799999999999</v>
      </c>
      <c r="V177">
        <v>17.986000000000001</v>
      </c>
      <c r="W177">
        <v>20.937999999999999</v>
      </c>
      <c r="X177">
        <v>3.8245718898295401E-2</v>
      </c>
      <c r="Y177">
        <v>1</v>
      </c>
      <c r="Z177" t="s">
        <v>44</v>
      </c>
      <c r="AA177" t="s">
        <v>33</v>
      </c>
      <c r="AB177" t="s">
        <v>34</v>
      </c>
      <c r="AC177" s="7">
        <f t="shared" si="20"/>
        <v>1.8005795935531647E-2</v>
      </c>
      <c r="AD177" s="8">
        <f t="shared" si="21"/>
        <v>2.7928921028264032E-2</v>
      </c>
      <c r="AE177" s="9">
        <f t="shared" si="22"/>
        <v>1.5342041220229249E-5</v>
      </c>
      <c r="AF177" s="8">
        <f t="shared" si="23"/>
        <v>4.1756627293472279E-2</v>
      </c>
      <c r="AG177" s="8">
        <f t="shared" si="24"/>
        <v>1.0471075105287786</v>
      </c>
      <c r="AH177" s="8">
        <f t="shared" si="25"/>
        <v>0.95501177285511996</v>
      </c>
      <c r="AI177" s="8">
        <f t="shared" si="26"/>
        <v>1.0437236780533459</v>
      </c>
      <c r="AJ177" s="8">
        <f t="shared" si="27"/>
        <v>3.8245718898295381E-2</v>
      </c>
      <c r="AK177" s="8">
        <f t="shared" si="28"/>
        <v>1.0437236780533459</v>
      </c>
      <c r="AL177" s="8">
        <f t="shared" si="29"/>
        <v>15.16989966555184</v>
      </c>
    </row>
    <row r="178" spans="1:38">
      <c r="A178" t="s">
        <v>582</v>
      </c>
      <c r="B178" t="s">
        <v>583</v>
      </c>
      <c r="C178" t="s">
        <v>51</v>
      </c>
      <c r="D178">
        <v>5</v>
      </c>
      <c r="E178" t="s">
        <v>584</v>
      </c>
      <c r="F178">
        <v>-171.62899999999999</v>
      </c>
      <c r="G178">
        <v>-160.273</v>
      </c>
      <c r="H178">
        <v>352.87</v>
      </c>
      <c r="I178">
        <v>-136.31200000000001</v>
      </c>
      <c r="J178">
        <v>346.18200000000002</v>
      </c>
      <c r="K178">
        <v>19.190999999999999</v>
      </c>
      <c r="L178">
        <v>282.73700000000002</v>
      </c>
      <c r="M178">
        <v>63.445</v>
      </c>
      <c r="N178">
        <v>-170.19</v>
      </c>
      <c r="O178">
        <v>8.3360000000000003</v>
      </c>
      <c r="P178">
        <v>46.033999999999999</v>
      </c>
      <c r="Q178">
        <v>10.709</v>
      </c>
      <c r="R178">
        <v>315.05599999999998</v>
      </c>
      <c r="S178">
        <v>328.77100000000002</v>
      </c>
      <c r="T178">
        <v>355.995</v>
      </c>
      <c r="U178">
        <v>370.50299999999999</v>
      </c>
      <c r="V178">
        <v>279.75799999999998</v>
      </c>
      <c r="W178">
        <v>253.357</v>
      </c>
      <c r="X178">
        <v>-0.38290425427323399</v>
      </c>
      <c r="Y178">
        <v>1</v>
      </c>
      <c r="Z178" t="s">
        <v>39</v>
      </c>
      <c r="AA178" t="s">
        <v>33</v>
      </c>
      <c r="AB178" t="s">
        <v>34</v>
      </c>
      <c r="AC178" s="7">
        <f t="shared" si="20"/>
        <v>-0.47248306258241585</v>
      </c>
      <c r="AD178" s="8">
        <f t="shared" si="21"/>
        <v>-0.45419843001672</v>
      </c>
      <c r="AE178" s="9">
        <f t="shared" si="22"/>
        <v>3.3266700526694282E-2</v>
      </c>
      <c r="AF178" s="8">
        <f t="shared" si="23"/>
        <v>0.17821879520779785</v>
      </c>
      <c r="AG178" s="8">
        <f t="shared" si="24"/>
        <v>1.0828053569201663</v>
      </c>
      <c r="AH178" s="8">
        <f t="shared" si="25"/>
        <v>0.79421621090183858</v>
      </c>
      <c r="AI178" s="8">
        <f t="shared" si="26"/>
        <v>1.2243958166069526</v>
      </c>
      <c r="AJ178" s="8">
        <f t="shared" si="27"/>
        <v>-0.38290425427323421</v>
      </c>
      <c r="AK178" s="8">
        <f t="shared" si="28"/>
        <v>1.052957833872209</v>
      </c>
      <c r="AL178" s="8">
        <f t="shared" si="29"/>
        <v>5.561825202931673</v>
      </c>
    </row>
    <row r="179" spans="1:38">
      <c r="A179" t="s">
        <v>585</v>
      </c>
      <c r="B179" t="s">
        <v>586</v>
      </c>
      <c r="C179" t="s">
        <v>131</v>
      </c>
      <c r="D179">
        <v>0</v>
      </c>
      <c r="E179" t="s">
        <v>587</v>
      </c>
      <c r="F179">
        <v>-43.298000000000002</v>
      </c>
      <c r="G179">
        <v>-36.761000000000003</v>
      </c>
      <c r="H179">
        <v>295.83199999999999</v>
      </c>
      <c r="I179">
        <v>-313.57</v>
      </c>
      <c r="J179">
        <v>351.827</v>
      </c>
      <c r="K179">
        <v>0</v>
      </c>
      <c r="L179">
        <v>665.39700000000005</v>
      </c>
      <c r="M179">
        <v>-313.57</v>
      </c>
      <c r="N179">
        <v>-43.298000000000002</v>
      </c>
      <c r="O179">
        <v>0</v>
      </c>
      <c r="P179">
        <v>0</v>
      </c>
      <c r="Q179">
        <v>6.5369999999999999</v>
      </c>
      <c r="R179">
        <v>694.33500000000004</v>
      </c>
      <c r="S179">
        <v>665.39700000000005</v>
      </c>
      <c r="T179">
        <v>351.827</v>
      </c>
      <c r="U179">
        <v>426.42</v>
      </c>
      <c r="V179">
        <v>381.387</v>
      </c>
      <c r="W179">
        <v>564.48500000000001</v>
      </c>
      <c r="X179">
        <v>-0.89126189860357496</v>
      </c>
      <c r="Y179">
        <v>1</v>
      </c>
      <c r="Z179" t="s">
        <v>32</v>
      </c>
      <c r="AA179" t="s">
        <v>33</v>
      </c>
      <c r="AB179" t="s">
        <v>34</v>
      </c>
      <c r="AC179" s="7">
        <f t="shared" si="20"/>
        <v>-0.11127058633056086</v>
      </c>
      <c r="AD179" s="8">
        <f t="shared" si="21"/>
        <v>-0.12426309527028856</v>
      </c>
      <c r="AE179" s="9">
        <f t="shared" si="22"/>
        <v>9.6151300403314773E-3</v>
      </c>
      <c r="AF179" s="8">
        <f t="shared" si="23"/>
        <v>-0.89126189860357508</v>
      </c>
      <c r="AG179" s="8">
        <f t="shared" si="24"/>
        <v>0.52874749961301293</v>
      </c>
      <c r="AH179" s="8">
        <f t="shared" si="25"/>
        <v>1.8912618986035752</v>
      </c>
      <c r="AI179" s="8">
        <f t="shared" si="26"/>
        <v>0.52874749961301293</v>
      </c>
      <c r="AJ179" s="8">
        <f t="shared" si="27"/>
        <v>-0.89126189860357508</v>
      </c>
      <c r="AK179" s="8">
        <f t="shared" si="28"/>
        <v>0.52874749961301293</v>
      </c>
      <c r="AL179" s="8">
        <f t="shared" si="29"/>
        <v>-0.94343208852887717</v>
      </c>
    </row>
    <row r="180" spans="1:38">
      <c r="A180" t="s">
        <v>588</v>
      </c>
      <c r="B180" t="s">
        <v>589</v>
      </c>
      <c r="C180" t="s">
        <v>124</v>
      </c>
      <c r="D180">
        <v>3</v>
      </c>
      <c r="E180" t="s">
        <v>590</v>
      </c>
      <c r="F180">
        <v>-42.612000000000002</v>
      </c>
      <c r="G180">
        <v>-42.521000000000001</v>
      </c>
      <c r="H180">
        <v>25.055</v>
      </c>
      <c r="I180">
        <v>-45.941000000000003</v>
      </c>
      <c r="J180">
        <v>229.261</v>
      </c>
      <c r="K180">
        <v>128.99600000000001</v>
      </c>
      <c r="L180">
        <v>395.19900000000001</v>
      </c>
      <c r="M180">
        <v>-165.93799999999999</v>
      </c>
      <c r="N180">
        <v>-42.612000000000002</v>
      </c>
      <c r="O180">
        <v>120</v>
      </c>
      <c r="P180">
        <v>0</v>
      </c>
      <c r="Q180">
        <v>9.0999999999999998E-2</v>
      </c>
      <c r="R180">
        <v>407.43900000000002</v>
      </c>
      <c r="S180">
        <v>395.19900000000001</v>
      </c>
      <c r="T180">
        <v>349.26100000000002</v>
      </c>
      <c r="U180">
        <v>404.22500000000002</v>
      </c>
      <c r="V180">
        <v>302.38600000000002</v>
      </c>
      <c r="W180">
        <v>51.731000000000002</v>
      </c>
      <c r="X180">
        <v>-0.131537732526678</v>
      </c>
      <c r="Y180">
        <v>1</v>
      </c>
      <c r="Z180" t="s">
        <v>62</v>
      </c>
      <c r="AA180" t="s">
        <v>33</v>
      </c>
      <c r="AB180" t="s">
        <v>34</v>
      </c>
      <c r="AC180" s="7">
        <f t="shared" si="20"/>
        <v>-0.11310628200125813</v>
      </c>
      <c r="AD180" s="8">
        <f t="shared" si="21"/>
        <v>-1.6971063659948116</v>
      </c>
      <c r="AE180" s="9">
        <f t="shared" si="22"/>
        <v>2.2675228434238098E-4</v>
      </c>
      <c r="AF180" s="8">
        <f t="shared" si="23"/>
        <v>-0.47511173592241901</v>
      </c>
      <c r="AG180" s="8">
        <f t="shared" si="24"/>
        <v>0.88375982732749836</v>
      </c>
      <c r="AH180" s="8">
        <f t="shared" si="25"/>
        <v>1.1315291429618537</v>
      </c>
      <c r="AI180" s="8">
        <f t="shared" si="26"/>
        <v>0.58011533429993489</v>
      </c>
      <c r="AJ180" s="8">
        <f t="shared" si="27"/>
        <v>-0.13153773252667775</v>
      </c>
      <c r="AK180" s="8">
        <f t="shared" si="28"/>
        <v>0.58011533429993489</v>
      </c>
      <c r="AL180" s="8">
        <f t="shared" si="29"/>
        <v>-0.15099012884330293</v>
      </c>
    </row>
    <row r="181" spans="1:38">
      <c r="A181" t="s">
        <v>591</v>
      </c>
      <c r="B181" t="s">
        <v>592</v>
      </c>
      <c r="C181" t="s">
        <v>345</v>
      </c>
      <c r="D181">
        <v>0</v>
      </c>
      <c r="E181" t="s">
        <v>593</v>
      </c>
      <c r="F181">
        <v>-1349.8630000000001</v>
      </c>
      <c r="G181">
        <v>-1079.6759999999999</v>
      </c>
      <c r="H181">
        <v>0.38800000000000001</v>
      </c>
      <c r="I181">
        <v>-5673.3310000000001</v>
      </c>
      <c r="J181">
        <v>346.25200000000001</v>
      </c>
      <c r="K181">
        <v>0</v>
      </c>
      <c r="L181">
        <v>6019.5829999999996</v>
      </c>
      <c r="M181">
        <v>-5673.3310000000001</v>
      </c>
      <c r="N181">
        <v>-1232.115</v>
      </c>
      <c r="O181">
        <v>0</v>
      </c>
      <c r="P181">
        <v>0</v>
      </c>
      <c r="Q181">
        <v>152.43899999999999</v>
      </c>
      <c r="R181">
        <v>4774.1620000000003</v>
      </c>
      <c r="S181">
        <v>6019.5829999999996</v>
      </c>
      <c r="T181">
        <v>346.25200000000001</v>
      </c>
      <c r="U181">
        <v>453.83800000000002</v>
      </c>
      <c r="V181">
        <v>446.721</v>
      </c>
      <c r="W181">
        <v>450.24099999999999</v>
      </c>
      <c r="X181">
        <v>-16.384976837678899</v>
      </c>
      <c r="Y181">
        <v>1</v>
      </c>
      <c r="Z181" t="s">
        <v>62</v>
      </c>
      <c r="AA181" t="s">
        <v>33</v>
      </c>
      <c r="AB181" t="s">
        <v>34</v>
      </c>
      <c r="AC181" s="7">
        <f t="shared" si="20"/>
        <v>-3.3742778937369544</v>
      </c>
      <c r="AD181" s="8">
        <f t="shared" si="21"/>
        <v>-2782.6701030927834</v>
      </c>
      <c r="AE181" s="9">
        <f t="shared" si="22"/>
        <v>2.8245803472288812E-2</v>
      </c>
      <c r="AF181" s="8">
        <f t="shared" si="23"/>
        <v>-16.384976837678916</v>
      </c>
      <c r="AG181" s="8">
        <f t="shared" si="24"/>
        <v>5.7520927944676573E-2</v>
      </c>
      <c r="AH181" s="8">
        <f t="shared" si="25"/>
        <v>17.384976837678913</v>
      </c>
      <c r="AI181" s="8">
        <f t="shared" si="26"/>
        <v>5.7520927944676573E-2</v>
      </c>
      <c r="AJ181" s="8">
        <f t="shared" si="27"/>
        <v>-16.384976837678916</v>
      </c>
      <c r="AK181" s="8">
        <f t="shared" si="28"/>
        <v>5.7520927944676573E-2</v>
      </c>
      <c r="AL181" s="8">
        <f t="shared" si="29"/>
        <v>-6.8390157387256264E-5</v>
      </c>
    </row>
    <row r="182" spans="1:38">
      <c r="A182" t="s">
        <v>594</v>
      </c>
      <c r="B182" t="s">
        <v>595</v>
      </c>
      <c r="C182" t="s">
        <v>124</v>
      </c>
      <c r="D182">
        <v>1</v>
      </c>
      <c r="E182" t="s">
        <v>596</v>
      </c>
      <c r="F182">
        <v>-240.31</v>
      </c>
      <c r="G182">
        <v>-228.15</v>
      </c>
      <c r="H182">
        <v>158.69399999999999</v>
      </c>
      <c r="I182">
        <v>-163.82300000000001</v>
      </c>
      <c r="J182">
        <v>106.217</v>
      </c>
      <c r="K182">
        <v>19.864999999999998</v>
      </c>
      <c r="L182">
        <v>295.34500000000003</v>
      </c>
      <c r="M182">
        <v>-189.12799999999999</v>
      </c>
      <c r="N182">
        <v>-234.80199999999999</v>
      </c>
      <c r="O182">
        <v>216.23500000000001</v>
      </c>
      <c r="P182">
        <v>190.65</v>
      </c>
      <c r="Q182">
        <v>6.6520000000000001</v>
      </c>
      <c r="R182">
        <v>431.19799999999998</v>
      </c>
      <c r="S182">
        <v>485.995</v>
      </c>
      <c r="T182">
        <v>322.452</v>
      </c>
      <c r="U182">
        <v>533.66700000000003</v>
      </c>
      <c r="V182">
        <v>528.11900000000003</v>
      </c>
      <c r="W182">
        <v>515.822</v>
      </c>
      <c r="X182">
        <v>-0.50805391190006599</v>
      </c>
      <c r="Y182">
        <v>1</v>
      </c>
      <c r="Z182" t="s">
        <v>62</v>
      </c>
      <c r="AA182" t="s">
        <v>33</v>
      </c>
      <c r="AB182" t="s">
        <v>34</v>
      </c>
      <c r="AC182" s="7">
        <f t="shared" si="20"/>
        <v>-0.56139391836882491</v>
      </c>
      <c r="AD182" s="8">
        <f t="shared" si="21"/>
        <v>-1.4376725017959093</v>
      </c>
      <c r="AE182" s="9">
        <f t="shared" si="22"/>
        <v>1.4505125965854515E-2</v>
      </c>
      <c r="AF182" s="8">
        <f t="shared" si="23"/>
        <v>-0.58653070844652844</v>
      </c>
      <c r="AG182" s="8">
        <f t="shared" si="24"/>
        <v>0.66348830749287546</v>
      </c>
      <c r="AH182" s="8">
        <f t="shared" si="25"/>
        <v>0.91593477478818563</v>
      </c>
      <c r="AI182" s="8">
        <f t="shared" si="26"/>
        <v>0.35963703465438718</v>
      </c>
      <c r="AJ182" s="8">
        <f t="shared" si="27"/>
        <v>-0.50805391190006577</v>
      </c>
      <c r="AK182" s="8">
        <f t="shared" si="28"/>
        <v>0.2185557464582969</v>
      </c>
      <c r="AL182" s="8">
        <f t="shared" si="29"/>
        <v>-0.83908252611987644</v>
      </c>
    </row>
    <row r="183" spans="1:38">
      <c r="A183" t="s">
        <v>597</v>
      </c>
      <c r="B183" t="s">
        <v>598</v>
      </c>
      <c r="C183" t="s">
        <v>131</v>
      </c>
      <c r="D183">
        <v>1</v>
      </c>
      <c r="E183" t="s">
        <v>599</v>
      </c>
      <c r="F183">
        <v>-0.24299999999999999</v>
      </c>
      <c r="G183">
        <v>11.946999999999999</v>
      </c>
      <c r="H183">
        <v>356.358</v>
      </c>
      <c r="I183">
        <v>34.716999999999999</v>
      </c>
      <c r="J183">
        <v>304.32100000000003</v>
      </c>
      <c r="K183">
        <v>0</v>
      </c>
      <c r="L183">
        <v>226.715</v>
      </c>
      <c r="M183">
        <v>77.605999999999995</v>
      </c>
      <c r="N183">
        <v>0.38900000000000001</v>
      </c>
      <c r="O183">
        <v>0.64500000000000002</v>
      </c>
      <c r="P183">
        <v>0</v>
      </c>
      <c r="Q183">
        <v>3.0369999999999999</v>
      </c>
      <c r="R183">
        <v>171.84899999999999</v>
      </c>
      <c r="S183">
        <v>226.715</v>
      </c>
      <c r="T183">
        <v>314.05200000000002</v>
      </c>
      <c r="U183">
        <v>249.05699999999999</v>
      </c>
      <c r="V183">
        <v>277.03100000000001</v>
      </c>
      <c r="W183">
        <v>244.65299999999999</v>
      </c>
      <c r="X183">
        <v>0.110545387388076</v>
      </c>
      <c r="Y183">
        <v>1</v>
      </c>
      <c r="Z183" t="s">
        <v>32</v>
      </c>
      <c r="AA183" t="s">
        <v>33</v>
      </c>
      <c r="AB183" t="s">
        <v>34</v>
      </c>
      <c r="AC183" s="7">
        <f t="shared" si="20"/>
        <v>-8.6306558765709648E-4</v>
      </c>
      <c r="AD183" s="8">
        <f t="shared" si="21"/>
        <v>3.3525275144657897E-2</v>
      </c>
      <c r="AE183" s="9">
        <f t="shared" si="22"/>
        <v>1.5239710560913682E-2</v>
      </c>
      <c r="AF183" s="8">
        <f t="shared" si="23"/>
        <v>0.24711194324506766</v>
      </c>
      <c r="AG183" s="8">
        <f t="shared" si="24"/>
        <v>1.3852281498798051</v>
      </c>
      <c r="AH183" s="8">
        <f t="shared" si="25"/>
        <v>0.72190274222103346</v>
      </c>
      <c r="AI183" s="8">
        <f t="shared" si="26"/>
        <v>1.3423064199545687</v>
      </c>
      <c r="AJ183" s="8">
        <f t="shared" si="27"/>
        <v>0.11054538738807584</v>
      </c>
      <c r="AK183" s="8">
        <f t="shared" si="28"/>
        <v>1.3423064199545687</v>
      </c>
      <c r="AL183" s="8">
        <f t="shared" si="29"/>
        <v>4.5918872252145455</v>
      </c>
    </row>
    <row r="184" spans="1:38">
      <c r="A184" t="s">
        <v>600</v>
      </c>
      <c r="B184" t="s">
        <v>601</v>
      </c>
      <c r="C184" t="s">
        <v>168</v>
      </c>
      <c r="D184">
        <v>4</v>
      </c>
      <c r="E184" t="s">
        <v>602</v>
      </c>
      <c r="F184">
        <v>-12.875999999999999</v>
      </c>
      <c r="G184">
        <v>43.051000000000002</v>
      </c>
      <c r="H184">
        <v>262.25</v>
      </c>
      <c r="I184">
        <v>110.146</v>
      </c>
      <c r="J184">
        <v>199.21700000000001</v>
      </c>
      <c r="K184">
        <v>0</v>
      </c>
      <c r="L184">
        <v>186.226</v>
      </c>
      <c r="M184">
        <v>12.991</v>
      </c>
      <c r="N184">
        <v>36.545000000000002</v>
      </c>
      <c r="O184">
        <v>104.33</v>
      </c>
      <c r="P184">
        <v>0</v>
      </c>
      <c r="Q184">
        <v>6.0670000000000002</v>
      </c>
      <c r="R184">
        <v>79.225999999999999</v>
      </c>
      <c r="S184">
        <v>186.226</v>
      </c>
      <c r="T184">
        <v>303.54700000000003</v>
      </c>
      <c r="U184">
        <v>206.203</v>
      </c>
      <c r="V184">
        <v>232.96799999999999</v>
      </c>
      <c r="W184">
        <v>118.459</v>
      </c>
      <c r="X184">
        <v>0.36286308215861102</v>
      </c>
      <c r="Y184">
        <v>1</v>
      </c>
      <c r="Z184" t="s">
        <v>44</v>
      </c>
      <c r="AA184" t="s">
        <v>33</v>
      </c>
      <c r="AB184" t="s">
        <v>34</v>
      </c>
      <c r="AC184" s="7">
        <f t="shared" si="20"/>
        <v>-5.0518881804806279E-2</v>
      </c>
      <c r="AD184" s="8">
        <f t="shared" si="21"/>
        <v>0.16416015252621546</v>
      </c>
      <c r="AE184" s="9">
        <f t="shared" si="22"/>
        <v>4.5710712294501459E-2</v>
      </c>
      <c r="AF184" s="8">
        <f t="shared" si="23"/>
        <v>4.2797326278961739E-2</v>
      </c>
      <c r="AG184" s="8">
        <f t="shared" si="24"/>
        <v>1.6299925896491361</v>
      </c>
      <c r="AH184" s="8">
        <f t="shared" si="25"/>
        <v>0.61349972162465771</v>
      </c>
      <c r="AI184" s="8">
        <f t="shared" si="26"/>
        <v>1.069759324691504</v>
      </c>
      <c r="AJ184" s="8">
        <f t="shared" si="27"/>
        <v>0.36286308215861135</v>
      </c>
      <c r="AK184" s="8">
        <f t="shared" si="28"/>
        <v>1.069759324691504</v>
      </c>
      <c r="AL184" s="8">
        <f t="shared" si="29"/>
        <v>20.187052574859518</v>
      </c>
    </row>
    <row r="185" spans="1:38">
      <c r="A185" t="s">
        <v>603</v>
      </c>
      <c r="B185" t="s">
        <v>604</v>
      </c>
      <c r="C185" t="s">
        <v>120</v>
      </c>
      <c r="D185">
        <v>5</v>
      </c>
      <c r="E185" t="s">
        <v>605</v>
      </c>
      <c r="F185">
        <v>-116.895</v>
      </c>
      <c r="G185">
        <v>-101.876</v>
      </c>
      <c r="H185">
        <v>194.59700000000001</v>
      </c>
      <c r="I185">
        <v>-170.762</v>
      </c>
      <c r="J185">
        <v>299.44900000000001</v>
      </c>
      <c r="K185">
        <v>0</v>
      </c>
      <c r="L185">
        <v>458.94600000000003</v>
      </c>
      <c r="M185">
        <v>-159.49700000000001</v>
      </c>
      <c r="N185">
        <v>-116.895</v>
      </c>
      <c r="O185">
        <v>0</v>
      </c>
      <c r="P185">
        <v>0.51</v>
      </c>
      <c r="Q185">
        <v>1.794</v>
      </c>
      <c r="R185">
        <v>339.78399999999999</v>
      </c>
      <c r="S185">
        <v>459.45600000000002</v>
      </c>
      <c r="T185">
        <v>299.44900000000001</v>
      </c>
      <c r="U185">
        <v>294.71199999999999</v>
      </c>
      <c r="V185">
        <v>308.822</v>
      </c>
      <c r="W185">
        <v>142.1</v>
      </c>
      <c r="X185">
        <v>-0.57025403324105295</v>
      </c>
      <c r="Y185">
        <v>1</v>
      </c>
      <c r="Z185" t="s">
        <v>44</v>
      </c>
      <c r="AA185" t="s">
        <v>33</v>
      </c>
      <c r="AB185" t="s">
        <v>34</v>
      </c>
      <c r="AC185" s="7">
        <f t="shared" si="20"/>
        <v>-0.39347920849736007</v>
      </c>
      <c r="AD185" s="8">
        <f t="shared" si="21"/>
        <v>-0.52352297311880447</v>
      </c>
      <c r="AE185" s="9">
        <f t="shared" si="22"/>
        <v>4.4892648015614836E-3</v>
      </c>
      <c r="AF185" s="8">
        <f t="shared" si="23"/>
        <v>-0.53263493950555851</v>
      </c>
      <c r="AG185" s="8">
        <f t="shared" si="24"/>
        <v>0.65174684844685893</v>
      </c>
      <c r="AH185" s="8">
        <f t="shared" si="25"/>
        <v>1.5326349395055585</v>
      </c>
      <c r="AI185" s="8">
        <f t="shared" si="26"/>
        <v>0.65247109681749049</v>
      </c>
      <c r="AJ185" s="8">
        <f t="shared" si="27"/>
        <v>-0.57025403324105273</v>
      </c>
      <c r="AK185" s="8">
        <f t="shared" si="28"/>
        <v>0.65174684844685893</v>
      </c>
      <c r="AL185" s="8">
        <f t="shared" si="29"/>
        <v>-1.2200668351128861</v>
      </c>
    </row>
    <row r="186" spans="1:38">
      <c r="A186" t="s">
        <v>606</v>
      </c>
      <c r="B186" t="s">
        <v>607</v>
      </c>
      <c r="C186" t="s">
        <v>65</v>
      </c>
      <c r="D186">
        <v>8</v>
      </c>
      <c r="E186" t="s">
        <v>608</v>
      </c>
      <c r="F186">
        <v>-247.48</v>
      </c>
      <c r="G186">
        <v>-247.09100000000001</v>
      </c>
      <c r="H186">
        <v>262.30200000000002</v>
      </c>
      <c r="I186">
        <v>-192.07499999999999</v>
      </c>
      <c r="J186">
        <v>278.29500000000002</v>
      </c>
      <c r="K186">
        <v>135.53299999999999</v>
      </c>
      <c r="L186">
        <v>482.05</v>
      </c>
      <c r="M186">
        <v>-203.755</v>
      </c>
      <c r="N186">
        <v>-247.48</v>
      </c>
      <c r="O186">
        <v>17.414999999999999</v>
      </c>
      <c r="P186">
        <v>0</v>
      </c>
      <c r="Q186">
        <v>0.38900000000000001</v>
      </c>
      <c r="R186">
        <v>444.61099999999999</v>
      </c>
      <c r="S186">
        <v>482.05</v>
      </c>
      <c r="T186">
        <v>295.70999999999998</v>
      </c>
      <c r="U186">
        <v>554.78099999999995</v>
      </c>
      <c r="V186">
        <v>271.12</v>
      </c>
      <c r="W186">
        <v>446.63200000000001</v>
      </c>
      <c r="X186">
        <v>-0.64953839910723299</v>
      </c>
      <c r="Y186">
        <v>1</v>
      </c>
      <c r="Z186" t="s">
        <v>62</v>
      </c>
      <c r="AA186" t="s">
        <v>33</v>
      </c>
      <c r="AB186" t="s">
        <v>34</v>
      </c>
      <c r="AC186" s="7">
        <f t="shared" si="20"/>
        <v>-0.5819697092620616</v>
      </c>
      <c r="AD186" s="8">
        <f t="shared" si="21"/>
        <v>-0.94200959199701106</v>
      </c>
      <c r="AE186" s="9">
        <f t="shared" si="22"/>
        <v>8.3957347940616898E-4</v>
      </c>
      <c r="AF186" s="8">
        <f t="shared" si="23"/>
        <v>-0.68903655608535397</v>
      </c>
      <c r="AG186" s="8">
        <f t="shared" si="24"/>
        <v>0.61344258894305559</v>
      </c>
      <c r="AH186" s="8">
        <f t="shared" si="25"/>
        <v>1.6301443982279937</v>
      </c>
      <c r="AI186" s="8">
        <f t="shared" si="26"/>
        <v>0.57731563115859352</v>
      </c>
      <c r="AJ186" s="8">
        <f t="shared" si="27"/>
        <v>-0.64953839910723343</v>
      </c>
      <c r="AK186" s="8">
        <f t="shared" si="28"/>
        <v>0.57731563115859352</v>
      </c>
      <c r="AL186" s="8">
        <f t="shared" si="29"/>
        <v>-1.2873401879708475</v>
      </c>
    </row>
    <row r="187" spans="1:38">
      <c r="A187" t="s">
        <v>609</v>
      </c>
      <c r="B187" t="s">
        <v>610</v>
      </c>
      <c r="C187" t="s">
        <v>69</v>
      </c>
      <c r="D187">
        <v>2</v>
      </c>
      <c r="E187" t="s">
        <v>611</v>
      </c>
      <c r="F187">
        <v>-341.33499999999998</v>
      </c>
      <c r="G187">
        <v>-176.34100000000001</v>
      </c>
      <c r="H187">
        <v>165.56899999999999</v>
      </c>
      <c r="I187">
        <v>-932.13400000000001</v>
      </c>
      <c r="J187">
        <v>271.04000000000002</v>
      </c>
      <c r="K187">
        <v>95.527000000000001</v>
      </c>
      <c r="L187">
        <v>1182.049</v>
      </c>
      <c r="M187">
        <v>-911.00900000000001</v>
      </c>
      <c r="N187">
        <v>-193.733</v>
      </c>
      <c r="O187">
        <v>18</v>
      </c>
      <c r="P187">
        <v>0</v>
      </c>
      <c r="Q187">
        <v>17.422999999999998</v>
      </c>
      <c r="R187">
        <v>1296.617</v>
      </c>
      <c r="S187">
        <v>1182.049</v>
      </c>
      <c r="T187">
        <v>289.04000000000002</v>
      </c>
      <c r="U187">
        <v>715.52</v>
      </c>
      <c r="V187">
        <v>1147.3430000000001</v>
      </c>
      <c r="W187">
        <v>1078.75</v>
      </c>
      <c r="X187">
        <v>-3.22493080542485</v>
      </c>
      <c r="Y187">
        <v>1</v>
      </c>
      <c r="Z187" t="s">
        <v>39</v>
      </c>
      <c r="AA187" t="s">
        <v>33</v>
      </c>
      <c r="AB187" t="s">
        <v>34</v>
      </c>
      <c r="AC187" s="7">
        <f t="shared" si="20"/>
        <v>-0.67957115553077962</v>
      </c>
      <c r="AD187" s="8">
        <f t="shared" si="21"/>
        <v>-1.0650604883764474</v>
      </c>
      <c r="AE187" s="9">
        <f t="shared" si="22"/>
        <v>1.4058368493375063E-2</v>
      </c>
      <c r="AF187" s="8">
        <f t="shared" si="23"/>
        <v>-3.1518440354276223</v>
      </c>
      <c r="AG187" s="8">
        <f t="shared" si="24"/>
        <v>0.24452455016670208</v>
      </c>
      <c r="AH187" s="8">
        <f t="shared" si="25"/>
        <v>4.0895689177968446</v>
      </c>
      <c r="AI187" s="8">
        <f t="shared" si="26"/>
        <v>0.22929675504145769</v>
      </c>
      <c r="AJ187" s="8">
        <f t="shared" si="27"/>
        <v>-3.2249308054248544</v>
      </c>
      <c r="AK187" s="8">
        <f t="shared" si="28"/>
        <v>0.22929675504145769</v>
      </c>
      <c r="AL187" s="8">
        <f t="shared" si="29"/>
        <v>-0.18174244162242084</v>
      </c>
    </row>
    <row r="188" spans="1:38">
      <c r="A188" t="s">
        <v>612</v>
      </c>
      <c r="B188" t="s">
        <v>613</v>
      </c>
      <c r="C188" t="s">
        <v>42</v>
      </c>
      <c r="D188">
        <v>3</v>
      </c>
      <c r="E188" t="s">
        <v>614</v>
      </c>
      <c r="F188">
        <v>6.1449999999999996</v>
      </c>
      <c r="G188">
        <v>6.1449999999999996</v>
      </c>
      <c r="H188">
        <v>134.89400000000001</v>
      </c>
      <c r="I188">
        <v>87.34</v>
      </c>
      <c r="J188">
        <v>277.87</v>
      </c>
      <c r="K188">
        <v>271.53199999999998</v>
      </c>
      <c r="L188">
        <v>68.957999999999998</v>
      </c>
      <c r="M188">
        <v>208.91200000000001</v>
      </c>
      <c r="N188">
        <v>6.1449999999999996</v>
      </c>
      <c r="O188">
        <v>1.66</v>
      </c>
      <c r="P188">
        <v>29.835000000000001</v>
      </c>
      <c r="Q188">
        <v>0</v>
      </c>
      <c r="R188">
        <v>417.44900000000001</v>
      </c>
      <c r="S188">
        <v>98.793000000000006</v>
      </c>
      <c r="T188">
        <v>279.52999999999997</v>
      </c>
      <c r="U188">
        <v>592.04100000000005</v>
      </c>
      <c r="V188">
        <v>983.56200000000001</v>
      </c>
      <c r="W188">
        <v>934.25900000000001</v>
      </c>
      <c r="X188">
        <v>0.31245304618466702</v>
      </c>
      <c r="Y188">
        <v>1</v>
      </c>
      <c r="Z188" t="s">
        <v>44</v>
      </c>
      <c r="AA188" t="s">
        <v>33</v>
      </c>
      <c r="AB188" t="s">
        <v>34</v>
      </c>
      <c r="AC188" s="7">
        <f t="shared" si="20"/>
        <v>1.4100973988349771E-2</v>
      </c>
      <c r="AD188" s="8">
        <f t="shared" si="21"/>
        <v>4.5554287069847432E-2</v>
      </c>
      <c r="AE188" s="9">
        <f t="shared" si="22"/>
        <v>0</v>
      </c>
      <c r="AF188" s="8">
        <f t="shared" si="23"/>
        <v>0.74736879762458419</v>
      </c>
      <c r="AG188" s="8">
        <f t="shared" si="24"/>
        <v>2.8294514793558245</v>
      </c>
      <c r="AH188" s="8">
        <f t="shared" si="25"/>
        <v>0.24669266268379067</v>
      </c>
      <c r="AI188" s="8">
        <f t="shared" si="26"/>
        <v>4.0295542214101339</v>
      </c>
      <c r="AJ188" s="8">
        <f t="shared" si="27"/>
        <v>0.31245304618466718</v>
      </c>
      <c r="AK188" s="8">
        <f t="shared" si="28"/>
        <v>2.8126486694401422</v>
      </c>
      <c r="AL188" s="8">
        <f t="shared" si="29"/>
        <v>0.64569771004059129</v>
      </c>
    </row>
    <row r="189" spans="1:38">
      <c r="A189" t="s">
        <v>615</v>
      </c>
      <c r="B189" t="s">
        <v>616</v>
      </c>
      <c r="C189" t="s">
        <v>65</v>
      </c>
      <c r="D189">
        <v>0</v>
      </c>
      <c r="E189" t="s">
        <v>617</v>
      </c>
      <c r="F189">
        <v>29.86</v>
      </c>
      <c r="G189">
        <v>51.057000000000002</v>
      </c>
      <c r="H189">
        <v>350</v>
      </c>
      <c r="I189">
        <v>57.048000000000002</v>
      </c>
      <c r="J189">
        <v>273.63099999999997</v>
      </c>
      <c r="K189">
        <v>0</v>
      </c>
      <c r="L189">
        <v>219.42599999999999</v>
      </c>
      <c r="M189">
        <v>54.204999999999998</v>
      </c>
      <c r="N189">
        <v>31.831</v>
      </c>
      <c r="O189">
        <v>2.839</v>
      </c>
      <c r="P189">
        <v>0</v>
      </c>
      <c r="Q189">
        <v>0</v>
      </c>
      <c r="R189">
        <v>221.69200000000001</v>
      </c>
      <c r="S189">
        <v>219.42599999999999</v>
      </c>
      <c r="T189">
        <v>276.47399999999999</v>
      </c>
      <c r="U189">
        <v>348.87900000000002</v>
      </c>
      <c r="V189">
        <v>209.10300000000001</v>
      </c>
      <c r="W189">
        <v>183.25399999999999</v>
      </c>
      <c r="X189">
        <v>0.20634128344799199</v>
      </c>
      <c r="Y189">
        <v>1</v>
      </c>
      <c r="Z189" t="s">
        <v>62</v>
      </c>
      <c r="AA189" t="s">
        <v>33</v>
      </c>
      <c r="AB189" t="s">
        <v>34</v>
      </c>
      <c r="AC189" s="7">
        <f t="shared" si="20"/>
        <v>9.5498062694190311E-2</v>
      </c>
      <c r="AD189" s="8">
        <f t="shared" si="21"/>
        <v>0.14587714285714287</v>
      </c>
      <c r="AE189" s="9">
        <f t="shared" si="22"/>
        <v>0</v>
      </c>
      <c r="AF189" s="8">
        <f t="shared" si="23"/>
        <v>0.19605821885602262</v>
      </c>
      <c r="AG189" s="8">
        <f t="shared" si="24"/>
        <v>1.2599874217275984</v>
      </c>
      <c r="AH189" s="8">
        <f t="shared" si="25"/>
        <v>0.79365871655200848</v>
      </c>
      <c r="AI189" s="8">
        <f t="shared" si="26"/>
        <v>1.2470308896849052</v>
      </c>
      <c r="AJ189" s="8">
        <f t="shared" si="27"/>
        <v>0.20634128344799152</v>
      </c>
      <c r="AK189" s="8">
        <f t="shared" si="28"/>
        <v>1.2470308896849052</v>
      </c>
      <c r="AL189" s="8">
        <f t="shared" si="29"/>
        <v>6.4569689143067981</v>
      </c>
    </row>
    <row r="190" spans="1:38">
      <c r="A190" t="s">
        <v>618</v>
      </c>
      <c r="B190" t="s">
        <v>619</v>
      </c>
      <c r="C190" t="s">
        <v>86</v>
      </c>
      <c r="D190">
        <v>0</v>
      </c>
      <c r="E190" t="s">
        <v>620</v>
      </c>
      <c r="F190">
        <v>-97.997</v>
      </c>
      <c r="G190">
        <v>-94.043999999999997</v>
      </c>
      <c r="H190">
        <v>10.962999999999999</v>
      </c>
      <c r="I190">
        <v>-724.23900000000003</v>
      </c>
      <c r="J190">
        <v>261.58499999999998</v>
      </c>
      <c r="K190">
        <v>0</v>
      </c>
      <c r="L190">
        <v>985.82399999999996</v>
      </c>
      <c r="M190">
        <v>-724.23900000000003</v>
      </c>
      <c r="N190">
        <v>-97.997</v>
      </c>
      <c r="O190">
        <v>0</v>
      </c>
      <c r="P190">
        <v>0</v>
      </c>
      <c r="Q190">
        <v>3.9529999999999998</v>
      </c>
      <c r="R190">
        <v>1233.4590000000001</v>
      </c>
      <c r="S190">
        <v>985.82399999999996</v>
      </c>
      <c r="T190">
        <v>261.58499999999998</v>
      </c>
      <c r="U190">
        <v>574.21600000000001</v>
      </c>
      <c r="V190">
        <v>2090.873</v>
      </c>
      <c r="W190">
        <v>1850.606</v>
      </c>
      <c r="X190">
        <v>-2.7686564596593799</v>
      </c>
      <c r="Y190">
        <v>1</v>
      </c>
      <c r="Z190" t="s">
        <v>57</v>
      </c>
      <c r="AA190" t="s">
        <v>33</v>
      </c>
      <c r="AB190" t="s">
        <v>34</v>
      </c>
      <c r="AC190" s="7">
        <f t="shared" si="20"/>
        <v>-0.23449840332806496</v>
      </c>
      <c r="AD190" s="8">
        <f t="shared" si="21"/>
        <v>-8.5783088570646733</v>
      </c>
      <c r="AE190" s="9">
        <f t="shared" si="22"/>
        <v>3.5624118239990124E-3</v>
      </c>
      <c r="AF190" s="8">
        <f t="shared" si="23"/>
        <v>-2.7686564596593843</v>
      </c>
      <c r="AG190" s="8">
        <f t="shared" si="24"/>
        <v>0.26534655273152202</v>
      </c>
      <c r="AH190" s="8">
        <f t="shared" si="25"/>
        <v>3.7686564596593843</v>
      </c>
      <c r="AI190" s="8">
        <f t="shared" si="26"/>
        <v>0.26534655273152202</v>
      </c>
      <c r="AJ190" s="8">
        <f t="shared" si="27"/>
        <v>-2.7686564596593843</v>
      </c>
      <c r="AK190" s="8">
        <f t="shared" si="28"/>
        <v>0.26534655273152202</v>
      </c>
      <c r="AL190" s="8">
        <f t="shared" si="29"/>
        <v>-1.5137268222230505E-2</v>
      </c>
    </row>
    <row r="191" spans="1:38">
      <c r="A191" t="s">
        <v>621</v>
      </c>
      <c r="B191" t="s">
        <v>622</v>
      </c>
      <c r="C191" t="s">
        <v>65</v>
      </c>
      <c r="D191">
        <v>2</v>
      </c>
      <c r="E191" t="s">
        <v>623</v>
      </c>
      <c r="F191">
        <v>0.40799999999999997</v>
      </c>
      <c r="G191">
        <v>15.496</v>
      </c>
      <c r="H191">
        <v>348.86900000000003</v>
      </c>
      <c r="I191">
        <v>57.368000000000002</v>
      </c>
      <c r="J191">
        <v>235.07499999999999</v>
      </c>
      <c r="K191">
        <v>78.403999999999996</v>
      </c>
      <c r="L191">
        <v>184.51900000000001</v>
      </c>
      <c r="M191">
        <v>50.555999999999997</v>
      </c>
      <c r="N191">
        <v>6.9539999999999997</v>
      </c>
      <c r="O191">
        <v>6.8120000000000003</v>
      </c>
      <c r="P191">
        <v>0</v>
      </c>
      <c r="Q191">
        <v>0.81699999999999995</v>
      </c>
      <c r="R191">
        <v>56.877000000000002</v>
      </c>
      <c r="S191">
        <v>184.51900000000001</v>
      </c>
      <c r="T191">
        <v>241.887</v>
      </c>
      <c r="U191">
        <v>113.83499999999999</v>
      </c>
      <c r="V191">
        <v>92.227999999999994</v>
      </c>
      <c r="W191">
        <v>40.502000000000002</v>
      </c>
      <c r="X191">
        <v>0.23716859525315501</v>
      </c>
      <c r="Y191">
        <v>1</v>
      </c>
      <c r="Z191" t="s">
        <v>62</v>
      </c>
      <c r="AA191" t="s">
        <v>33</v>
      </c>
      <c r="AB191" t="s">
        <v>34</v>
      </c>
      <c r="AC191" s="7">
        <f t="shared" si="20"/>
        <v>2.2939261558183074E-3</v>
      </c>
      <c r="AD191" s="8">
        <f t="shared" si="21"/>
        <v>4.4417818722787064E-2</v>
      </c>
      <c r="AE191" s="9">
        <f t="shared" si="22"/>
        <v>6.768960546156522E-3</v>
      </c>
      <c r="AF191" s="8">
        <f t="shared" si="23"/>
        <v>0.2090066849396619</v>
      </c>
      <c r="AG191" s="8">
        <f t="shared" si="24"/>
        <v>1.3109056519924778</v>
      </c>
      <c r="AH191" s="8">
        <f t="shared" si="25"/>
        <v>0.76283140474684463</v>
      </c>
      <c r="AI191" s="8">
        <f t="shared" si="26"/>
        <v>1.2739880445916139</v>
      </c>
      <c r="AJ191" s="8">
        <f t="shared" si="27"/>
        <v>0.2371685952531554</v>
      </c>
      <c r="AK191" s="8">
        <f t="shared" si="28"/>
        <v>1.2739880445916139</v>
      </c>
      <c r="AL191" s="8">
        <f t="shared" si="29"/>
        <v>6.900644829496005</v>
      </c>
    </row>
    <row r="192" spans="1:38">
      <c r="A192" t="s">
        <v>624</v>
      </c>
      <c r="B192" t="s">
        <v>625</v>
      </c>
      <c r="C192" t="s">
        <v>131</v>
      </c>
      <c r="D192">
        <v>1</v>
      </c>
      <c r="E192" t="s">
        <v>626</v>
      </c>
      <c r="F192">
        <v>17.748999999999999</v>
      </c>
      <c r="G192">
        <v>25.253</v>
      </c>
      <c r="H192">
        <v>142.93199999999999</v>
      </c>
      <c r="I192">
        <v>-173.98099999999999</v>
      </c>
      <c r="J192">
        <v>191.84</v>
      </c>
      <c r="K192">
        <v>0</v>
      </c>
      <c r="L192">
        <v>289.584</v>
      </c>
      <c r="M192">
        <v>-97.744</v>
      </c>
      <c r="N192">
        <v>17.748999999999999</v>
      </c>
      <c r="O192">
        <v>20.350999999999999</v>
      </c>
      <c r="P192">
        <v>112.08799999999999</v>
      </c>
      <c r="Q192">
        <v>4.8550000000000004</v>
      </c>
      <c r="R192">
        <v>444.59300000000002</v>
      </c>
      <c r="S192">
        <v>401.67200000000003</v>
      </c>
      <c r="T192">
        <v>241.839</v>
      </c>
      <c r="U192">
        <v>264.44200000000001</v>
      </c>
      <c r="V192">
        <v>414.84100000000001</v>
      </c>
      <c r="W192">
        <v>394.536</v>
      </c>
      <c r="X192">
        <v>-0.71940836672331598</v>
      </c>
      <c r="Y192">
        <v>1</v>
      </c>
      <c r="Z192" t="s">
        <v>32</v>
      </c>
      <c r="AA192" t="s">
        <v>33</v>
      </c>
      <c r="AB192" t="s">
        <v>34</v>
      </c>
      <c r="AC192" s="7">
        <f t="shared" si="20"/>
        <v>7.0115212698086626E-2</v>
      </c>
      <c r="AD192" s="8">
        <f t="shared" si="21"/>
        <v>0.176678420507654</v>
      </c>
      <c r="AE192" s="9">
        <f t="shared" si="22"/>
        <v>1.1473947286015609E-2</v>
      </c>
      <c r="AF192" s="8">
        <f t="shared" si="23"/>
        <v>-0.40416971621616032</v>
      </c>
      <c r="AG192" s="8">
        <f t="shared" si="24"/>
        <v>0.60208080224660909</v>
      </c>
      <c r="AH192" s="8">
        <f t="shared" si="25"/>
        <v>1.1974247329835139</v>
      </c>
      <c r="AI192" s="8">
        <f t="shared" si="26"/>
        <v>0.66246753964307425</v>
      </c>
      <c r="AJ192" s="8">
        <f t="shared" si="27"/>
        <v>-0.71940836672331587</v>
      </c>
      <c r="AK192" s="8">
        <f t="shared" si="28"/>
        <v>0.4776036168814356</v>
      </c>
      <c r="AL192" s="8">
        <f t="shared" si="29"/>
        <v>-1.4623097069896873</v>
      </c>
    </row>
    <row r="193" spans="1:38">
      <c r="A193" t="s">
        <v>627</v>
      </c>
      <c r="B193" t="s">
        <v>628</v>
      </c>
      <c r="C193" t="s">
        <v>86</v>
      </c>
      <c r="D193">
        <v>0</v>
      </c>
      <c r="E193" t="s">
        <v>629</v>
      </c>
      <c r="F193">
        <v>-10</v>
      </c>
      <c r="G193">
        <v>-10</v>
      </c>
      <c r="H193">
        <v>58</v>
      </c>
      <c r="I193">
        <v>14.297000000000001</v>
      </c>
      <c r="J193">
        <v>175.60599999999999</v>
      </c>
      <c r="K193">
        <v>30</v>
      </c>
      <c r="L193">
        <v>205.024</v>
      </c>
      <c r="M193">
        <v>-29.417999999999999</v>
      </c>
      <c r="N193">
        <v>-10</v>
      </c>
      <c r="O193">
        <v>36.216000000000001</v>
      </c>
      <c r="P193">
        <v>0</v>
      </c>
      <c r="Q193">
        <v>0</v>
      </c>
      <c r="R193">
        <v>263.024</v>
      </c>
      <c r="S193">
        <v>205.024</v>
      </c>
      <c r="T193">
        <v>219.322</v>
      </c>
      <c r="U193">
        <v>287.322</v>
      </c>
      <c r="V193">
        <v>294.322</v>
      </c>
      <c r="W193">
        <v>294.322</v>
      </c>
      <c r="X193">
        <v>6.5187258916114196E-2</v>
      </c>
      <c r="Y193">
        <v>1</v>
      </c>
      <c r="Z193" t="s">
        <v>57</v>
      </c>
      <c r="AA193" t="s">
        <v>33</v>
      </c>
      <c r="AB193" t="s">
        <v>34</v>
      </c>
      <c r="AC193" s="7">
        <f t="shared" si="20"/>
        <v>-3.9475450217509728E-2</v>
      </c>
      <c r="AD193" s="8">
        <f t="shared" si="21"/>
        <v>-0.17241379310344829</v>
      </c>
      <c r="AE193" s="9">
        <f t="shared" si="22"/>
        <v>0</v>
      </c>
      <c r="AF193" s="8">
        <f t="shared" si="23"/>
        <v>-0.1341315508704097</v>
      </c>
      <c r="AG193" s="8">
        <f t="shared" si="24"/>
        <v>1.0697381769939129</v>
      </c>
      <c r="AH193" s="8">
        <f t="shared" si="25"/>
        <v>0.93480818157777146</v>
      </c>
      <c r="AI193" s="8">
        <f t="shared" si="26"/>
        <v>0.85651435929452158</v>
      </c>
      <c r="AJ193" s="8">
        <f t="shared" si="27"/>
        <v>6.518725891611421E-2</v>
      </c>
      <c r="AK193" s="8">
        <f t="shared" si="28"/>
        <v>0.85651435929452158</v>
      </c>
      <c r="AL193" s="8">
        <f t="shared" si="29"/>
        <v>-1.9715820246107825</v>
      </c>
    </row>
    <row r="194" spans="1:38">
      <c r="A194" t="s">
        <v>630</v>
      </c>
      <c r="B194" t="s">
        <v>631</v>
      </c>
      <c r="C194" t="s">
        <v>221</v>
      </c>
      <c r="D194">
        <v>4</v>
      </c>
      <c r="E194" t="s">
        <v>632</v>
      </c>
      <c r="F194">
        <v>-47.18</v>
      </c>
      <c r="G194">
        <v>-45.036999999999999</v>
      </c>
      <c r="H194">
        <v>24.533999999999999</v>
      </c>
      <c r="I194">
        <v>-127.699</v>
      </c>
      <c r="J194">
        <v>215.501</v>
      </c>
      <c r="K194">
        <v>165.136</v>
      </c>
      <c r="L194">
        <v>331.53800000000001</v>
      </c>
      <c r="M194">
        <v>-116.03700000000001</v>
      </c>
      <c r="N194">
        <v>-47.18</v>
      </c>
      <c r="O194">
        <v>0.58799999999999997</v>
      </c>
      <c r="P194">
        <v>0</v>
      </c>
      <c r="Q194">
        <v>2.1429999999999998</v>
      </c>
      <c r="R194">
        <v>275.17099999999999</v>
      </c>
      <c r="S194">
        <v>331.53800000000001</v>
      </c>
      <c r="T194">
        <v>216.46700000000001</v>
      </c>
      <c r="U194">
        <v>240.655</v>
      </c>
      <c r="V194">
        <v>376.81900000000002</v>
      </c>
      <c r="W194">
        <v>276.23200000000003</v>
      </c>
      <c r="X194">
        <v>-0.58992363732116204</v>
      </c>
      <c r="Y194">
        <v>1</v>
      </c>
      <c r="Z194" t="s">
        <v>62</v>
      </c>
      <c r="AA194" t="s">
        <v>33</v>
      </c>
      <c r="AB194" t="s">
        <v>34</v>
      </c>
      <c r="AC194" s="7">
        <f t="shared" si="20"/>
        <v>-0.20642191800000875</v>
      </c>
      <c r="AD194" s="8">
        <f t="shared" si="21"/>
        <v>-1.8356973995271868</v>
      </c>
      <c r="AE194" s="9">
        <f t="shared" si="22"/>
        <v>7.0643422134829036E-3</v>
      </c>
      <c r="AF194" s="8">
        <f t="shared" si="23"/>
        <v>-0.53604937473148329</v>
      </c>
      <c r="AG194" s="8">
        <f t="shared" si="24"/>
        <v>0.65291761427046069</v>
      </c>
      <c r="AH194" s="8">
        <f t="shared" si="25"/>
        <v>1.5315868007594691</v>
      </c>
      <c r="AI194" s="8">
        <f t="shared" si="26"/>
        <v>0.65000392111914773</v>
      </c>
      <c r="AJ194" s="8">
        <f t="shared" si="27"/>
        <v>-0.58992363732116204</v>
      </c>
      <c r="AK194" s="8">
        <f t="shared" si="28"/>
        <v>0.65000392111914773</v>
      </c>
      <c r="AL194" s="8">
        <f t="shared" si="29"/>
        <v>-0.21143256030404092</v>
      </c>
    </row>
    <row r="195" spans="1:38">
      <c r="A195" t="s">
        <v>633</v>
      </c>
      <c r="B195" t="s">
        <v>634</v>
      </c>
      <c r="C195" t="s">
        <v>120</v>
      </c>
      <c r="D195">
        <v>1</v>
      </c>
      <c r="E195" t="s">
        <v>635</v>
      </c>
      <c r="F195">
        <v>-92.094999999999999</v>
      </c>
      <c r="G195">
        <v>-92.094999999999999</v>
      </c>
      <c r="H195">
        <v>0.43</v>
      </c>
      <c r="I195">
        <v>18.079999999999998</v>
      </c>
      <c r="J195">
        <v>201.5</v>
      </c>
      <c r="K195">
        <v>0</v>
      </c>
      <c r="L195">
        <v>186.03899999999999</v>
      </c>
      <c r="M195">
        <v>15.461</v>
      </c>
      <c r="N195">
        <v>-92.094999999999999</v>
      </c>
      <c r="O195">
        <v>6.81</v>
      </c>
      <c r="P195">
        <v>0</v>
      </c>
      <c r="Q195">
        <v>0</v>
      </c>
      <c r="R195">
        <v>265.315</v>
      </c>
      <c r="S195">
        <v>186.03899999999999</v>
      </c>
      <c r="T195">
        <v>208.31</v>
      </c>
      <c r="U195">
        <v>369.98099999999999</v>
      </c>
      <c r="V195">
        <v>431.35300000000001</v>
      </c>
      <c r="W195">
        <v>641.57500000000005</v>
      </c>
      <c r="X195">
        <v>8.6793720896740395E-2</v>
      </c>
      <c r="Y195">
        <v>1</v>
      </c>
      <c r="Z195" t="s">
        <v>44</v>
      </c>
      <c r="AA195" t="s">
        <v>33</v>
      </c>
      <c r="AB195" t="s">
        <v>34</v>
      </c>
      <c r="AC195" s="7">
        <f t="shared" ref="AC195:AC258" si="30">F195/((T195+U195)/2)</f>
        <v>-0.31850746423513426</v>
      </c>
      <c r="AD195" s="8">
        <f t="shared" ref="AD195:AD258" si="31">G195/H195</f>
        <v>-214.17441860465115</v>
      </c>
      <c r="AE195" s="9">
        <f t="shared" ref="AE195:AE258" si="32">Q195/((R195+S195)/2)</f>
        <v>0</v>
      </c>
      <c r="AF195" s="8">
        <f t="shared" ref="AF195:AF258" si="33">M195/T195</f>
        <v>7.4221112764629643E-2</v>
      </c>
      <c r="AG195" s="8">
        <f t="shared" ref="AG195:AG258" si="34">T195/S195</f>
        <v>1.1197114583501311</v>
      </c>
      <c r="AH195" s="8">
        <f t="shared" ref="AH195:AH258" si="35">L195/T195</f>
        <v>0.89308722576928612</v>
      </c>
      <c r="AI195" s="8">
        <f t="shared" ref="AI195:AI258" si="36">J195/L195</f>
        <v>1.0831062304140531</v>
      </c>
      <c r="AJ195" s="8">
        <f t="shared" ref="AJ195:AJ258" si="37">I195/T195</f>
        <v>8.6793720896740423E-2</v>
      </c>
      <c r="AK195" s="8">
        <f t="shared" ref="AK195:AK258" si="38">J195/S195</f>
        <v>1.0831062304140531</v>
      </c>
      <c r="AL195" s="8">
        <f t="shared" ref="AL195:AL258" si="39">H195/M195</f>
        <v>2.781191384774594E-2</v>
      </c>
    </row>
    <row r="196" spans="1:38">
      <c r="A196" t="s">
        <v>636</v>
      </c>
      <c r="B196" t="s">
        <v>637</v>
      </c>
      <c r="C196" t="s">
        <v>60</v>
      </c>
      <c r="D196">
        <v>12</v>
      </c>
      <c r="E196" t="s">
        <v>638</v>
      </c>
      <c r="F196">
        <v>-34.405000000000001</v>
      </c>
      <c r="G196">
        <v>-26.962</v>
      </c>
      <c r="H196">
        <v>13.074</v>
      </c>
      <c r="I196">
        <v>-349.65</v>
      </c>
      <c r="J196">
        <v>178.73599999999999</v>
      </c>
      <c r="K196">
        <v>8</v>
      </c>
      <c r="L196">
        <v>299.55500000000001</v>
      </c>
      <c r="M196">
        <v>-120.819</v>
      </c>
      <c r="N196">
        <v>-24.335999999999999</v>
      </c>
      <c r="O196">
        <v>26.41</v>
      </c>
      <c r="P196">
        <v>252.47300000000001</v>
      </c>
      <c r="Q196">
        <v>2.91</v>
      </c>
      <c r="R196">
        <v>671.28099999999995</v>
      </c>
      <c r="S196">
        <v>552.02800000000002</v>
      </c>
      <c r="T196">
        <v>205.14599999999999</v>
      </c>
      <c r="U196">
        <v>360.86200000000002</v>
      </c>
      <c r="V196">
        <v>920.25199999999995</v>
      </c>
      <c r="W196">
        <v>1015.654</v>
      </c>
      <c r="X196">
        <v>-1.70439589365623</v>
      </c>
      <c r="Y196">
        <v>1</v>
      </c>
      <c r="Z196" t="s">
        <v>62</v>
      </c>
      <c r="AA196" t="s">
        <v>33</v>
      </c>
      <c r="AB196" t="s">
        <v>34</v>
      </c>
      <c r="AC196" s="7">
        <f t="shared" si="30"/>
        <v>-0.12157071984848271</v>
      </c>
      <c r="AD196" s="8">
        <f t="shared" si="31"/>
        <v>-2.0622609759828667</v>
      </c>
      <c r="AE196" s="9">
        <f t="shared" si="32"/>
        <v>4.7575878212291417E-3</v>
      </c>
      <c r="AF196" s="8">
        <f t="shared" si="33"/>
        <v>-0.58894153432189766</v>
      </c>
      <c r="AG196" s="8">
        <f t="shared" si="34"/>
        <v>0.37162245393349608</v>
      </c>
      <c r="AH196" s="8">
        <f t="shared" si="35"/>
        <v>1.4602039523071375</v>
      </c>
      <c r="AI196" s="8">
        <f t="shared" si="36"/>
        <v>0.59667172973243643</v>
      </c>
      <c r="AJ196" s="8">
        <f t="shared" si="37"/>
        <v>-1.7043958936562253</v>
      </c>
      <c r="AK196" s="8">
        <f t="shared" si="38"/>
        <v>0.32378067779170616</v>
      </c>
      <c r="AL196" s="8">
        <f t="shared" si="39"/>
        <v>-0.10821145680729025</v>
      </c>
    </row>
    <row r="197" spans="1:38">
      <c r="A197" t="s">
        <v>639</v>
      </c>
      <c r="B197" t="s">
        <v>640</v>
      </c>
      <c r="C197" t="s">
        <v>221</v>
      </c>
      <c r="D197">
        <v>7</v>
      </c>
      <c r="E197" t="s">
        <v>641</v>
      </c>
      <c r="F197">
        <v>-83.495000000000005</v>
      </c>
      <c r="G197">
        <v>61.091000000000001</v>
      </c>
      <c r="H197">
        <v>450.77699999999999</v>
      </c>
      <c r="I197">
        <v>7.5960000000000001</v>
      </c>
      <c r="J197">
        <v>199.13499999999999</v>
      </c>
      <c r="K197">
        <v>38.299999999999997</v>
      </c>
      <c r="L197">
        <v>82.332999999999998</v>
      </c>
      <c r="M197">
        <v>116.80200000000001</v>
      </c>
      <c r="N197">
        <v>58.593000000000004</v>
      </c>
      <c r="O197">
        <v>2.4340000000000002</v>
      </c>
      <c r="P197">
        <v>0</v>
      </c>
      <c r="Q197">
        <v>0</v>
      </c>
      <c r="R197">
        <v>167.73699999999999</v>
      </c>
      <c r="S197">
        <v>82.332999999999998</v>
      </c>
      <c r="T197">
        <v>201.56899999999999</v>
      </c>
      <c r="U197">
        <v>357.952</v>
      </c>
      <c r="V197">
        <v>349.03300000000002</v>
      </c>
      <c r="W197">
        <v>336.15699999999998</v>
      </c>
      <c r="X197">
        <v>3.7684366147572299E-2</v>
      </c>
      <c r="Y197">
        <v>1</v>
      </c>
      <c r="Z197" t="s">
        <v>62</v>
      </c>
      <c r="AA197" t="s">
        <v>33</v>
      </c>
      <c r="AB197" t="s">
        <v>34</v>
      </c>
      <c r="AC197" s="7">
        <f t="shared" si="30"/>
        <v>-0.29845171137455079</v>
      </c>
      <c r="AD197" s="8">
        <f t="shared" si="31"/>
        <v>0.13552377339571453</v>
      </c>
      <c r="AE197" s="9">
        <f t="shared" si="32"/>
        <v>0</v>
      </c>
      <c r="AF197" s="8">
        <f t="shared" si="33"/>
        <v>0.57946410410330962</v>
      </c>
      <c r="AG197" s="8">
        <f t="shared" si="34"/>
        <v>2.4482163895400384</v>
      </c>
      <c r="AH197" s="8">
        <f t="shared" si="35"/>
        <v>0.40846062638600183</v>
      </c>
      <c r="AI197" s="8">
        <f t="shared" si="36"/>
        <v>2.4186535168158576</v>
      </c>
      <c r="AJ197" s="8">
        <f t="shared" si="37"/>
        <v>3.7684366147572299E-2</v>
      </c>
      <c r="AK197" s="8">
        <f t="shared" si="38"/>
        <v>2.4186535168158576</v>
      </c>
      <c r="AL197" s="8">
        <f t="shared" si="39"/>
        <v>3.8593260389376889</v>
      </c>
    </row>
    <row r="198" spans="1:38">
      <c r="A198" t="s">
        <v>642</v>
      </c>
      <c r="B198" t="s">
        <v>643</v>
      </c>
      <c r="C198" t="s">
        <v>65</v>
      </c>
      <c r="D198">
        <v>6</v>
      </c>
      <c r="E198" t="s">
        <v>644</v>
      </c>
      <c r="F198">
        <v>-310.14299999999997</v>
      </c>
      <c r="G198">
        <v>-310.14299999999997</v>
      </c>
      <c r="H198">
        <v>147.38999999999999</v>
      </c>
      <c r="I198">
        <v>-231.036</v>
      </c>
      <c r="J198">
        <v>190.88499999999999</v>
      </c>
      <c r="K198">
        <v>0</v>
      </c>
      <c r="L198">
        <v>401.45800000000003</v>
      </c>
      <c r="M198">
        <v>-210.57300000000001</v>
      </c>
      <c r="N198">
        <v>-310.14299999999997</v>
      </c>
      <c r="O198">
        <v>1</v>
      </c>
      <c r="P198">
        <v>0</v>
      </c>
      <c r="Q198">
        <v>0</v>
      </c>
      <c r="R198">
        <v>142.125</v>
      </c>
      <c r="S198">
        <v>401.45800000000003</v>
      </c>
      <c r="T198">
        <v>191.88499999999999</v>
      </c>
      <c r="U198">
        <v>232.76400000000001</v>
      </c>
      <c r="V198">
        <v>178.42400000000001</v>
      </c>
      <c r="W198">
        <v>151.756</v>
      </c>
      <c r="X198">
        <v>-1.2040336659978601</v>
      </c>
      <c r="Y198">
        <v>1</v>
      </c>
      <c r="Z198" t="s">
        <v>62</v>
      </c>
      <c r="AA198" t="s">
        <v>33</v>
      </c>
      <c r="AB198" t="s">
        <v>34</v>
      </c>
      <c r="AC198" s="7">
        <f t="shared" si="30"/>
        <v>-1.4607028392860926</v>
      </c>
      <c r="AD198" s="8">
        <f t="shared" si="31"/>
        <v>-2.104233665784653</v>
      </c>
      <c r="AE198" s="9">
        <f t="shared" si="32"/>
        <v>0</v>
      </c>
      <c r="AF198" s="8">
        <f t="shared" si="33"/>
        <v>-1.0973916668838106</v>
      </c>
      <c r="AG198" s="8">
        <f t="shared" si="34"/>
        <v>0.47797029826283194</v>
      </c>
      <c r="AH198" s="8">
        <f t="shared" si="35"/>
        <v>2.0921802121062099</v>
      </c>
      <c r="AI198" s="8">
        <f t="shared" si="36"/>
        <v>0.47547937766839865</v>
      </c>
      <c r="AJ198" s="8">
        <f t="shared" si="37"/>
        <v>-1.2040336659978634</v>
      </c>
      <c r="AK198" s="8">
        <f t="shared" si="38"/>
        <v>0.47547937766839865</v>
      </c>
      <c r="AL198" s="8">
        <f t="shared" si="39"/>
        <v>-0.69994728668917661</v>
      </c>
    </row>
    <row r="199" spans="1:38">
      <c r="A199" t="s">
        <v>645</v>
      </c>
      <c r="B199" t="s">
        <v>646</v>
      </c>
      <c r="C199" t="s">
        <v>69</v>
      </c>
      <c r="D199">
        <v>3</v>
      </c>
      <c r="E199" t="s">
        <v>647</v>
      </c>
      <c r="F199">
        <v>-126.627</v>
      </c>
      <c r="G199">
        <v>-96.201999999999998</v>
      </c>
      <c r="H199">
        <v>5.5750000000000002</v>
      </c>
      <c r="I199">
        <v>-541.92600000000004</v>
      </c>
      <c r="J199">
        <v>168.232</v>
      </c>
      <c r="K199">
        <v>0</v>
      </c>
      <c r="L199">
        <v>417.86</v>
      </c>
      <c r="M199">
        <v>-249.62799999999999</v>
      </c>
      <c r="N199">
        <v>-126.627</v>
      </c>
      <c r="O199">
        <v>19.683</v>
      </c>
      <c r="P199">
        <v>311.98099999999999</v>
      </c>
      <c r="Q199">
        <v>30.425000000000001</v>
      </c>
      <c r="R199">
        <v>865.86199999999997</v>
      </c>
      <c r="S199">
        <v>729.84100000000001</v>
      </c>
      <c r="T199">
        <v>187.91499999999999</v>
      </c>
      <c r="U199">
        <v>450.57499999999999</v>
      </c>
      <c r="V199">
        <v>720.13800000000003</v>
      </c>
      <c r="W199">
        <v>491.77600000000001</v>
      </c>
      <c r="X199">
        <v>-2.8838889923635702</v>
      </c>
      <c r="Y199">
        <v>1</v>
      </c>
      <c r="Z199" t="s">
        <v>39</v>
      </c>
      <c r="AA199" t="s">
        <v>33</v>
      </c>
      <c r="AB199" t="s">
        <v>34</v>
      </c>
      <c r="AC199" s="7">
        <f t="shared" si="30"/>
        <v>-0.39664520979185264</v>
      </c>
      <c r="AD199" s="8">
        <f t="shared" si="31"/>
        <v>-17.255964125560538</v>
      </c>
      <c r="AE199" s="9">
        <f t="shared" si="32"/>
        <v>3.8133662717936861E-2</v>
      </c>
      <c r="AF199" s="8">
        <f t="shared" si="33"/>
        <v>-1.3284091211451987</v>
      </c>
      <c r="AG199" s="8">
        <f t="shared" si="34"/>
        <v>0.25747388814824052</v>
      </c>
      <c r="AH199" s="8">
        <f t="shared" si="35"/>
        <v>2.2236649548998217</v>
      </c>
      <c r="AI199" s="8">
        <f t="shared" si="36"/>
        <v>0.40260374288039052</v>
      </c>
      <c r="AJ199" s="8">
        <f t="shared" si="37"/>
        <v>-2.8838889923635689</v>
      </c>
      <c r="AK199" s="8">
        <f t="shared" si="38"/>
        <v>0.23050500040419764</v>
      </c>
      <c r="AL199" s="8">
        <f t="shared" si="39"/>
        <v>-2.2333231848991299E-2</v>
      </c>
    </row>
    <row r="200" spans="1:38">
      <c r="A200" t="s">
        <v>648</v>
      </c>
      <c r="B200" t="s">
        <v>649</v>
      </c>
      <c r="C200" t="s">
        <v>131</v>
      </c>
      <c r="D200">
        <v>0</v>
      </c>
      <c r="E200" t="s">
        <v>650</v>
      </c>
      <c r="F200">
        <v>-137.53700000000001</v>
      </c>
      <c r="G200">
        <v>-137.33199999999999</v>
      </c>
      <c r="H200">
        <v>0.01</v>
      </c>
      <c r="I200">
        <v>-561.12</v>
      </c>
      <c r="J200">
        <v>177.245</v>
      </c>
      <c r="K200">
        <v>0</v>
      </c>
      <c r="L200">
        <v>253.33500000000001</v>
      </c>
      <c r="M200">
        <v>-76.09</v>
      </c>
      <c r="N200">
        <v>-137.53700000000001</v>
      </c>
      <c r="O200">
        <v>6.867</v>
      </c>
      <c r="P200">
        <v>491.887</v>
      </c>
      <c r="Q200">
        <v>0.20499999999999999</v>
      </c>
      <c r="R200">
        <v>752.91300000000001</v>
      </c>
      <c r="S200">
        <v>745.22199999999998</v>
      </c>
      <c r="T200">
        <v>184.11199999999999</v>
      </c>
      <c r="U200">
        <v>329.33499999999998</v>
      </c>
      <c r="V200">
        <v>517.89400000000001</v>
      </c>
      <c r="W200">
        <v>839.81500000000005</v>
      </c>
      <c r="X200">
        <v>-3.0477100895107299</v>
      </c>
      <c r="Y200">
        <v>1</v>
      </c>
      <c r="Z200" t="s">
        <v>32</v>
      </c>
      <c r="AA200" t="s">
        <v>33</v>
      </c>
      <c r="AB200" t="s">
        <v>34</v>
      </c>
      <c r="AC200" s="7">
        <f t="shared" si="30"/>
        <v>-0.53573981345689037</v>
      </c>
      <c r="AD200" s="8">
        <f t="shared" si="31"/>
        <v>-13733.199999999999</v>
      </c>
      <c r="AE200" s="9">
        <f t="shared" si="32"/>
        <v>2.7367360084371565E-4</v>
      </c>
      <c r="AF200" s="8">
        <f t="shared" si="33"/>
        <v>-0.41328104631963158</v>
      </c>
      <c r="AG200" s="8">
        <f t="shared" si="34"/>
        <v>0.24705658179710208</v>
      </c>
      <c r="AH200" s="8">
        <f t="shared" si="35"/>
        <v>1.3759830972451552</v>
      </c>
      <c r="AI200" s="8">
        <f t="shared" si="36"/>
        <v>0.69964671285057334</v>
      </c>
      <c r="AJ200" s="8">
        <f t="shared" si="37"/>
        <v>-3.0477100895107325</v>
      </c>
      <c r="AK200" s="8">
        <f t="shared" si="38"/>
        <v>0.23784187799071957</v>
      </c>
      <c r="AL200" s="8">
        <f t="shared" si="39"/>
        <v>-1.3142331449599159E-4</v>
      </c>
    </row>
    <row r="201" spans="1:38">
      <c r="A201" t="s">
        <v>651</v>
      </c>
      <c r="B201" t="s">
        <v>652</v>
      </c>
      <c r="C201" t="s">
        <v>51</v>
      </c>
      <c r="D201">
        <v>0</v>
      </c>
      <c r="E201" t="s">
        <v>653</v>
      </c>
      <c r="F201">
        <v>11.278</v>
      </c>
      <c r="G201">
        <v>18.577000000000002</v>
      </c>
      <c r="H201">
        <v>1.2250000000000001</v>
      </c>
      <c r="I201">
        <v>-16.611000000000001</v>
      </c>
      <c r="J201">
        <v>126.339</v>
      </c>
      <c r="K201">
        <v>0</v>
      </c>
      <c r="L201">
        <v>198.00399999999999</v>
      </c>
      <c r="M201">
        <v>-71.665000000000006</v>
      </c>
      <c r="N201">
        <v>12.619</v>
      </c>
      <c r="O201">
        <v>55.054000000000002</v>
      </c>
      <c r="P201">
        <v>0</v>
      </c>
      <c r="Q201">
        <v>0</v>
      </c>
      <c r="R201">
        <v>215.77</v>
      </c>
      <c r="S201">
        <v>198.00399999999999</v>
      </c>
      <c r="T201">
        <v>181.393</v>
      </c>
      <c r="U201">
        <v>187.87899999999999</v>
      </c>
      <c r="V201">
        <v>193.71</v>
      </c>
      <c r="W201">
        <v>207.24100000000001</v>
      </c>
      <c r="X201">
        <v>-9.1574647312740801E-2</v>
      </c>
      <c r="Y201">
        <v>1</v>
      </c>
      <c r="Z201" t="s">
        <v>39</v>
      </c>
      <c r="AA201" t="s">
        <v>33</v>
      </c>
      <c r="AB201" t="s">
        <v>34</v>
      </c>
      <c r="AC201" s="7">
        <f t="shared" si="30"/>
        <v>6.1082345804718476E-2</v>
      </c>
      <c r="AD201" s="8">
        <f t="shared" si="31"/>
        <v>15.164897959183675</v>
      </c>
      <c r="AE201" s="9">
        <f t="shared" si="32"/>
        <v>0</v>
      </c>
      <c r="AF201" s="8">
        <f t="shared" si="33"/>
        <v>-0.39508139784886964</v>
      </c>
      <c r="AG201" s="8">
        <f t="shared" si="34"/>
        <v>0.9161077553988809</v>
      </c>
      <c r="AH201" s="8">
        <f t="shared" si="35"/>
        <v>1.0915746473127408</v>
      </c>
      <c r="AI201" s="8">
        <f t="shared" si="36"/>
        <v>0.63806286741681983</v>
      </c>
      <c r="AJ201" s="8">
        <f t="shared" si="37"/>
        <v>-9.1574647312740842E-2</v>
      </c>
      <c r="AK201" s="8">
        <f t="shared" si="38"/>
        <v>0.63806286741681983</v>
      </c>
      <c r="AL201" s="8">
        <f t="shared" si="39"/>
        <v>-1.7093420777227378E-2</v>
      </c>
    </row>
    <row r="202" spans="1:38">
      <c r="A202" t="s">
        <v>654</v>
      </c>
      <c r="B202" t="s">
        <v>655</v>
      </c>
      <c r="C202" t="s">
        <v>65</v>
      </c>
      <c r="D202">
        <v>3</v>
      </c>
      <c r="E202" t="s">
        <v>656</v>
      </c>
      <c r="F202">
        <v>3.5449999999999999</v>
      </c>
      <c r="G202">
        <v>8.359</v>
      </c>
      <c r="H202">
        <v>150.69300000000001</v>
      </c>
      <c r="I202">
        <v>-117.352</v>
      </c>
      <c r="J202">
        <v>107.584</v>
      </c>
      <c r="K202">
        <v>64</v>
      </c>
      <c r="L202">
        <v>279.78199999999998</v>
      </c>
      <c r="M202">
        <v>-172.19800000000001</v>
      </c>
      <c r="N202">
        <v>7.4630000000000001</v>
      </c>
      <c r="O202">
        <v>59.417999999999999</v>
      </c>
      <c r="P202">
        <v>0.1</v>
      </c>
      <c r="Q202">
        <v>0.89600000000000002</v>
      </c>
      <c r="R202">
        <v>338.97699999999998</v>
      </c>
      <c r="S202">
        <v>279.88200000000001</v>
      </c>
      <c r="T202">
        <v>167.00200000000001</v>
      </c>
      <c r="U202">
        <v>222.57599999999999</v>
      </c>
      <c r="V202">
        <v>229.024</v>
      </c>
      <c r="W202">
        <v>81.88</v>
      </c>
      <c r="X202">
        <v>-0.70269817127938605</v>
      </c>
      <c r="Y202">
        <v>1</v>
      </c>
      <c r="Z202" t="s">
        <v>62</v>
      </c>
      <c r="AA202" t="s">
        <v>33</v>
      </c>
      <c r="AB202" t="s">
        <v>34</v>
      </c>
      <c r="AC202" s="7">
        <f t="shared" si="30"/>
        <v>1.8199179625132837E-2</v>
      </c>
      <c r="AD202" s="8">
        <f t="shared" si="31"/>
        <v>5.5470393448932592E-2</v>
      </c>
      <c r="AE202" s="9">
        <f t="shared" si="32"/>
        <v>2.8956515135111554E-3</v>
      </c>
      <c r="AF202" s="8">
        <f t="shared" si="33"/>
        <v>-1.0311133998395228</v>
      </c>
      <c r="AG202" s="8">
        <f t="shared" si="34"/>
        <v>0.59668717530959481</v>
      </c>
      <c r="AH202" s="8">
        <f t="shared" si="35"/>
        <v>1.6753212536376807</v>
      </c>
      <c r="AI202" s="8">
        <f t="shared" si="36"/>
        <v>0.38452795390697048</v>
      </c>
      <c r="AJ202" s="8">
        <f t="shared" si="37"/>
        <v>-0.70269817127938583</v>
      </c>
      <c r="AK202" s="8">
        <f t="shared" si="38"/>
        <v>0.38439056459507936</v>
      </c>
      <c r="AL202" s="8">
        <f t="shared" si="39"/>
        <v>-0.8751146935504478</v>
      </c>
    </row>
    <row r="203" spans="1:38">
      <c r="A203" t="s">
        <v>657</v>
      </c>
      <c r="B203" t="s">
        <v>658</v>
      </c>
      <c r="C203" t="s">
        <v>131</v>
      </c>
      <c r="D203">
        <v>1</v>
      </c>
      <c r="E203" t="s">
        <v>659</v>
      </c>
      <c r="F203">
        <v>-46.720999999999997</v>
      </c>
      <c r="G203">
        <v>-38.899000000000001</v>
      </c>
      <c r="H203">
        <v>262.26900000000001</v>
      </c>
      <c r="I203">
        <v>-148.44900000000001</v>
      </c>
      <c r="J203">
        <v>153.952</v>
      </c>
      <c r="K203">
        <v>0</v>
      </c>
      <c r="L203">
        <v>287.86700000000002</v>
      </c>
      <c r="M203">
        <v>-133.91499999999999</v>
      </c>
      <c r="N203">
        <v>-39.628</v>
      </c>
      <c r="O203">
        <v>10.465999999999999</v>
      </c>
      <c r="P203">
        <v>25</v>
      </c>
      <c r="Q203">
        <v>0.69199999999999995</v>
      </c>
      <c r="R203">
        <v>277.23399999999998</v>
      </c>
      <c r="S203">
        <v>312.86700000000002</v>
      </c>
      <c r="T203">
        <v>164.41800000000001</v>
      </c>
      <c r="U203">
        <v>186.35</v>
      </c>
      <c r="V203">
        <v>393.58800000000002</v>
      </c>
      <c r="W203">
        <v>164.239</v>
      </c>
      <c r="X203">
        <v>-0.90287559756231095</v>
      </c>
      <c r="Y203">
        <v>1</v>
      </c>
      <c r="Z203" t="s">
        <v>32</v>
      </c>
      <c r="AA203" t="s">
        <v>33</v>
      </c>
      <c r="AB203" t="s">
        <v>34</v>
      </c>
      <c r="AC203" s="7">
        <f t="shared" si="30"/>
        <v>-0.26639260137754867</v>
      </c>
      <c r="AD203" s="8">
        <f t="shared" si="31"/>
        <v>-0.14831718579016201</v>
      </c>
      <c r="AE203" s="9">
        <f t="shared" si="32"/>
        <v>2.3453612178254229E-3</v>
      </c>
      <c r="AF203" s="8">
        <f t="shared" si="33"/>
        <v>-0.81447894999330961</v>
      </c>
      <c r="AG203" s="8">
        <f t="shared" si="34"/>
        <v>0.52552042880840744</v>
      </c>
      <c r="AH203" s="8">
        <f t="shared" si="35"/>
        <v>1.7508241190137332</v>
      </c>
      <c r="AI203" s="8">
        <f t="shared" si="36"/>
        <v>0.53480253033518943</v>
      </c>
      <c r="AJ203" s="8">
        <f t="shared" si="37"/>
        <v>-0.90287559756231073</v>
      </c>
      <c r="AK203" s="8">
        <f t="shared" si="38"/>
        <v>0.49206851473629365</v>
      </c>
      <c r="AL203" s="8">
        <f t="shared" si="39"/>
        <v>-1.9584736586640781</v>
      </c>
    </row>
    <row r="204" spans="1:38">
      <c r="A204" t="s">
        <v>660</v>
      </c>
      <c r="B204" t="s">
        <v>661</v>
      </c>
      <c r="C204" t="s">
        <v>65</v>
      </c>
      <c r="D204">
        <v>0</v>
      </c>
      <c r="E204" t="s">
        <v>662</v>
      </c>
      <c r="F204">
        <v>170.79</v>
      </c>
      <c r="G204">
        <v>170.846</v>
      </c>
      <c r="H204">
        <v>152</v>
      </c>
      <c r="I204">
        <v>-315.01799999999997</v>
      </c>
      <c r="J204">
        <v>148.07400000000001</v>
      </c>
      <c r="K204">
        <v>0</v>
      </c>
      <c r="L204">
        <v>295.10199999999998</v>
      </c>
      <c r="M204">
        <v>-147.02799999999999</v>
      </c>
      <c r="N204">
        <v>170.79</v>
      </c>
      <c r="O204">
        <v>6.5389999999999997</v>
      </c>
      <c r="P204">
        <v>73.912999999999997</v>
      </c>
      <c r="Q204">
        <v>5.6000000000000001E-2</v>
      </c>
      <c r="R204">
        <v>552.79700000000003</v>
      </c>
      <c r="S204">
        <v>369.01499999999999</v>
      </c>
      <c r="T204">
        <v>154.613</v>
      </c>
      <c r="U204">
        <v>161.20500000000001</v>
      </c>
      <c r="V204">
        <v>258.315</v>
      </c>
      <c r="W204">
        <v>677.68200000000002</v>
      </c>
      <c r="X204">
        <v>-2.03746127427836</v>
      </c>
      <c r="Y204">
        <v>1</v>
      </c>
      <c r="Z204" t="s">
        <v>62</v>
      </c>
      <c r="AA204" t="s">
        <v>33</v>
      </c>
      <c r="AB204" t="s">
        <v>34</v>
      </c>
      <c r="AC204" s="7">
        <f t="shared" si="30"/>
        <v>1.0815722979690834</v>
      </c>
      <c r="AD204" s="8">
        <f t="shared" si="31"/>
        <v>1.1239868421052632</v>
      </c>
      <c r="AE204" s="9">
        <f t="shared" si="32"/>
        <v>1.2149982859845608E-4</v>
      </c>
      <c r="AF204" s="8">
        <f t="shared" si="33"/>
        <v>-0.9509420294541856</v>
      </c>
      <c r="AG204" s="8">
        <f t="shared" si="34"/>
        <v>0.41898838800590765</v>
      </c>
      <c r="AH204" s="8">
        <f t="shared" si="35"/>
        <v>1.9086493373778399</v>
      </c>
      <c r="AI204" s="8">
        <f t="shared" si="36"/>
        <v>0.50177226857154489</v>
      </c>
      <c r="AJ204" s="8">
        <f t="shared" si="37"/>
        <v>-2.0374612742783595</v>
      </c>
      <c r="AK204" s="8">
        <f t="shared" si="38"/>
        <v>0.40126824112840948</v>
      </c>
      <c r="AL204" s="8">
        <f t="shared" si="39"/>
        <v>-1.0338166879778001</v>
      </c>
    </row>
    <row r="205" spans="1:38">
      <c r="A205" t="s">
        <v>663</v>
      </c>
      <c r="B205" t="s">
        <v>664</v>
      </c>
      <c r="C205" t="s">
        <v>508</v>
      </c>
      <c r="D205">
        <v>6</v>
      </c>
      <c r="E205" t="s">
        <v>665</v>
      </c>
      <c r="F205">
        <v>64.117000000000004</v>
      </c>
      <c r="G205">
        <v>73.701999999999998</v>
      </c>
      <c r="H205">
        <v>155.68</v>
      </c>
      <c r="I205">
        <v>-229.75399999999999</v>
      </c>
      <c r="J205">
        <v>111.236</v>
      </c>
      <c r="K205">
        <v>0</v>
      </c>
      <c r="L205">
        <v>369.15</v>
      </c>
      <c r="M205">
        <v>-257.91399999999999</v>
      </c>
      <c r="N205">
        <v>64.117000000000004</v>
      </c>
      <c r="O205">
        <v>28.783999999999999</v>
      </c>
      <c r="P205">
        <v>0</v>
      </c>
      <c r="Q205">
        <v>1.9079999999999999</v>
      </c>
      <c r="R205">
        <v>546.07000000000005</v>
      </c>
      <c r="S205">
        <v>369.15</v>
      </c>
      <c r="T205">
        <v>140.02099999999999</v>
      </c>
      <c r="U205">
        <v>279.13400000000001</v>
      </c>
      <c r="V205">
        <v>240.06700000000001</v>
      </c>
      <c r="W205">
        <v>126.22799999999999</v>
      </c>
      <c r="X205">
        <v>-1.6408538719192101</v>
      </c>
      <c r="Y205">
        <v>1</v>
      </c>
      <c r="Z205" t="s">
        <v>62</v>
      </c>
      <c r="AA205" t="s">
        <v>33</v>
      </c>
      <c r="AB205" t="s">
        <v>34</v>
      </c>
      <c r="AC205" s="7">
        <f t="shared" si="30"/>
        <v>0.30593455881475828</v>
      </c>
      <c r="AD205" s="8">
        <f t="shared" si="31"/>
        <v>0.47341983556012329</v>
      </c>
      <c r="AE205" s="9">
        <f t="shared" si="32"/>
        <v>4.1694893031183752E-3</v>
      </c>
      <c r="AF205" s="8">
        <f t="shared" si="33"/>
        <v>-1.8419665621585335</v>
      </c>
      <c r="AG205" s="8">
        <f t="shared" si="34"/>
        <v>0.37930651496681567</v>
      </c>
      <c r="AH205" s="8">
        <f t="shared" si="35"/>
        <v>2.6363902557473522</v>
      </c>
      <c r="AI205" s="8">
        <f t="shared" si="36"/>
        <v>0.30133008262224031</v>
      </c>
      <c r="AJ205" s="8">
        <f t="shared" si="37"/>
        <v>-1.6408538719192123</v>
      </c>
      <c r="AK205" s="8">
        <f t="shared" si="38"/>
        <v>0.30133008262224031</v>
      </c>
      <c r="AL205" s="8">
        <f t="shared" si="39"/>
        <v>-0.60361205673208906</v>
      </c>
    </row>
    <row r="206" spans="1:38">
      <c r="A206" t="s">
        <v>666</v>
      </c>
      <c r="B206" t="s">
        <v>667</v>
      </c>
      <c r="C206" t="s">
        <v>69</v>
      </c>
      <c r="D206">
        <v>3</v>
      </c>
      <c r="E206" t="s">
        <v>668</v>
      </c>
      <c r="F206">
        <v>14.819000000000001</v>
      </c>
      <c r="G206">
        <v>53.723999999999997</v>
      </c>
      <c r="H206">
        <v>295.37700000000001</v>
      </c>
      <c r="I206">
        <v>-162.042</v>
      </c>
      <c r="J206">
        <v>133.93299999999999</v>
      </c>
      <c r="K206">
        <v>27.628</v>
      </c>
      <c r="L206">
        <v>207.89699999999999</v>
      </c>
      <c r="M206">
        <v>-73.963999999999999</v>
      </c>
      <c r="N206">
        <v>15.486000000000001</v>
      </c>
      <c r="O206">
        <v>0.79100000000000004</v>
      </c>
      <c r="P206">
        <v>0</v>
      </c>
      <c r="Q206">
        <v>0</v>
      </c>
      <c r="R206">
        <v>229.08799999999999</v>
      </c>
      <c r="S206">
        <v>207.89699999999999</v>
      </c>
      <c r="T206">
        <v>136.66300000000001</v>
      </c>
      <c r="U206">
        <v>148.24199999999999</v>
      </c>
      <c r="V206">
        <v>202.08099999999999</v>
      </c>
      <c r="W206">
        <v>218.619</v>
      </c>
      <c r="X206">
        <v>-1.18570498232879</v>
      </c>
      <c r="Y206">
        <v>1</v>
      </c>
      <c r="Z206" t="s">
        <v>39</v>
      </c>
      <c r="AA206" t="s">
        <v>33</v>
      </c>
      <c r="AB206" t="s">
        <v>34</v>
      </c>
      <c r="AC206" s="7">
        <f t="shared" si="30"/>
        <v>0.10402765834225446</v>
      </c>
      <c r="AD206" s="8">
        <f t="shared" si="31"/>
        <v>0.1818828141663027</v>
      </c>
      <c r="AE206" s="9">
        <f t="shared" si="32"/>
        <v>0</v>
      </c>
      <c r="AF206" s="8">
        <f t="shared" si="33"/>
        <v>-0.54121452038957141</v>
      </c>
      <c r="AG206" s="8">
        <f t="shared" si="34"/>
        <v>0.65735917305204028</v>
      </c>
      <c r="AH206" s="8">
        <f t="shared" si="35"/>
        <v>1.5212383746881013</v>
      </c>
      <c r="AI206" s="8">
        <f t="shared" si="36"/>
        <v>0.64422767043295481</v>
      </c>
      <c r="AJ206" s="8">
        <f t="shared" si="37"/>
        <v>-1.1857049823287942</v>
      </c>
      <c r="AK206" s="8">
        <f t="shared" si="38"/>
        <v>0.64422767043295481</v>
      </c>
      <c r="AL206" s="8">
        <f t="shared" si="39"/>
        <v>-3.9935238764804502</v>
      </c>
    </row>
    <row r="207" spans="1:38">
      <c r="A207" t="s">
        <v>669</v>
      </c>
      <c r="B207" t="s">
        <v>670</v>
      </c>
      <c r="C207" t="s">
        <v>69</v>
      </c>
      <c r="D207">
        <v>0</v>
      </c>
      <c r="E207" t="s">
        <v>671</v>
      </c>
      <c r="F207">
        <v>-12.157</v>
      </c>
      <c r="G207">
        <v>-0.40500000000000003</v>
      </c>
      <c r="H207">
        <v>10.583</v>
      </c>
      <c r="I207">
        <v>-1086.5039999999999</v>
      </c>
      <c r="J207">
        <v>106.949</v>
      </c>
      <c r="K207">
        <v>106.313</v>
      </c>
      <c r="L207">
        <v>957.91099999999994</v>
      </c>
      <c r="M207">
        <v>-850.96199999999999</v>
      </c>
      <c r="N207">
        <v>-12.157</v>
      </c>
      <c r="O207">
        <v>3.1219999999999999</v>
      </c>
      <c r="P207">
        <v>170.38399999999999</v>
      </c>
      <c r="Q207">
        <v>11.651</v>
      </c>
      <c r="R207">
        <v>1099.721</v>
      </c>
      <c r="S207">
        <v>1128.2950000000001</v>
      </c>
      <c r="T207">
        <v>110.212</v>
      </c>
      <c r="U207">
        <v>123.396</v>
      </c>
      <c r="V207">
        <v>192.56200000000001</v>
      </c>
      <c r="W207">
        <v>1400.5940000000001</v>
      </c>
      <c r="X207">
        <v>-9.8583094399883908</v>
      </c>
      <c r="Y207">
        <v>1</v>
      </c>
      <c r="Z207" t="s">
        <v>39</v>
      </c>
      <c r="AA207" t="s">
        <v>33</v>
      </c>
      <c r="AB207" t="s">
        <v>34</v>
      </c>
      <c r="AC207" s="7">
        <f t="shared" si="30"/>
        <v>-0.10408033971439334</v>
      </c>
      <c r="AD207" s="8">
        <f t="shared" si="31"/>
        <v>-3.8268921855806486E-2</v>
      </c>
      <c r="AE207" s="9">
        <f t="shared" si="32"/>
        <v>1.0458632253987403E-2</v>
      </c>
      <c r="AF207" s="8">
        <f t="shared" si="33"/>
        <v>-7.7211374441984537</v>
      </c>
      <c r="AG207" s="8">
        <f t="shared" si="34"/>
        <v>9.7680127980714265E-2</v>
      </c>
      <c r="AH207" s="8">
        <f t="shared" si="35"/>
        <v>8.6915308677820917</v>
      </c>
      <c r="AI207" s="8">
        <f t="shared" si="36"/>
        <v>0.11164815938015119</v>
      </c>
      <c r="AJ207" s="8">
        <f t="shared" si="37"/>
        <v>-9.8583094399883855</v>
      </c>
      <c r="AK207" s="8">
        <f t="shared" si="38"/>
        <v>9.4788153807293302E-2</v>
      </c>
      <c r="AL207" s="8">
        <f t="shared" si="39"/>
        <v>-1.2436513028783895E-2</v>
      </c>
    </row>
    <row r="208" spans="1:38">
      <c r="A208" t="s">
        <v>672</v>
      </c>
      <c r="B208" t="s">
        <v>673</v>
      </c>
      <c r="C208" t="s">
        <v>124</v>
      </c>
      <c r="D208">
        <v>1</v>
      </c>
      <c r="E208" t="s">
        <v>674</v>
      </c>
      <c r="F208">
        <v>-953.37099999999998</v>
      </c>
      <c r="G208">
        <v>-953.101</v>
      </c>
      <c r="H208">
        <v>1610.154</v>
      </c>
      <c r="I208">
        <v>-5090.7550000000001</v>
      </c>
      <c r="J208">
        <v>7.9409999999999998</v>
      </c>
      <c r="K208">
        <v>0</v>
      </c>
      <c r="L208">
        <v>486.904</v>
      </c>
      <c r="M208">
        <v>-478.96300000000002</v>
      </c>
      <c r="N208">
        <v>-953.35900000000004</v>
      </c>
      <c r="O208">
        <v>0</v>
      </c>
      <c r="P208">
        <v>4611.7920000000004</v>
      </c>
      <c r="Q208">
        <v>0.25800000000000001</v>
      </c>
      <c r="R208">
        <v>6709.5730000000003</v>
      </c>
      <c r="S208">
        <v>5098.6959999999999</v>
      </c>
      <c r="T208">
        <v>7.9409999999999998</v>
      </c>
      <c r="U208">
        <v>2586.346</v>
      </c>
      <c r="V208">
        <v>6944.893</v>
      </c>
      <c r="W208">
        <v>7779.4930000000004</v>
      </c>
      <c r="X208">
        <v>-641.07228308777201</v>
      </c>
      <c r="Y208">
        <v>1</v>
      </c>
      <c r="Z208" t="s">
        <v>62</v>
      </c>
      <c r="AA208" t="s">
        <v>33</v>
      </c>
      <c r="AB208" t="s">
        <v>34</v>
      </c>
      <c r="AC208" s="7">
        <f t="shared" si="30"/>
        <v>-0.7349772789209521</v>
      </c>
      <c r="AD208" s="8">
        <f t="shared" si="31"/>
        <v>-0.59193157921540429</v>
      </c>
      <c r="AE208" s="9">
        <f t="shared" si="32"/>
        <v>4.3698191496145622E-5</v>
      </c>
      <c r="AF208" s="8">
        <f t="shared" si="33"/>
        <v>-60.315199597028084</v>
      </c>
      <c r="AG208" s="8">
        <f t="shared" si="34"/>
        <v>1.5574570439186805E-3</v>
      </c>
      <c r="AH208" s="8">
        <f t="shared" si="35"/>
        <v>61.315199597028084</v>
      </c>
      <c r="AI208" s="8">
        <f t="shared" si="36"/>
        <v>1.6309169774739989E-2</v>
      </c>
      <c r="AJ208" s="8">
        <f t="shared" si="37"/>
        <v>-641.07228308777235</v>
      </c>
      <c r="AK208" s="8">
        <f t="shared" si="38"/>
        <v>1.5574570439186805E-3</v>
      </c>
      <c r="AL208" s="8">
        <f t="shared" si="39"/>
        <v>-3.3617502813369717</v>
      </c>
    </row>
    <row r="209" spans="1:38">
      <c r="A209" t="s">
        <v>28</v>
      </c>
      <c r="B209" t="s">
        <v>675</v>
      </c>
      <c r="C209" t="s">
        <v>69</v>
      </c>
      <c r="D209">
        <v>6447</v>
      </c>
      <c r="E209" t="s">
        <v>676</v>
      </c>
      <c r="F209">
        <v>107279</v>
      </c>
      <c r="G209">
        <v>-195093</v>
      </c>
      <c r="H209">
        <v>4130291</v>
      </c>
      <c r="I209">
        <v>2395262</v>
      </c>
      <c r="J209">
        <v>5112161</v>
      </c>
      <c r="K209">
        <v>895836</v>
      </c>
      <c r="L209">
        <v>4016072</v>
      </c>
      <c r="M209">
        <v>1096089</v>
      </c>
      <c r="N209">
        <v>177140</v>
      </c>
      <c r="O209">
        <v>2498455</v>
      </c>
      <c r="P209">
        <v>781031</v>
      </c>
      <c r="Q209">
        <v>77988</v>
      </c>
      <c r="R209">
        <v>3550420</v>
      </c>
      <c r="S209">
        <v>4797103</v>
      </c>
      <c r="T209">
        <v>7621134</v>
      </c>
      <c r="U209">
        <v>6220558</v>
      </c>
      <c r="V209">
        <v>4481391</v>
      </c>
      <c r="W209">
        <v>7029318</v>
      </c>
      <c r="X209">
        <v>31.43</v>
      </c>
      <c r="Y209">
        <v>4</v>
      </c>
      <c r="Z209" t="s">
        <v>39</v>
      </c>
      <c r="AA209" t="s">
        <v>677</v>
      </c>
      <c r="AB209" t="s">
        <v>34</v>
      </c>
      <c r="AC209" s="7">
        <f t="shared" si="30"/>
        <v>1.5500850618551547E-2</v>
      </c>
      <c r="AD209" s="8">
        <f t="shared" si="31"/>
        <v>-4.7234686369556043E-2</v>
      </c>
      <c r="AE209" s="9">
        <f t="shared" si="32"/>
        <v>1.8685303412760888E-2</v>
      </c>
      <c r="AF209" s="8">
        <f t="shared" si="33"/>
        <v>0.14382229731165991</v>
      </c>
      <c r="AG209" s="8">
        <f t="shared" si="34"/>
        <v>1.5886950936846675</v>
      </c>
      <c r="AH209" s="8">
        <f t="shared" si="35"/>
        <v>0.52696514718150866</v>
      </c>
      <c r="AI209" s="8">
        <f t="shared" si="36"/>
        <v>1.272925634799376</v>
      </c>
      <c r="AJ209" s="8">
        <f t="shared" si="37"/>
        <v>0.31429207254458458</v>
      </c>
      <c r="AK209" s="8">
        <f t="shared" si="38"/>
        <v>1.0656767219715733</v>
      </c>
      <c r="AL209" s="8">
        <f t="shared" si="39"/>
        <v>3.7682076911637652</v>
      </c>
    </row>
    <row r="210" spans="1:38">
      <c r="A210" t="s">
        <v>35</v>
      </c>
      <c r="B210" t="s">
        <v>678</v>
      </c>
      <c r="C210" t="s">
        <v>69</v>
      </c>
      <c r="D210">
        <v>19245</v>
      </c>
      <c r="E210" t="s">
        <v>679</v>
      </c>
      <c r="F210">
        <v>28893</v>
      </c>
      <c r="G210">
        <v>85366</v>
      </c>
      <c r="H210">
        <v>2512956</v>
      </c>
      <c r="I210">
        <v>1496324</v>
      </c>
      <c r="J210">
        <v>6692416</v>
      </c>
      <c r="K210">
        <v>1895873</v>
      </c>
      <c r="L210">
        <v>6268126</v>
      </c>
      <c r="M210">
        <v>424290</v>
      </c>
      <c r="N210">
        <v>104356</v>
      </c>
      <c r="O210">
        <v>2904522</v>
      </c>
      <c r="P210">
        <v>1748055</v>
      </c>
      <c r="Q210">
        <v>296866</v>
      </c>
      <c r="R210">
        <v>7458049</v>
      </c>
      <c r="S210">
        <v>8016181</v>
      </c>
      <c r="T210">
        <v>9691766</v>
      </c>
      <c r="U210">
        <v>9150057</v>
      </c>
      <c r="V210">
        <v>8756519</v>
      </c>
      <c r="W210">
        <v>8045348</v>
      </c>
      <c r="X210">
        <v>15.44</v>
      </c>
      <c r="Y210">
        <v>4</v>
      </c>
      <c r="Z210" t="s">
        <v>39</v>
      </c>
      <c r="AA210" t="s">
        <v>677</v>
      </c>
      <c r="AB210" t="s">
        <v>34</v>
      </c>
      <c r="AC210" s="7">
        <f t="shared" si="30"/>
        <v>3.0669006921464023E-3</v>
      </c>
      <c r="AD210" s="8">
        <f t="shared" si="31"/>
        <v>3.3970352047548787E-2</v>
      </c>
      <c r="AE210" s="9">
        <f t="shared" si="32"/>
        <v>3.8369082015712576E-2</v>
      </c>
      <c r="AF210" s="8">
        <f t="shared" si="33"/>
        <v>4.3778399107035806E-2</v>
      </c>
      <c r="AG210" s="8">
        <f t="shared" si="34"/>
        <v>1.2090253451113442</v>
      </c>
      <c r="AH210" s="8">
        <f t="shared" si="35"/>
        <v>0.64674755870086009</v>
      </c>
      <c r="AI210" s="8">
        <f t="shared" si="36"/>
        <v>1.0676900879146336</v>
      </c>
      <c r="AJ210" s="8">
        <f t="shared" si="37"/>
        <v>0.15439126367681597</v>
      </c>
      <c r="AK210" s="8">
        <f t="shared" si="38"/>
        <v>0.83486338444703279</v>
      </c>
      <c r="AL210" s="8">
        <f t="shared" si="39"/>
        <v>5.9227320936152159</v>
      </c>
    </row>
    <row r="211" spans="1:38">
      <c r="A211" t="s">
        <v>40</v>
      </c>
      <c r="B211" t="s">
        <v>680</v>
      </c>
      <c r="C211" t="s">
        <v>51</v>
      </c>
      <c r="D211">
        <v>576</v>
      </c>
      <c r="E211" t="s">
        <v>681</v>
      </c>
      <c r="F211">
        <v>105571</v>
      </c>
      <c r="G211">
        <v>267086</v>
      </c>
      <c r="H211">
        <v>2485960</v>
      </c>
      <c r="I211">
        <v>1340072</v>
      </c>
      <c r="J211">
        <v>502652</v>
      </c>
      <c r="K211">
        <v>15161</v>
      </c>
      <c r="L211">
        <v>659529</v>
      </c>
      <c r="M211">
        <v>-156877</v>
      </c>
      <c r="N211">
        <v>249267</v>
      </c>
      <c r="O211">
        <v>1989150</v>
      </c>
      <c r="P211">
        <v>432567</v>
      </c>
      <c r="Q211">
        <v>14739</v>
      </c>
      <c r="R211">
        <v>1263948</v>
      </c>
      <c r="S211">
        <v>1092096</v>
      </c>
      <c r="T211">
        <v>2505671</v>
      </c>
      <c r="U211">
        <v>2725693</v>
      </c>
      <c r="V211">
        <v>2477261</v>
      </c>
      <c r="W211">
        <v>2317528</v>
      </c>
      <c r="X211">
        <v>53.48</v>
      </c>
      <c r="Y211">
        <v>4</v>
      </c>
      <c r="Z211" t="s">
        <v>39</v>
      </c>
      <c r="AA211" t="s">
        <v>677</v>
      </c>
      <c r="AB211" t="s">
        <v>34</v>
      </c>
      <c r="AC211" s="7">
        <f t="shared" si="30"/>
        <v>4.0360793093350035E-2</v>
      </c>
      <c r="AD211" s="8">
        <f t="shared" si="31"/>
        <v>0.10743777051923603</v>
      </c>
      <c r="AE211" s="9">
        <f t="shared" si="32"/>
        <v>1.2511650885976663E-2</v>
      </c>
      <c r="AF211" s="8">
        <f t="shared" si="33"/>
        <v>-6.2608778247423544E-2</v>
      </c>
      <c r="AG211" s="8">
        <f t="shared" si="34"/>
        <v>2.2943688100679793</v>
      </c>
      <c r="AH211" s="8">
        <f t="shared" si="35"/>
        <v>0.26321452417336516</v>
      </c>
      <c r="AI211" s="8">
        <f t="shared" si="36"/>
        <v>0.76213782866257584</v>
      </c>
      <c r="AJ211" s="8">
        <f t="shared" si="37"/>
        <v>0.53481562423797857</v>
      </c>
      <c r="AK211" s="8">
        <f t="shared" si="38"/>
        <v>0.46026356657290202</v>
      </c>
      <c r="AL211" s="8">
        <f t="shared" si="39"/>
        <v>-15.846554944319434</v>
      </c>
    </row>
    <row r="212" spans="1:38">
      <c r="A212" t="s">
        <v>45</v>
      </c>
      <c r="B212" t="s">
        <v>682</v>
      </c>
      <c r="C212" t="s">
        <v>51</v>
      </c>
      <c r="D212">
        <v>1538</v>
      </c>
      <c r="E212" t="s">
        <v>683</v>
      </c>
      <c r="F212">
        <v>28677</v>
      </c>
      <c r="G212">
        <v>77996</v>
      </c>
      <c r="H212">
        <v>942086</v>
      </c>
      <c r="I212">
        <v>247887</v>
      </c>
      <c r="J212">
        <v>689923</v>
      </c>
      <c r="K212">
        <v>341217</v>
      </c>
      <c r="L212">
        <v>884717</v>
      </c>
      <c r="M212">
        <v>-194794</v>
      </c>
      <c r="N212">
        <v>45345</v>
      </c>
      <c r="O212">
        <v>478023</v>
      </c>
      <c r="P212">
        <v>183974</v>
      </c>
      <c r="Q212">
        <v>10666</v>
      </c>
      <c r="R212">
        <v>1064888</v>
      </c>
      <c r="S212">
        <v>1068691</v>
      </c>
      <c r="T212">
        <v>1340182</v>
      </c>
      <c r="U212">
        <v>1311751</v>
      </c>
      <c r="V212">
        <v>1105115</v>
      </c>
      <c r="W212">
        <v>912161</v>
      </c>
      <c r="X212">
        <v>18.5</v>
      </c>
      <c r="Y212">
        <v>4</v>
      </c>
      <c r="Z212" t="s">
        <v>39</v>
      </c>
      <c r="AA212" t="s">
        <v>677</v>
      </c>
      <c r="AB212" t="s">
        <v>34</v>
      </c>
      <c r="AC212" s="7">
        <f t="shared" si="30"/>
        <v>2.1627243222208103E-2</v>
      </c>
      <c r="AD212" s="8">
        <f t="shared" si="31"/>
        <v>8.2790743095640953E-2</v>
      </c>
      <c r="AE212" s="9">
        <f t="shared" si="32"/>
        <v>9.9982236420587192E-3</v>
      </c>
      <c r="AF212" s="8">
        <f t="shared" si="33"/>
        <v>-0.14534891529657912</v>
      </c>
      <c r="AG212" s="8">
        <f t="shared" si="34"/>
        <v>1.2540406909012989</v>
      </c>
      <c r="AH212" s="8">
        <f t="shared" si="35"/>
        <v>0.66014690542030863</v>
      </c>
      <c r="AI212" s="8">
        <f t="shared" si="36"/>
        <v>0.77982337854929884</v>
      </c>
      <c r="AJ212" s="8">
        <f t="shared" si="37"/>
        <v>0.18496517637156745</v>
      </c>
      <c r="AK212" s="8">
        <f t="shared" si="38"/>
        <v>0.64557762720936174</v>
      </c>
      <c r="AL212" s="8">
        <f t="shared" si="39"/>
        <v>-4.8363193938211646</v>
      </c>
    </row>
    <row r="213" spans="1:38">
      <c r="A213" t="s">
        <v>49</v>
      </c>
      <c r="B213" t="s">
        <v>684</v>
      </c>
      <c r="C213" t="s">
        <v>69</v>
      </c>
      <c r="D213">
        <v>2738</v>
      </c>
      <c r="E213" t="s">
        <v>685</v>
      </c>
      <c r="F213">
        <v>595</v>
      </c>
      <c r="G213">
        <v>64361</v>
      </c>
      <c r="H213">
        <v>898672</v>
      </c>
      <c r="I213">
        <v>212051</v>
      </c>
      <c r="J213">
        <v>636962</v>
      </c>
      <c r="K213">
        <v>282530</v>
      </c>
      <c r="L213">
        <v>480651</v>
      </c>
      <c r="M213">
        <v>156311</v>
      </c>
      <c r="N213">
        <v>49051</v>
      </c>
      <c r="O213">
        <v>272393</v>
      </c>
      <c r="P213">
        <v>213661</v>
      </c>
      <c r="Q213">
        <v>28883</v>
      </c>
      <c r="R213">
        <v>827198</v>
      </c>
      <c r="S213">
        <v>694312</v>
      </c>
      <c r="T213">
        <v>923460</v>
      </c>
      <c r="U213">
        <v>1060697</v>
      </c>
      <c r="V213">
        <v>963423</v>
      </c>
      <c r="W213">
        <v>771614</v>
      </c>
      <c r="X213">
        <v>22.96</v>
      </c>
      <c r="Y213">
        <v>4</v>
      </c>
      <c r="Z213" t="s">
        <v>39</v>
      </c>
      <c r="AA213" t="s">
        <v>677</v>
      </c>
      <c r="AB213" t="s">
        <v>34</v>
      </c>
      <c r="AC213" s="7">
        <f t="shared" si="30"/>
        <v>5.9975092696797679E-4</v>
      </c>
      <c r="AD213" s="8">
        <f t="shared" si="31"/>
        <v>7.1617898410098454E-2</v>
      </c>
      <c r="AE213" s="9">
        <f t="shared" si="32"/>
        <v>3.7966230915340682E-2</v>
      </c>
      <c r="AF213" s="8">
        <f t="shared" si="33"/>
        <v>0.16926667099820242</v>
      </c>
      <c r="AG213" s="8">
        <f t="shared" si="34"/>
        <v>1.3300360644782172</v>
      </c>
      <c r="AH213" s="8">
        <f t="shared" si="35"/>
        <v>0.52048924696251053</v>
      </c>
      <c r="AI213" s="8">
        <f t="shared" si="36"/>
        <v>1.3252068548697495</v>
      </c>
      <c r="AJ213" s="8">
        <f t="shared" si="37"/>
        <v>0.2296266216186949</v>
      </c>
      <c r="AK213" s="8">
        <f t="shared" si="38"/>
        <v>0.91740024657502683</v>
      </c>
      <c r="AL213" s="8">
        <f t="shared" si="39"/>
        <v>5.7492562903442499</v>
      </c>
    </row>
    <row r="214" spans="1:38">
      <c r="A214" t="s">
        <v>58</v>
      </c>
      <c r="B214" t="s">
        <v>686</v>
      </c>
      <c r="C214" t="s">
        <v>65</v>
      </c>
      <c r="D214">
        <v>1831</v>
      </c>
      <c r="E214" t="s">
        <v>687</v>
      </c>
      <c r="F214">
        <v>6199</v>
      </c>
      <c r="G214">
        <v>36061</v>
      </c>
      <c r="H214">
        <v>805095</v>
      </c>
      <c r="I214">
        <v>473563</v>
      </c>
      <c r="J214">
        <v>843789</v>
      </c>
      <c r="K214">
        <v>27747</v>
      </c>
      <c r="L214">
        <v>540150</v>
      </c>
      <c r="M214">
        <v>303639</v>
      </c>
      <c r="N214">
        <v>22002</v>
      </c>
      <c r="O214">
        <v>501116</v>
      </c>
      <c r="P214">
        <v>270026</v>
      </c>
      <c r="Q214">
        <v>20187</v>
      </c>
      <c r="R214">
        <v>630366</v>
      </c>
      <c r="S214">
        <v>810176</v>
      </c>
      <c r="T214">
        <v>1357551</v>
      </c>
      <c r="U214">
        <v>1153174</v>
      </c>
      <c r="V214">
        <v>974073</v>
      </c>
      <c r="W214">
        <v>948465</v>
      </c>
      <c r="X214">
        <v>34.880000000000003</v>
      </c>
      <c r="Y214">
        <v>4</v>
      </c>
      <c r="Z214" t="s">
        <v>62</v>
      </c>
      <c r="AA214" t="s">
        <v>677</v>
      </c>
      <c r="AB214" t="s">
        <v>34</v>
      </c>
      <c r="AC214" s="7">
        <f t="shared" si="30"/>
        <v>4.9380159117386416E-3</v>
      </c>
      <c r="AD214" s="8">
        <f t="shared" si="31"/>
        <v>4.4790987399002599E-2</v>
      </c>
      <c r="AE214" s="9">
        <f t="shared" si="32"/>
        <v>2.8026950967066564E-2</v>
      </c>
      <c r="AF214" s="8">
        <f t="shared" si="33"/>
        <v>0.22366673517238025</v>
      </c>
      <c r="AG214" s="8">
        <f t="shared" si="34"/>
        <v>1.6756248025120468</v>
      </c>
      <c r="AH214" s="8">
        <f t="shared" si="35"/>
        <v>0.39788560429773911</v>
      </c>
      <c r="AI214" s="8">
        <f t="shared" si="36"/>
        <v>1.5621382949180782</v>
      </c>
      <c r="AJ214" s="8">
        <f t="shared" si="37"/>
        <v>0.34883624998250529</v>
      </c>
      <c r="AK214" s="8">
        <f t="shared" si="38"/>
        <v>1.0414885160755194</v>
      </c>
      <c r="AL214" s="8">
        <f t="shared" si="39"/>
        <v>2.651487457144833</v>
      </c>
    </row>
    <row r="215" spans="1:38">
      <c r="A215" t="s">
        <v>688</v>
      </c>
      <c r="B215" t="s">
        <v>689</v>
      </c>
      <c r="C215" t="s">
        <v>65</v>
      </c>
      <c r="D215">
        <v>1460</v>
      </c>
      <c r="E215" t="s">
        <v>690</v>
      </c>
      <c r="F215">
        <v>88.07</v>
      </c>
      <c r="G215">
        <v>20379</v>
      </c>
      <c r="H215">
        <v>668847</v>
      </c>
      <c r="I215">
        <v>54235.07</v>
      </c>
      <c r="J215">
        <v>528353</v>
      </c>
      <c r="K215">
        <v>380163</v>
      </c>
      <c r="L215">
        <v>446860.33299999998</v>
      </c>
      <c r="M215">
        <v>81492.667000000001</v>
      </c>
      <c r="N215">
        <v>10140.07</v>
      </c>
      <c r="O215">
        <v>84721</v>
      </c>
      <c r="P215">
        <v>106195.59699999999</v>
      </c>
      <c r="Q215">
        <v>7504</v>
      </c>
      <c r="R215">
        <v>498244.087</v>
      </c>
      <c r="S215">
        <v>553055.93000000005</v>
      </c>
      <c r="T215">
        <v>618609</v>
      </c>
      <c r="U215">
        <v>562415.74800000002</v>
      </c>
      <c r="V215">
        <v>541070.57299999997</v>
      </c>
      <c r="W215">
        <v>459926.533</v>
      </c>
      <c r="X215">
        <v>8.77</v>
      </c>
      <c r="Y215">
        <v>4</v>
      </c>
      <c r="Z215" t="s">
        <v>62</v>
      </c>
      <c r="AA215" t="s">
        <v>677</v>
      </c>
      <c r="AB215" t="s">
        <v>34</v>
      </c>
      <c r="AC215" s="7">
        <f t="shared" si="30"/>
        <v>1.4914166726673873E-4</v>
      </c>
      <c r="AD215" s="8">
        <f t="shared" si="31"/>
        <v>3.0468851620774257E-2</v>
      </c>
      <c r="AE215" s="9">
        <f t="shared" si="32"/>
        <v>1.4275658477422055E-2</v>
      </c>
      <c r="AF215" s="8">
        <f t="shared" si="33"/>
        <v>0.13173534009366175</v>
      </c>
      <c r="AG215" s="8">
        <f t="shared" si="34"/>
        <v>1.1185288258277963</v>
      </c>
      <c r="AH215" s="8">
        <f t="shared" si="35"/>
        <v>0.72236312921409163</v>
      </c>
      <c r="AI215" s="8">
        <f t="shared" si="36"/>
        <v>1.1823671983881372</v>
      </c>
      <c r="AJ215" s="8">
        <f t="shared" si="37"/>
        <v>8.7672617113556381E-2</v>
      </c>
      <c r="AK215" s="8">
        <f t="shared" si="38"/>
        <v>0.95533375801611953</v>
      </c>
      <c r="AL215" s="8">
        <f t="shared" si="39"/>
        <v>8.2074501255431969</v>
      </c>
    </row>
    <row r="216" spans="1:38">
      <c r="A216" t="s">
        <v>63</v>
      </c>
      <c r="B216" t="s">
        <v>691</v>
      </c>
      <c r="C216" t="s">
        <v>47</v>
      </c>
      <c r="D216">
        <v>2180</v>
      </c>
      <c r="E216" t="s">
        <v>692</v>
      </c>
      <c r="F216">
        <v>60811.5</v>
      </c>
      <c r="G216">
        <v>31332.358</v>
      </c>
      <c r="H216">
        <v>573561.35699999996</v>
      </c>
      <c r="I216">
        <v>401309.71100000001</v>
      </c>
      <c r="J216">
        <v>851709.28200000001</v>
      </c>
      <c r="K216">
        <v>82095.546000000002</v>
      </c>
      <c r="L216">
        <v>530743.14599999995</v>
      </c>
      <c r="M216">
        <v>320966.136</v>
      </c>
      <c r="N216">
        <v>88557.634000000005</v>
      </c>
      <c r="O216">
        <v>81758.846999999994</v>
      </c>
      <c r="P216">
        <v>0</v>
      </c>
      <c r="Q216">
        <v>2677.8879999999999</v>
      </c>
      <c r="R216">
        <v>718912.69900000002</v>
      </c>
      <c r="S216">
        <v>530743.14599999995</v>
      </c>
      <c r="T216">
        <v>936943.91200000001</v>
      </c>
      <c r="U216">
        <v>1060873.773</v>
      </c>
      <c r="V216">
        <v>702100.777</v>
      </c>
      <c r="W216">
        <v>616157.28300000005</v>
      </c>
      <c r="X216">
        <v>42.83</v>
      </c>
      <c r="Y216">
        <v>4</v>
      </c>
      <c r="Z216" t="s">
        <v>32</v>
      </c>
      <c r="AA216" t="s">
        <v>677</v>
      </c>
      <c r="AB216" t="s">
        <v>34</v>
      </c>
      <c r="AC216" s="7">
        <f t="shared" si="30"/>
        <v>6.0877927407074685E-2</v>
      </c>
      <c r="AD216" s="8">
        <f t="shared" si="31"/>
        <v>5.4627735320041795E-2</v>
      </c>
      <c r="AE216" s="9">
        <f t="shared" si="32"/>
        <v>4.2858007838150027E-3</v>
      </c>
      <c r="AF216" s="8">
        <f t="shared" si="33"/>
        <v>0.34256707566930644</v>
      </c>
      <c r="AG216" s="8">
        <f t="shared" si="34"/>
        <v>1.7653434039824607</v>
      </c>
      <c r="AH216" s="8">
        <f t="shared" si="35"/>
        <v>0.56646202531705003</v>
      </c>
      <c r="AI216" s="8">
        <f t="shared" si="36"/>
        <v>1.6047485274543707</v>
      </c>
      <c r="AJ216" s="8">
        <f t="shared" si="37"/>
        <v>0.42831775292009155</v>
      </c>
      <c r="AK216" s="8">
        <f t="shared" si="38"/>
        <v>1.6047485274543707</v>
      </c>
      <c r="AL216" s="8">
        <f t="shared" si="39"/>
        <v>1.7869840231369454</v>
      </c>
    </row>
    <row r="217" spans="1:38">
      <c r="A217" t="s">
        <v>693</v>
      </c>
      <c r="B217" t="s">
        <v>694</v>
      </c>
      <c r="C217" t="s">
        <v>65</v>
      </c>
      <c r="D217">
        <v>308</v>
      </c>
      <c r="E217" t="s">
        <v>695</v>
      </c>
      <c r="F217">
        <v>-73040</v>
      </c>
      <c r="G217">
        <v>103801</v>
      </c>
      <c r="H217">
        <v>507895</v>
      </c>
      <c r="I217">
        <v>96062</v>
      </c>
      <c r="J217">
        <v>773610</v>
      </c>
      <c r="K217">
        <v>56449</v>
      </c>
      <c r="L217">
        <v>458213</v>
      </c>
      <c r="M217">
        <v>315397</v>
      </c>
      <c r="N217">
        <v>73650</v>
      </c>
      <c r="O217">
        <v>83468</v>
      </c>
      <c r="P217">
        <v>162129</v>
      </c>
      <c r="Q217">
        <v>46405</v>
      </c>
      <c r="R217">
        <v>1065656</v>
      </c>
      <c r="S217">
        <v>620342</v>
      </c>
      <c r="T217">
        <v>858901</v>
      </c>
      <c r="U217">
        <v>1307770</v>
      </c>
      <c r="V217">
        <v>746878</v>
      </c>
      <c r="W217">
        <v>323813.147</v>
      </c>
      <c r="X217">
        <v>11.18</v>
      </c>
      <c r="Y217">
        <v>4</v>
      </c>
      <c r="Z217" t="s">
        <v>62</v>
      </c>
      <c r="AA217" t="s">
        <v>677</v>
      </c>
      <c r="AB217" t="s">
        <v>34</v>
      </c>
      <c r="AC217" s="7">
        <f t="shared" si="30"/>
        <v>-6.7421403618731224E-2</v>
      </c>
      <c r="AD217" s="8">
        <f t="shared" si="31"/>
        <v>0.20437492001299482</v>
      </c>
      <c r="AE217" s="9">
        <f t="shared" si="32"/>
        <v>5.5047514884359293E-2</v>
      </c>
      <c r="AF217" s="8">
        <f t="shared" si="33"/>
        <v>0.36720995784147414</v>
      </c>
      <c r="AG217" s="8">
        <f t="shared" si="34"/>
        <v>1.3845604521376917</v>
      </c>
      <c r="AH217" s="8">
        <f t="shared" si="35"/>
        <v>0.53348756143024634</v>
      </c>
      <c r="AI217" s="8">
        <f t="shared" si="36"/>
        <v>1.6883196242795382</v>
      </c>
      <c r="AJ217" s="8">
        <f t="shared" si="37"/>
        <v>0.11184292485397036</v>
      </c>
      <c r="AK217" s="8">
        <f t="shared" si="38"/>
        <v>1.2470701645221507</v>
      </c>
      <c r="AL217" s="8">
        <f t="shared" si="39"/>
        <v>1.6103355453602919</v>
      </c>
    </row>
    <row r="218" spans="1:38">
      <c r="A218" t="s">
        <v>67</v>
      </c>
      <c r="B218" t="s">
        <v>696</v>
      </c>
      <c r="C218" t="s">
        <v>508</v>
      </c>
      <c r="D218">
        <v>1319</v>
      </c>
      <c r="E218" t="s">
        <v>697</v>
      </c>
      <c r="F218">
        <v>36651</v>
      </c>
      <c r="G218">
        <v>63267</v>
      </c>
      <c r="H218">
        <v>497382</v>
      </c>
      <c r="I218">
        <v>128012</v>
      </c>
      <c r="J218">
        <v>364563</v>
      </c>
      <c r="K218">
        <v>187650</v>
      </c>
      <c r="L218">
        <v>231839</v>
      </c>
      <c r="M218">
        <v>132724</v>
      </c>
      <c r="N218">
        <v>42921</v>
      </c>
      <c r="O218">
        <v>45046</v>
      </c>
      <c r="P218">
        <v>39432</v>
      </c>
      <c r="Q218">
        <v>4558</v>
      </c>
      <c r="R218">
        <v>149841</v>
      </c>
      <c r="S218">
        <v>271271</v>
      </c>
      <c r="T218">
        <v>412529</v>
      </c>
      <c r="U218">
        <v>265789</v>
      </c>
      <c r="V218">
        <v>230486.09899999999</v>
      </c>
      <c r="W218">
        <v>232790.97700000001</v>
      </c>
      <c r="X218">
        <v>31.03</v>
      </c>
      <c r="Y218">
        <v>4</v>
      </c>
      <c r="Z218" t="s">
        <v>62</v>
      </c>
      <c r="AA218" t="s">
        <v>677</v>
      </c>
      <c r="AB218" t="s">
        <v>34</v>
      </c>
      <c r="AC218" s="7">
        <f t="shared" si="30"/>
        <v>0.10806435919436017</v>
      </c>
      <c r="AD218" s="8">
        <f t="shared" si="31"/>
        <v>0.12720001930106034</v>
      </c>
      <c r="AE218" s="9">
        <f t="shared" si="32"/>
        <v>2.1647447709872907E-2</v>
      </c>
      <c r="AF218" s="8">
        <f t="shared" si="33"/>
        <v>0.32173253274315261</v>
      </c>
      <c r="AG218" s="8">
        <f t="shared" si="34"/>
        <v>1.5207265059663584</v>
      </c>
      <c r="AH218" s="8">
        <f t="shared" si="35"/>
        <v>0.56199442948253331</v>
      </c>
      <c r="AI218" s="8">
        <f t="shared" si="36"/>
        <v>1.5724834906982863</v>
      </c>
      <c r="AJ218" s="8">
        <f t="shared" si="37"/>
        <v>0.31031030545731331</v>
      </c>
      <c r="AK218" s="8">
        <f t="shared" si="38"/>
        <v>1.3439070154937314</v>
      </c>
      <c r="AL218" s="8">
        <f t="shared" si="39"/>
        <v>3.7474910340254963</v>
      </c>
    </row>
    <row r="219" spans="1:38">
      <c r="A219" t="s">
        <v>698</v>
      </c>
      <c r="B219" t="s">
        <v>699</v>
      </c>
      <c r="C219" t="s">
        <v>69</v>
      </c>
      <c r="D219">
        <v>1479</v>
      </c>
      <c r="E219" t="s">
        <v>700</v>
      </c>
      <c r="F219">
        <v>5602.2240000000002</v>
      </c>
      <c r="G219">
        <v>52123.987999999998</v>
      </c>
      <c r="H219">
        <v>496214.31699999998</v>
      </c>
      <c r="I219">
        <v>121239.122</v>
      </c>
      <c r="J219">
        <v>344152.55900000001</v>
      </c>
      <c r="K219">
        <v>8266.3850000000002</v>
      </c>
      <c r="L219">
        <v>248431.84099999999</v>
      </c>
      <c r="M219">
        <v>95720.717999999993</v>
      </c>
      <c r="N219">
        <v>40813.815000000002</v>
      </c>
      <c r="O219">
        <v>133461.45000000001</v>
      </c>
      <c r="P219">
        <v>58838.027999999998</v>
      </c>
      <c r="Q219">
        <v>10078.459000000001</v>
      </c>
      <c r="R219">
        <v>331611.53499999997</v>
      </c>
      <c r="S219">
        <v>307269.86900000001</v>
      </c>
      <c r="T219">
        <v>483171.83199999999</v>
      </c>
      <c r="U219">
        <v>517672.60100000002</v>
      </c>
      <c r="V219">
        <v>183022.71100000001</v>
      </c>
      <c r="W219">
        <v>29080.81</v>
      </c>
      <c r="X219">
        <v>25.09</v>
      </c>
      <c r="Y219">
        <v>4</v>
      </c>
      <c r="Z219" t="s">
        <v>39</v>
      </c>
      <c r="AA219" t="s">
        <v>677</v>
      </c>
      <c r="AB219" t="s">
        <v>34</v>
      </c>
      <c r="AC219" s="7">
        <f t="shared" si="30"/>
        <v>1.1194994577144238E-2</v>
      </c>
      <c r="AD219" s="8">
        <f t="shared" si="31"/>
        <v>0.1050432972493214</v>
      </c>
      <c r="AE219" s="9">
        <f t="shared" si="32"/>
        <v>3.1550328235880228E-2</v>
      </c>
      <c r="AF219" s="8">
        <f t="shared" si="33"/>
        <v>0.19810906112589774</v>
      </c>
      <c r="AG219" s="8">
        <f t="shared" si="34"/>
        <v>1.5724673348951113</v>
      </c>
      <c r="AH219" s="8">
        <f t="shared" si="35"/>
        <v>0.51416871710352519</v>
      </c>
      <c r="AI219" s="8">
        <f t="shared" si="36"/>
        <v>1.3852997168748591</v>
      </c>
      <c r="AJ219" s="8">
        <f t="shared" si="37"/>
        <v>0.25092340647871214</v>
      </c>
      <c r="AK219" s="8">
        <f t="shared" si="38"/>
        <v>1.1200335396374319</v>
      </c>
      <c r="AL219" s="8">
        <f t="shared" si="39"/>
        <v>5.1839803061234875</v>
      </c>
    </row>
    <row r="220" spans="1:38">
      <c r="A220" t="s">
        <v>71</v>
      </c>
      <c r="B220" t="s">
        <v>701</v>
      </c>
      <c r="C220" t="s">
        <v>131</v>
      </c>
      <c r="D220">
        <v>485</v>
      </c>
      <c r="E220" t="s">
        <v>702</v>
      </c>
      <c r="F220">
        <v>2682</v>
      </c>
      <c r="G220">
        <v>42042</v>
      </c>
      <c r="H220">
        <v>491566</v>
      </c>
      <c r="I220">
        <v>92423</v>
      </c>
      <c r="J220">
        <v>601856</v>
      </c>
      <c r="K220">
        <v>293827</v>
      </c>
      <c r="L220">
        <v>520238</v>
      </c>
      <c r="M220">
        <v>81618</v>
      </c>
      <c r="N220">
        <v>14272</v>
      </c>
      <c r="O220">
        <v>113550</v>
      </c>
      <c r="P220">
        <v>96407</v>
      </c>
      <c r="Q220">
        <v>22663</v>
      </c>
      <c r="R220">
        <v>486495</v>
      </c>
      <c r="S220">
        <v>616645</v>
      </c>
      <c r="T220">
        <v>719237</v>
      </c>
      <c r="U220">
        <v>589369</v>
      </c>
      <c r="V220">
        <v>555986</v>
      </c>
      <c r="W220">
        <v>506567</v>
      </c>
      <c r="X220">
        <v>12.85</v>
      </c>
      <c r="Y220">
        <v>4</v>
      </c>
      <c r="Z220" t="s">
        <v>32</v>
      </c>
      <c r="AA220" t="s">
        <v>677</v>
      </c>
      <c r="AB220" t="s">
        <v>34</v>
      </c>
      <c r="AC220" s="7">
        <f t="shared" si="30"/>
        <v>4.099018344711854E-3</v>
      </c>
      <c r="AD220" s="8">
        <f t="shared" si="31"/>
        <v>8.5526663764377522E-2</v>
      </c>
      <c r="AE220" s="9">
        <f t="shared" si="32"/>
        <v>4.1088166506517761E-2</v>
      </c>
      <c r="AF220" s="8">
        <f t="shared" si="33"/>
        <v>0.11347858911596595</v>
      </c>
      <c r="AG220" s="8">
        <f t="shared" si="34"/>
        <v>1.1663712508817878</v>
      </c>
      <c r="AH220" s="8">
        <f t="shared" si="35"/>
        <v>0.72331929530877859</v>
      </c>
      <c r="AI220" s="8">
        <f t="shared" si="36"/>
        <v>1.1568858868440983</v>
      </c>
      <c r="AJ220" s="8">
        <f t="shared" si="37"/>
        <v>0.12850145362377074</v>
      </c>
      <c r="AK220" s="8">
        <f t="shared" si="38"/>
        <v>0.97601699519172291</v>
      </c>
      <c r="AL220" s="8">
        <f t="shared" si="39"/>
        <v>6.0227645862432304</v>
      </c>
    </row>
    <row r="221" spans="1:38">
      <c r="A221" t="s">
        <v>75</v>
      </c>
      <c r="B221" t="s">
        <v>703</v>
      </c>
      <c r="C221" t="s">
        <v>47</v>
      </c>
      <c r="D221">
        <v>2665</v>
      </c>
      <c r="E221" t="s">
        <v>704</v>
      </c>
      <c r="F221">
        <v>1568.72</v>
      </c>
      <c r="G221">
        <v>14758.143</v>
      </c>
      <c r="H221">
        <v>479720.859</v>
      </c>
      <c r="I221">
        <v>44759.819000000003</v>
      </c>
      <c r="J221">
        <v>325870.62400000001</v>
      </c>
      <c r="K221">
        <v>155118.399</v>
      </c>
      <c r="L221">
        <v>242063.12400000001</v>
      </c>
      <c r="M221">
        <v>83807.5</v>
      </c>
      <c r="N221">
        <v>6834.1459999999997</v>
      </c>
      <c r="O221">
        <v>18501.174999999999</v>
      </c>
      <c r="P221">
        <v>49717.677000000003</v>
      </c>
      <c r="Q221">
        <v>8241.6229999999996</v>
      </c>
      <c r="R221">
        <v>263110.136</v>
      </c>
      <c r="S221">
        <v>291780.80099999998</v>
      </c>
      <c r="T221">
        <v>348200.11499999999</v>
      </c>
      <c r="U221">
        <v>315569.89199999999</v>
      </c>
      <c r="V221">
        <v>295900.75099999999</v>
      </c>
      <c r="W221">
        <v>266620.04700000002</v>
      </c>
      <c r="X221">
        <v>12.85</v>
      </c>
      <c r="Y221">
        <v>4</v>
      </c>
      <c r="Z221" t="s">
        <v>32</v>
      </c>
      <c r="AA221" t="s">
        <v>677</v>
      </c>
      <c r="AB221" t="s">
        <v>34</v>
      </c>
      <c r="AC221" s="7">
        <f t="shared" si="30"/>
        <v>4.7266974507933742E-3</v>
      </c>
      <c r="AD221" s="8">
        <f t="shared" si="31"/>
        <v>3.0764021874646063E-2</v>
      </c>
      <c r="AE221" s="9">
        <f t="shared" si="32"/>
        <v>2.9705379743839647E-2</v>
      </c>
      <c r="AF221" s="8">
        <f t="shared" si="33"/>
        <v>0.24068774359824666</v>
      </c>
      <c r="AG221" s="8">
        <f t="shared" si="34"/>
        <v>1.1933619820311618</v>
      </c>
      <c r="AH221" s="8">
        <f t="shared" si="35"/>
        <v>0.6951839289312125</v>
      </c>
      <c r="AI221" s="8">
        <f t="shared" si="36"/>
        <v>1.3462216739795525</v>
      </c>
      <c r="AJ221" s="8">
        <f t="shared" si="37"/>
        <v>0.12854624990574745</v>
      </c>
      <c r="AK221" s="8">
        <f t="shared" si="38"/>
        <v>1.1168336740565739</v>
      </c>
      <c r="AL221" s="8">
        <f t="shared" si="39"/>
        <v>5.7240802911433937</v>
      </c>
    </row>
    <row r="222" spans="1:38">
      <c r="A222" t="s">
        <v>78</v>
      </c>
      <c r="B222" t="s">
        <v>705</v>
      </c>
      <c r="C222" t="s">
        <v>120</v>
      </c>
      <c r="D222">
        <v>2277</v>
      </c>
      <c r="E222" t="s">
        <v>706</v>
      </c>
      <c r="F222">
        <v>65817</v>
      </c>
      <c r="G222">
        <v>250282</v>
      </c>
      <c r="H222">
        <v>471228</v>
      </c>
      <c r="I222">
        <v>529094</v>
      </c>
      <c r="J222">
        <v>550448</v>
      </c>
      <c r="K222">
        <v>4296</v>
      </c>
      <c r="L222">
        <v>670478</v>
      </c>
      <c r="M222">
        <v>-120030</v>
      </c>
      <c r="N222">
        <v>250862</v>
      </c>
      <c r="O222">
        <v>2030809</v>
      </c>
      <c r="P222">
        <v>248387</v>
      </c>
      <c r="Q222">
        <v>6541</v>
      </c>
      <c r="R222">
        <v>734819</v>
      </c>
      <c r="S222">
        <v>918865</v>
      </c>
      <c r="T222">
        <v>2582479</v>
      </c>
      <c r="U222">
        <v>2272800</v>
      </c>
      <c r="V222">
        <v>2144318</v>
      </c>
      <c r="W222">
        <v>2054169</v>
      </c>
      <c r="X222">
        <v>20.49</v>
      </c>
      <c r="Y222">
        <v>4</v>
      </c>
      <c r="Z222" t="s">
        <v>44</v>
      </c>
      <c r="AA222" t="s">
        <v>677</v>
      </c>
      <c r="AB222" t="s">
        <v>34</v>
      </c>
      <c r="AC222" s="7">
        <f t="shared" si="30"/>
        <v>2.7111521294656805E-2</v>
      </c>
      <c r="AD222" s="8">
        <f t="shared" si="31"/>
        <v>0.5311271825952617</v>
      </c>
      <c r="AE222" s="9">
        <f t="shared" si="32"/>
        <v>7.910822140142857E-3</v>
      </c>
      <c r="AF222" s="8">
        <f t="shared" si="33"/>
        <v>-4.6478596728182497E-2</v>
      </c>
      <c r="AG222" s="8">
        <f t="shared" si="34"/>
        <v>2.8105097049076848</v>
      </c>
      <c r="AH222" s="8">
        <f t="shared" si="35"/>
        <v>0.25962573170972542</v>
      </c>
      <c r="AI222" s="8">
        <f t="shared" si="36"/>
        <v>0.8209784661092534</v>
      </c>
      <c r="AJ222" s="8">
        <f t="shared" si="37"/>
        <v>0.20487833589353485</v>
      </c>
      <c r="AK222" s="8">
        <f t="shared" si="38"/>
        <v>0.59905209143889471</v>
      </c>
      <c r="AL222" s="8">
        <f t="shared" si="39"/>
        <v>-3.9259185203699074</v>
      </c>
    </row>
    <row r="223" spans="1:38">
      <c r="A223" t="s">
        <v>81</v>
      </c>
      <c r="B223" t="s">
        <v>707</v>
      </c>
      <c r="C223" t="s">
        <v>47</v>
      </c>
      <c r="D223">
        <v>3457</v>
      </c>
      <c r="E223" t="s">
        <v>708</v>
      </c>
      <c r="F223">
        <v>102.54</v>
      </c>
      <c r="G223">
        <v>51423.915999999997</v>
      </c>
      <c r="H223">
        <v>442382.14299999998</v>
      </c>
      <c r="I223">
        <v>159944.88500000001</v>
      </c>
      <c r="J223">
        <v>554831.68799999997</v>
      </c>
      <c r="K223">
        <v>151541.21299999999</v>
      </c>
      <c r="L223">
        <v>399367.989</v>
      </c>
      <c r="M223">
        <v>155463.69899999999</v>
      </c>
      <c r="N223">
        <v>30331.192999999999</v>
      </c>
      <c r="O223">
        <v>177011.52</v>
      </c>
      <c r="P223">
        <v>74265.248999999996</v>
      </c>
      <c r="Q223">
        <v>20337.411</v>
      </c>
      <c r="R223">
        <v>421022.511</v>
      </c>
      <c r="S223">
        <v>473633.23800000001</v>
      </c>
      <c r="T223">
        <v>740383.81200000003</v>
      </c>
      <c r="U223">
        <v>678168.995</v>
      </c>
      <c r="V223">
        <v>677868.39899999998</v>
      </c>
      <c r="W223">
        <v>732067.83200000005</v>
      </c>
      <c r="X223">
        <v>21.6</v>
      </c>
      <c r="Y223">
        <v>4</v>
      </c>
      <c r="Z223" t="s">
        <v>32</v>
      </c>
      <c r="AA223" t="s">
        <v>677</v>
      </c>
      <c r="AB223" t="s">
        <v>34</v>
      </c>
      <c r="AC223" s="7">
        <f t="shared" si="30"/>
        <v>1.4456987359794495E-4</v>
      </c>
      <c r="AD223" s="8">
        <f t="shared" si="31"/>
        <v>0.11624320016913521</v>
      </c>
      <c r="AE223" s="9">
        <f t="shared" si="32"/>
        <v>4.5464215756132138E-2</v>
      </c>
      <c r="AF223" s="8">
        <f t="shared" si="33"/>
        <v>0.2099771719482165</v>
      </c>
      <c r="AG223" s="8">
        <f t="shared" si="34"/>
        <v>1.563200705943699</v>
      </c>
      <c r="AH223" s="8">
        <f t="shared" si="35"/>
        <v>0.53940670031829385</v>
      </c>
      <c r="AI223" s="8">
        <f t="shared" si="36"/>
        <v>1.3892743116173989</v>
      </c>
      <c r="AJ223" s="8">
        <f t="shared" si="37"/>
        <v>0.21602968947678722</v>
      </c>
      <c r="AK223" s="8">
        <f t="shared" si="38"/>
        <v>1.1714373981498316</v>
      </c>
      <c r="AL223" s="8">
        <f t="shared" si="39"/>
        <v>2.8455655297382316</v>
      </c>
    </row>
    <row r="224" spans="1:38">
      <c r="A224" t="s">
        <v>84</v>
      </c>
      <c r="B224" t="s">
        <v>709</v>
      </c>
      <c r="C224" t="s">
        <v>65</v>
      </c>
      <c r="D224">
        <v>731</v>
      </c>
      <c r="E224" t="s">
        <v>710</v>
      </c>
      <c r="F224">
        <v>50248.264000000003</v>
      </c>
      <c r="G224">
        <v>83551.962</v>
      </c>
      <c r="H224">
        <v>387371.60200000001</v>
      </c>
      <c r="I224">
        <v>347447.42099999997</v>
      </c>
      <c r="J224">
        <v>550730.75100000005</v>
      </c>
      <c r="K224">
        <v>154191.128</v>
      </c>
      <c r="L224">
        <v>314033.51500000001</v>
      </c>
      <c r="M224">
        <v>236697.236</v>
      </c>
      <c r="N224">
        <v>70169.293999999994</v>
      </c>
      <c r="O224">
        <v>166741.96</v>
      </c>
      <c r="P224">
        <v>49700.338000000003</v>
      </c>
      <c r="Q224">
        <v>2413.3980000000001</v>
      </c>
      <c r="R224">
        <v>285146.30599999998</v>
      </c>
      <c r="S224">
        <v>363733.853</v>
      </c>
      <c r="T224">
        <v>725731.07299999997</v>
      </c>
      <c r="U224">
        <v>595981.15300000005</v>
      </c>
      <c r="V224">
        <v>521519.815</v>
      </c>
      <c r="W224">
        <v>508457.679</v>
      </c>
      <c r="X224">
        <v>47.88</v>
      </c>
      <c r="Y224">
        <v>4</v>
      </c>
      <c r="Z224" t="s">
        <v>62</v>
      </c>
      <c r="AA224" t="s">
        <v>677</v>
      </c>
      <c r="AB224" t="s">
        <v>34</v>
      </c>
      <c r="AC224" s="7">
        <f t="shared" si="30"/>
        <v>7.6035105087996671E-2</v>
      </c>
      <c r="AD224" s="8">
        <f t="shared" si="31"/>
        <v>0.21568943507634822</v>
      </c>
      <c r="AE224" s="9">
        <f t="shared" si="32"/>
        <v>7.4386555561178755E-3</v>
      </c>
      <c r="AF224" s="8">
        <f t="shared" si="33"/>
        <v>0.32615006412988468</v>
      </c>
      <c r="AG224" s="8">
        <f t="shared" si="34"/>
        <v>1.9952255392626321</v>
      </c>
      <c r="AH224" s="8">
        <f t="shared" si="35"/>
        <v>0.432713337878534</v>
      </c>
      <c r="AI224" s="8">
        <f t="shared" si="36"/>
        <v>1.7537324033710224</v>
      </c>
      <c r="AJ224" s="8">
        <f t="shared" si="37"/>
        <v>0.47875505669577412</v>
      </c>
      <c r="AK224" s="8">
        <f t="shared" si="38"/>
        <v>1.5141036404989228</v>
      </c>
      <c r="AL224" s="8">
        <f t="shared" si="39"/>
        <v>1.6365700273745487</v>
      </c>
    </row>
    <row r="225" spans="1:38">
      <c r="A225" t="s">
        <v>88</v>
      </c>
      <c r="B225" t="s">
        <v>711</v>
      </c>
      <c r="C225" t="s">
        <v>193</v>
      </c>
      <c r="D225">
        <v>90</v>
      </c>
      <c r="E225" t="s">
        <v>712</v>
      </c>
      <c r="F225">
        <v>1835.5250000000001</v>
      </c>
      <c r="G225">
        <v>22305.827000000001</v>
      </c>
      <c r="H225">
        <v>375235.91600000003</v>
      </c>
      <c r="I225">
        <v>42701.212</v>
      </c>
      <c r="J225">
        <v>493208.75799999997</v>
      </c>
      <c r="K225">
        <v>32690.921999999999</v>
      </c>
      <c r="L225">
        <v>486108.40899999999</v>
      </c>
      <c r="M225">
        <v>7100.3490000000002</v>
      </c>
      <c r="N225">
        <v>7730.9189999999999</v>
      </c>
      <c r="O225">
        <v>67656.923999999999</v>
      </c>
      <c r="P225">
        <v>25600</v>
      </c>
      <c r="Q225">
        <v>17309.807000000001</v>
      </c>
      <c r="R225">
        <v>262400.489</v>
      </c>
      <c r="S225">
        <v>511708.40899999999</v>
      </c>
      <c r="T225">
        <v>561246.86100000003</v>
      </c>
      <c r="U225">
        <v>307398.41100000002</v>
      </c>
      <c r="V225">
        <v>39897.576999999997</v>
      </c>
      <c r="W225">
        <v>8898.107</v>
      </c>
      <c r="X225">
        <v>7.61</v>
      </c>
      <c r="Y225">
        <v>4</v>
      </c>
      <c r="Z225" t="s">
        <v>32</v>
      </c>
      <c r="AA225" t="s">
        <v>677</v>
      </c>
      <c r="AB225" t="s">
        <v>34</v>
      </c>
      <c r="AC225" s="7">
        <f t="shared" si="30"/>
        <v>4.2261785314822962E-3</v>
      </c>
      <c r="AD225" s="8">
        <f t="shared" si="31"/>
        <v>5.9444808049771015E-2</v>
      </c>
      <c r="AE225" s="9">
        <f t="shared" si="32"/>
        <v>4.4721891311989545E-2</v>
      </c>
      <c r="AF225" s="8">
        <f t="shared" si="33"/>
        <v>1.2651026657590518E-2</v>
      </c>
      <c r="AG225" s="8">
        <f t="shared" si="34"/>
        <v>1.0968099236375848</v>
      </c>
      <c r="AH225" s="8">
        <f t="shared" si="35"/>
        <v>0.86612227662864372</v>
      </c>
      <c r="AI225" s="8">
        <f t="shared" si="36"/>
        <v>1.0146065134207543</v>
      </c>
      <c r="AJ225" s="8">
        <f t="shared" si="37"/>
        <v>7.6082763160433955E-2</v>
      </c>
      <c r="AK225" s="8">
        <f t="shared" si="38"/>
        <v>0.9638472796721228</v>
      </c>
      <c r="AL225" s="8">
        <f t="shared" si="39"/>
        <v>52.84753129740524</v>
      </c>
    </row>
    <row r="226" spans="1:38">
      <c r="A226" t="s">
        <v>91</v>
      </c>
      <c r="B226" t="s">
        <v>713</v>
      </c>
      <c r="C226" t="s">
        <v>124</v>
      </c>
      <c r="D226">
        <v>186</v>
      </c>
      <c r="E226" t="s">
        <v>714</v>
      </c>
      <c r="F226">
        <v>-15012.370999999999</v>
      </c>
      <c r="G226">
        <v>99272.66</v>
      </c>
      <c r="H226">
        <v>330400.96899999998</v>
      </c>
      <c r="I226">
        <v>868593.36100000003</v>
      </c>
      <c r="J226">
        <v>780768.19700000004</v>
      </c>
      <c r="K226">
        <v>6147.8869999999997</v>
      </c>
      <c r="L226">
        <v>435370.196</v>
      </c>
      <c r="M226">
        <v>345398.00099999999</v>
      </c>
      <c r="N226">
        <v>49318.487999999998</v>
      </c>
      <c r="O226">
        <v>1005131.973</v>
      </c>
      <c r="P226">
        <v>250781.69099999999</v>
      </c>
      <c r="Q226">
        <v>18769.157999999999</v>
      </c>
      <c r="R226">
        <v>712980.07499999995</v>
      </c>
      <c r="S226">
        <v>686151.88699999999</v>
      </c>
      <c r="T226">
        <v>1787119.203</v>
      </c>
      <c r="U226">
        <v>1751234.986</v>
      </c>
      <c r="V226">
        <v>1580547.933</v>
      </c>
      <c r="W226">
        <v>1493530.5360000001</v>
      </c>
      <c r="X226">
        <v>48.6</v>
      </c>
      <c r="Y226">
        <v>4</v>
      </c>
      <c r="Z226" t="s">
        <v>62</v>
      </c>
      <c r="AA226" t="s">
        <v>677</v>
      </c>
      <c r="AB226" t="s">
        <v>34</v>
      </c>
      <c r="AC226" s="7">
        <f t="shared" si="30"/>
        <v>-8.4855106064114817E-3</v>
      </c>
      <c r="AD226" s="8">
        <f t="shared" si="31"/>
        <v>0.30046116480971946</v>
      </c>
      <c r="AE226" s="9">
        <f t="shared" si="32"/>
        <v>2.6829718010544599E-2</v>
      </c>
      <c r="AF226" s="8">
        <f t="shared" si="33"/>
        <v>0.19327082402795936</v>
      </c>
      <c r="AG226" s="8">
        <f t="shared" si="34"/>
        <v>2.6045533603553293</v>
      </c>
      <c r="AH226" s="8">
        <f t="shared" si="35"/>
        <v>0.24361564425537652</v>
      </c>
      <c r="AI226" s="8">
        <f t="shared" si="36"/>
        <v>1.7933432379464029</v>
      </c>
      <c r="AJ226" s="8">
        <f t="shared" si="37"/>
        <v>0.48602989635045629</v>
      </c>
      <c r="AK226" s="8">
        <f t="shared" si="38"/>
        <v>1.1378941190611345</v>
      </c>
      <c r="AL226" s="8">
        <f t="shared" si="39"/>
        <v>0.95658043197534315</v>
      </c>
    </row>
    <row r="227" spans="1:38">
      <c r="A227" t="s">
        <v>94</v>
      </c>
      <c r="B227" t="s">
        <v>715</v>
      </c>
      <c r="C227" t="s">
        <v>69</v>
      </c>
      <c r="D227">
        <v>481</v>
      </c>
      <c r="E227" t="s">
        <v>716</v>
      </c>
      <c r="F227">
        <v>51494.491000000002</v>
      </c>
      <c r="G227">
        <v>83835.554999999993</v>
      </c>
      <c r="H227">
        <v>315445.42200000002</v>
      </c>
      <c r="I227">
        <v>226644.245</v>
      </c>
      <c r="J227">
        <v>169378.524</v>
      </c>
      <c r="K227">
        <v>17285.206999999999</v>
      </c>
      <c r="L227">
        <v>108216.56200000001</v>
      </c>
      <c r="M227">
        <v>61161.962</v>
      </c>
      <c r="N227">
        <v>69370.767999999996</v>
      </c>
      <c r="O227">
        <v>182825.924</v>
      </c>
      <c r="P227">
        <v>1916.04</v>
      </c>
      <c r="Q227">
        <v>1191.701</v>
      </c>
      <c r="R227">
        <v>97917.807000000001</v>
      </c>
      <c r="S227">
        <v>110132.602</v>
      </c>
      <c r="T227">
        <v>352250.06</v>
      </c>
      <c r="U227">
        <v>301205.21500000003</v>
      </c>
      <c r="V227">
        <v>262271.82699999999</v>
      </c>
      <c r="W227">
        <v>239414.897</v>
      </c>
      <c r="X227">
        <v>64.34</v>
      </c>
      <c r="Y227">
        <v>4</v>
      </c>
      <c r="Z227" t="s">
        <v>39</v>
      </c>
      <c r="AA227" t="s">
        <v>677</v>
      </c>
      <c r="AB227" t="s">
        <v>34</v>
      </c>
      <c r="AC227" s="7">
        <f t="shared" si="30"/>
        <v>0.15760678035692649</v>
      </c>
      <c r="AD227" s="8">
        <f t="shared" si="31"/>
        <v>0.26576881182317486</v>
      </c>
      <c r="AE227" s="9">
        <f t="shared" si="32"/>
        <v>1.1455887116280556E-2</v>
      </c>
      <c r="AF227" s="8">
        <f t="shared" si="33"/>
        <v>0.17363222592495797</v>
      </c>
      <c r="AG227" s="8">
        <f t="shared" si="34"/>
        <v>3.1984176674587239</v>
      </c>
      <c r="AH227" s="8">
        <f t="shared" si="35"/>
        <v>0.30721516981430752</v>
      </c>
      <c r="AI227" s="8">
        <f t="shared" si="36"/>
        <v>1.5651811596084526</v>
      </c>
      <c r="AJ227" s="8">
        <f t="shared" si="37"/>
        <v>0.6434186129024364</v>
      </c>
      <c r="AK227" s="8">
        <f t="shared" si="38"/>
        <v>1.5379508058839835</v>
      </c>
      <c r="AL227" s="8">
        <f t="shared" si="39"/>
        <v>5.1575425588865187</v>
      </c>
    </row>
    <row r="228" spans="1:38">
      <c r="A228" t="s">
        <v>97</v>
      </c>
      <c r="B228" t="s">
        <v>717</v>
      </c>
      <c r="C228" t="s">
        <v>69</v>
      </c>
      <c r="D228">
        <v>178</v>
      </c>
      <c r="E228" t="s">
        <v>718</v>
      </c>
      <c r="F228">
        <v>30491.438999999998</v>
      </c>
      <c r="G228">
        <v>32329.289000000001</v>
      </c>
      <c r="H228">
        <v>287722.30599999998</v>
      </c>
      <c r="I228">
        <v>83278.126000000004</v>
      </c>
      <c r="J228">
        <v>498821.51699999999</v>
      </c>
      <c r="K228">
        <v>269414.36</v>
      </c>
      <c r="L228">
        <v>410016.62400000001</v>
      </c>
      <c r="M228">
        <v>88804.892999999996</v>
      </c>
      <c r="N228">
        <v>31599.045999999998</v>
      </c>
      <c r="O228">
        <v>31044.850999999999</v>
      </c>
      <c r="P228">
        <v>30898.544000000002</v>
      </c>
      <c r="Q228">
        <v>2386.9189999999999</v>
      </c>
      <c r="R228">
        <v>313644.299</v>
      </c>
      <c r="S228">
        <v>440915.16800000001</v>
      </c>
      <c r="T228">
        <v>530189.46100000001</v>
      </c>
      <c r="U228">
        <v>371947.56099999999</v>
      </c>
      <c r="V228">
        <v>535106.05599999998</v>
      </c>
      <c r="W228">
        <v>452959.04300000001</v>
      </c>
      <c r="X228">
        <v>15.71</v>
      </c>
      <c r="Y228">
        <v>4</v>
      </c>
      <c r="Z228" t="s">
        <v>39</v>
      </c>
      <c r="AA228" t="s">
        <v>677</v>
      </c>
      <c r="AB228" t="s">
        <v>34</v>
      </c>
      <c r="AC228" s="7">
        <f t="shared" si="30"/>
        <v>6.7598243407418879E-2</v>
      </c>
      <c r="AD228" s="8">
        <f t="shared" si="31"/>
        <v>0.11236281763986697</v>
      </c>
      <c r="AE228" s="9">
        <f t="shared" si="32"/>
        <v>6.3266557624410535E-3</v>
      </c>
      <c r="AF228" s="8">
        <f t="shared" si="33"/>
        <v>0.16749652630307563</v>
      </c>
      <c r="AG228" s="8">
        <f t="shared" si="34"/>
        <v>1.2024749872066094</v>
      </c>
      <c r="AH228" s="8">
        <f t="shared" si="35"/>
        <v>0.77333982313918537</v>
      </c>
      <c r="AI228" s="8">
        <f t="shared" si="36"/>
        <v>1.216588518127987</v>
      </c>
      <c r="AJ228" s="8">
        <f t="shared" si="37"/>
        <v>0.15707239039215834</v>
      </c>
      <c r="AK228" s="8">
        <f t="shared" si="38"/>
        <v>1.1313321772590959</v>
      </c>
      <c r="AL228" s="8">
        <f t="shared" si="39"/>
        <v>3.2399375336221619</v>
      </c>
    </row>
    <row r="229" spans="1:38">
      <c r="A229" t="s">
        <v>100</v>
      </c>
      <c r="B229" t="s">
        <v>719</v>
      </c>
      <c r="C229" t="s">
        <v>47</v>
      </c>
      <c r="D229">
        <v>819</v>
      </c>
      <c r="E229" t="s">
        <v>720</v>
      </c>
      <c r="F229">
        <v>16257.986000000001</v>
      </c>
      <c r="G229">
        <v>51418.949000000001</v>
      </c>
      <c r="H229">
        <v>294334.72600000002</v>
      </c>
      <c r="I229">
        <v>81543.597999999998</v>
      </c>
      <c r="J229">
        <v>225998.103</v>
      </c>
      <c r="K229">
        <v>1230.557</v>
      </c>
      <c r="L229">
        <v>126094.90300000001</v>
      </c>
      <c r="M229">
        <v>99903.2</v>
      </c>
      <c r="N229">
        <v>40635.864000000001</v>
      </c>
      <c r="O229">
        <v>165237.00899999999</v>
      </c>
      <c r="P229">
        <v>176400.247</v>
      </c>
      <c r="Q229">
        <v>7128.9279999999999</v>
      </c>
      <c r="R229">
        <v>279370.81400000001</v>
      </c>
      <c r="S229">
        <v>302495.15000000002</v>
      </c>
      <c r="T229">
        <v>396834.18699999998</v>
      </c>
      <c r="U229">
        <v>353838.50799999997</v>
      </c>
      <c r="V229">
        <v>216641.22</v>
      </c>
      <c r="W229">
        <v>163134.66500000001</v>
      </c>
      <c r="X229">
        <v>20.55</v>
      </c>
      <c r="Y229">
        <v>4</v>
      </c>
      <c r="Z229" t="s">
        <v>32</v>
      </c>
      <c r="AA229" t="s">
        <v>677</v>
      </c>
      <c r="AB229" t="s">
        <v>34</v>
      </c>
      <c r="AC229" s="7">
        <f t="shared" si="30"/>
        <v>4.3315778256727458E-2</v>
      </c>
      <c r="AD229" s="8">
        <f t="shared" si="31"/>
        <v>0.17469548937966631</v>
      </c>
      <c r="AE229" s="9">
        <f t="shared" si="32"/>
        <v>2.4503677620160643E-2</v>
      </c>
      <c r="AF229" s="8">
        <f t="shared" si="33"/>
        <v>0.25175048741453315</v>
      </c>
      <c r="AG229" s="8">
        <f t="shared" si="34"/>
        <v>1.3118695853470708</v>
      </c>
      <c r="AH229" s="8">
        <f t="shared" si="35"/>
        <v>0.31775211695659683</v>
      </c>
      <c r="AI229" s="8">
        <f t="shared" si="36"/>
        <v>1.7922857912821424</v>
      </c>
      <c r="AJ229" s="8">
        <f t="shared" si="37"/>
        <v>0.20548531520546642</v>
      </c>
      <c r="AK229" s="8">
        <f t="shared" si="38"/>
        <v>0.74711314545043117</v>
      </c>
      <c r="AL229" s="8">
        <f t="shared" si="39"/>
        <v>2.9461991808070214</v>
      </c>
    </row>
    <row r="230" spans="1:38">
      <c r="A230" t="s">
        <v>103</v>
      </c>
      <c r="B230" t="s">
        <v>721</v>
      </c>
      <c r="C230" t="s">
        <v>69</v>
      </c>
      <c r="D230">
        <v>1808</v>
      </c>
      <c r="E230" t="s">
        <v>722</v>
      </c>
      <c r="F230">
        <v>4215.88</v>
      </c>
      <c r="G230">
        <v>16280.111000000001</v>
      </c>
      <c r="H230">
        <v>280124.26199999999</v>
      </c>
      <c r="I230">
        <v>56175.195</v>
      </c>
      <c r="J230">
        <v>185084.24600000001</v>
      </c>
      <c r="K230">
        <v>91968.335000000006</v>
      </c>
      <c r="L230">
        <v>125718.62</v>
      </c>
      <c r="M230">
        <v>59365.625999999997</v>
      </c>
      <c r="N230">
        <v>9888.06</v>
      </c>
      <c r="O230">
        <v>36599.288</v>
      </c>
      <c r="P230">
        <v>21850.81</v>
      </c>
      <c r="Q230">
        <v>2437.7620000000002</v>
      </c>
      <c r="R230">
        <v>133245.13699999999</v>
      </c>
      <c r="S230">
        <v>147569.43</v>
      </c>
      <c r="T230">
        <v>229638.85800000001</v>
      </c>
      <c r="U230">
        <v>212907.18599999999</v>
      </c>
      <c r="V230">
        <v>200485.04</v>
      </c>
      <c r="W230">
        <v>175920.55</v>
      </c>
      <c r="X230">
        <v>24.46</v>
      </c>
      <c r="Y230">
        <v>4</v>
      </c>
      <c r="Z230" t="s">
        <v>39</v>
      </c>
      <c r="AA230" t="s">
        <v>677</v>
      </c>
      <c r="AB230" t="s">
        <v>34</v>
      </c>
      <c r="AC230" s="7">
        <f t="shared" si="30"/>
        <v>1.9052842329780266E-2</v>
      </c>
      <c r="AD230" s="8">
        <f t="shared" si="31"/>
        <v>5.8117461457158612E-2</v>
      </c>
      <c r="AE230" s="9">
        <f t="shared" si="32"/>
        <v>1.7362076519342393E-2</v>
      </c>
      <c r="AF230" s="8">
        <f t="shared" si="33"/>
        <v>0.25851733681762168</v>
      </c>
      <c r="AG230" s="8">
        <f t="shared" si="34"/>
        <v>1.5561411194716956</v>
      </c>
      <c r="AH230" s="8">
        <f t="shared" si="35"/>
        <v>0.54746231145253299</v>
      </c>
      <c r="AI230" s="8">
        <f t="shared" si="36"/>
        <v>1.472210289931595</v>
      </c>
      <c r="AJ230" s="8">
        <f t="shared" si="37"/>
        <v>0.24462408274125799</v>
      </c>
      <c r="AK230" s="8">
        <f t="shared" si="38"/>
        <v>1.2542180721305221</v>
      </c>
      <c r="AL230" s="8">
        <f t="shared" si="39"/>
        <v>4.7186272743085365</v>
      </c>
    </row>
    <row r="231" spans="1:38">
      <c r="A231" t="s">
        <v>106</v>
      </c>
      <c r="B231" t="s">
        <v>723</v>
      </c>
      <c r="C231" t="s">
        <v>69</v>
      </c>
      <c r="D231">
        <v>861</v>
      </c>
      <c r="E231" t="s">
        <v>724</v>
      </c>
      <c r="F231">
        <v>38595.067999999999</v>
      </c>
      <c r="G231">
        <v>25548.585999999999</v>
      </c>
      <c r="H231">
        <v>274736.65399999998</v>
      </c>
      <c r="I231">
        <v>189219.62700000001</v>
      </c>
      <c r="J231">
        <v>468277.50699999998</v>
      </c>
      <c r="K231">
        <v>369205.27899999998</v>
      </c>
      <c r="L231">
        <v>408340.99800000002</v>
      </c>
      <c r="M231">
        <v>59936.508999999998</v>
      </c>
      <c r="N231">
        <v>45717.875</v>
      </c>
      <c r="O231">
        <v>147227.644</v>
      </c>
      <c r="P231">
        <v>0</v>
      </c>
      <c r="Q231">
        <v>650.798</v>
      </c>
      <c r="R231">
        <v>423848.59600000002</v>
      </c>
      <c r="S231">
        <v>408340.99800000002</v>
      </c>
      <c r="T231">
        <v>616932.08299999998</v>
      </c>
      <c r="U231">
        <v>594087.94099999999</v>
      </c>
      <c r="V231">
        <v>500692.82400000002</v>
      </c>
      <c r="W231">
        <v>511262.02100000001</v>
      </c>
      <c r="X231">
        <v>30.67</v>
      </c>
      <c r="Y231">
        <v>4</v>
      </c>
      <c r="Z231" t="s">
        <v>39</v>
      </c>
      <c r="AA231" t="s">
        <v>677</v>
      </c>
      <c r="AB231" t="s">
        <v>34</v>
      </c>
      <c r="AC231" s="7">
        <f t="shared" si="30"/>
        <v>6.3739768517650869E-2</v>
      </c>
      <c r="AD231" s="8">
        <f t="shared" si="31"/>
        <v>9.2993001217813481E-2</v>
      </c>
      <c r="AE231" s="9">
        <f t="shared" si="32"/>
        <v>1.5640618548758253E-3</v>
      </c>
      <c r="AF231" s="8">
        <f t="shared" si="33"/>
        <v>9.7152523999955442E-2</v>
      </c>
      <c r="AG231" s="8">
        <f t="shared" si="34"/>
        <v>1.5108257216925349</v>
      </c>
      <c r="AH231" s="8">
        <f t="shared" si="35"/>
        <v>0.66188971079981918</v>
      </c>
      <c r="AI231" s="8">
        <f t="shared" si="36"/>
        <v>1.1467805321864839</v>
      </c>
      <c r="AJ231" s="8">
        <f t="shared" si="37"/>
        <v>0.30671062863170956</v>
      </c>
      <c r="AK231" s="8">
        <f t="shared" si="38"/>
        <v>1.1467805321864839</v>
      </c>
      <c r="AL231" s="8">
        <f t="shared" si="39"/>
        <v>4.5837947285184724</v>
      </c>
    </row>
    <row r="232" spans="1:38">
      <c r="A232" t="s">
        <v>109</v>
      </c>
      <c r="B232" t="s">
        <v>725</v>
      </c>
      <c r="C232" t="s">
        <v>69</v>
      </c>
      <c r="D232">
        <v>176</v>
      </c>
      <c r="E232" t="s">
        <v>726</v>
      </c>
      <c r="F232">
        <v>530.1</v>
      </c>
      <c r="G232">
        <v>1479.183</v>
      </c>
      <c r="H232">
        <v>247909.905</v>
      </c>
      <c r="I232">
        <v>23033.995999999999</v>
      </c>
      <c r="J232">
        <v>167473.174</v>
      </c>
      <c r="K232">
        <v>20871.43</v>
      </c>
      <c r="L232">
        <v>114387.32399999999</v>
      </c>
      <c r="M232">
        <v>53085.85</v>
      </c>
      <c r="N232">
        <v>1378.2539999999999</v>
      </c>
      <c r="O232">
        <v>8032.5690000000004</v>
      </c>
      <c r="P232">
        <v>31864.867999999999</v>
      </c>
      <c r="Q232">
        <v>24.379000000000001</v>
      </c>
      <c r="R232">
        <v>124491.15700000001</v>
      </c>
      <c r="S232">
        <v>146252.19200000001</v>
      </c>
      <c r="T232">
        <v>176323.927</v>
      </c>
      <c r="U232">
        <v>156857.06599999999</v>
      </c>
      <c r="V232">
        <v>131933.89799999999</v>
      </c>
      <c r="W232">
        <v>133998.23699999999</v>
      </c>
      <c r="X232">
        <v>13.06</v>
      </c>
      <c r="Y232">
        <v>4</v>
      </c>
      <c r="Z232" t="s">
        <v>39</v>
      </c>
      <c r="AA232" t="s">
        <v>677</v>
      </c>
      <c r="AB232" t="s">
        <v>34</v>
      </c>
      <c r="AC232" s="7">
        <f t="shared" si="30"/>
        <v>3.1820542656225289E-3</v>
      </c>
      <c r="AD232" s="8">
        <f t="shared" si="31"/>
        <v>5.9666151701361029E-3</v>
      </c>
      <c r="AE232" s="9">
        <f t="shared" si="32"/>
        <v>1.8008937312805417E-4</v>
      </c>
      <c r="AF232" s="8">
        <f t="shared" si="33"/>
        <v>0.30107003004759531</v>
      </c>
      <c r="AG232" s="8">
        <f t="shared" si="34"/>
        <v>1.2056156190807723</v>
      </c>
      <c r="AH232" s="8">
        <f t="shared" si="35"/>
        <v>0.6487339860573772</v>
      </c>
      <c r="AI232" s="8">
        <f t="shared" si="36"/>
        <v>1.464088573310798</v>
      </c>
      <c r="AJ232" s="8">
        <f t="shared" si="37"/>
        <v>0.13063454513464867</v>
      </c>
      <c r="AK232" s="8">
        <f t="shared" si="38"/>
        <v>1.1450985568818004</v>
      </c>
      <c r="AL232" s="8">
        <f t="shared" si="39"/>
        <v>4.6699808894460579</v>
      </c>
    </row>
    <row r="233" spans="1:38">
      <c r="A233" t="s">
        <v>112</v>
      </c>
      <c r="B233" t="s">
        <v>727</v>
      </c>
      <c r="C233" t="s">
        <v>65</v>
      </c>
      <c r="D233">
        <v>660</v>
      </c>
      <c r="E233" t="s">
        <v>728</v>
      </c>
      <c r="F233">
        <v>18486</v>
      </c>
      <c r="G233">
        <v>24096</v>
      </c>
      <c r="H233">
        <v>240753</v>
      </c>
      <c r="I233">
        <v>213787</v>
      </c>
      <c r="J233">
        <v>947016</v>
      </c>
      <c r="K233">
        <v>99265</v>
      </c>
      <c r="L233">
        <v>406619</v>
      </c>
      <c r="M233">
        <v>540397</v>
      </c>
      <c r="N233">
        <v>30308</v>
      </c>
      <c r="O233">
        <v>290824</v>
      </c>
      <c r="P233">
        <v>615830</v>
      </c>
      <c r="Q233">
        <v>57697</v>
      </c>
      <c r="R233">
        <v>508344</v>
      </c>
      <c r="S233">
        <v>1022449</v>
      </c>
      <c r="T233">
        <v>1255843</v>
      </c>
      <c r="U233">
        <v>751576</v>
      </c>
      <c r="V233">
        <v>688058</v>
      </c>
      <c r="W233">
        <v>635096</v>
      </c>
      <c r="X233">
        <v>17.02</v>
      </c>
      <c r="Y233">
        <v>4</v>
      </c>
      <c r="Z233" t="s">
        <v>62</v>
      </c>
      <c r="AA233" t="s">
        <v>677</v>
      </c>
      <c r="AB233" t="s">
        <v>34</v>
      </c>
      <c r="AC233" s="7">
        <f t="shared" si="30"/>
        <v>1.8417679617459035E-2</v>
      </c>
      <c r="AD233" s="8">
        <f t="shared" si="31"/>
        <v>0.10008598023700639</v>
      </c>
      <c r="AE233" s="9">
        <f t="shared" si="32"/>
        <v>7.5381844573368176E-2</v>
      </c>
      <c r="AF233" s="8">
        <f t="shared" si="33"/>
        <v>0.43030617680713273</v>
      </c>
      <c r="AG233" s="8">
        <f t="shared" si="34"/>
        <v>1.2282695762820444</v>
      </c>
      <c r="AH233" s="8">
        <f t="shared" si="35"/>
        <v>0.32378171475256062</v>
      </c>
      <c r="AI233" s="8">
        <f t="shared" si="36"/>
        <v>2.3290008582973249</v>
      </c>
      <c r="AJ233" s="8">
        <f t="shared" si="37"/>
        <v>0.17023385885019066</v>
      </c>
      <c r="AK233" s="8">
        <f t="shared" si="38"/>
        <v>0.9262232150454448</v>
      </c>
      <c r="AL233" s="8">
        <f t="shared" si="39"/>
        <v>0.44551135554046378</v>
      </c>
    </row>
    <row r="234" spans="1:38">
      <c r="A234" t="s">
        <v>729</v>
      </c>
      <c r="B234" t="s">
        <v>730</v>
      </c>
      <c r="C234" t="s">
        <v>65</v>
      </c>
      <c r="D234">
        <v>192</v>
      </c>
      <c r="E234" t="s">
        <v>731</v>
      </c>
      <c r="F234">
        <v>4990.6549999999997</v>
      </c>
      <c r="G234">
        <v>14909.696</v>
      </c>
      <c r="H234">
        <v>240327.049</v>
      </c>
      <c r="I234">
        <v>7228.3280000000004</v>
      </c>
      <c r="J234">
        <v>178361.47200000001</v>
      </c>
      <c r="K234">
        <v>4335.22</v>
      </c>
      <c r="L234">
        <v>155766.83300000001</v>
      </c>
      <c r="M234">
        <v>22594.638999999999</v>
      </c>
      <c r="N234">
        <v>7374.8370000000004</v>
      </c>
      <c r="O234">
        <v>6099.4920000000002</v>
      </c>
      <c r="P234">
        <v>20427.325000000001</v>
      </c>
      <c r="Q234">
        <v>4446.9880000000003</v>
      </c>
      <c r="R234">
        <v>102335.84</v>
      </c>
      <c r="S234">
        <v>176194.158</v>
      </c>
      <c r="T234">
        <v>185040.37299999999</v>
      </c>
      <c r="U234">
        <v>106121.95600000001</v>
      </c>
      <c r="V234">
        <v>27443.925999999999</v>
      </c>
      <c r="W234">
        <v>49817.631999999998</v>
      </c>
      <c r="X234">
        <v>3.91</v>
      </c>
      <c r="Y234">
        <v>4</v>
      </c>
      <c r="Z234" t="s">
        <v>62</v>
      </c>
      <c r="AA234" t="s">
        <v>677</v>
      </c>
      <c r="AB234" t="s">
        <v>34</v>
      </c>
      <c r="AC234" s="7">
        <f t="shared" si="30"/>
        <v>3.4280911388093749E-2</v>
      </c>
      <c r="AD234" s="8">
        <f t="shared" si="31"/>
        <v>6.2039192267533731E-2</v>
      </c>
      <c r="AE234" s="9">
        <f t="shared" si="32"/>
        <v>3.19318424006882E-2</v>
      </c>
      <c r="AF234" s="8">
        <f t="shared" si="33"/>
        <v>0.12210653617737789</v>
      </c>
      <c r="AG234" s="8">
        <f t="shared" si="34"/>
        <v>1.0502071981296905</v>
      </c>
      <c r="AH234" s="8">
        <f t="shared" si="35"/>
        <v>0.84179917319989417</v>
      </c>
      <c r="AI234" s="8">
        <f t="shared" si="36"/>
        <v>1.1450542362891849</v>
      </c>
      <c r="AJ234" s="8">
        <f t="shared" si="37"/>
        <v>3.9063518316621644E-2</v>
      </c>
      <c r="AK234" s="8">
        <f t="shared" si="38"/>
        <v>1.0123007143063167</v>
      </c>
      <c r="AL234" s="8">
        <f t="shared" si="39"/>
        <v>10.636463322118136</v>
      </c>
    </row>
    <row r="235" spans="1:38">
      <c r="A235" t="s">
        <v>115</v>
      </c>
      <c r="B235" t="s">
        <v>732</v>
      </c>
      <c r="C235" t="s">
        <v>131</v>
      </c>
      <c r="D235">
        <v>807</v>
      </c>
      <c r="E235" t="s">
        <v>733</v>
      </c>
      <c r="F235">
        <v>7302</v>
      </c>
      <c r="G235">
        <v>10246</v>
      </c>
      <c r="H235">
        <v>227162</v>
      </c>
      <c r="I235">
        <v>51315</v>
      </c>
      <c r="J235">
        <v>193906</v>
      </c>
      <c r="K235">
        <v>35961</v>
      </c>
      <c r="L235">
        <v>102197</v>
      </c>
      <c r="M235">
        <v>91709</v>
      </c>
      <c r="N235">
        <v>11363</v>
      </c>
      <c r="O235">
        <v>52496</v>
      </c>
      <c r="P235">
        <v>46748</v>
      </c>
      <c r="Q235">
        <v>4022</v>
      </c>
      <c r="R235">
        <v>163183</v>
      </c>
      <c r="S235">
        <v>148945</v>
      </c>
      <c r="T235">
        <v>249404</v>
      </c>
      <c r="U235">
        <v>242382</v>
      </c>
      <c r="V235">
        <v>219458</v>
      </c>
      <c r="W235">
        <v>187794</v>
      </c>
      <c r="X235">
        <v>20.58</v>
      </c>
      <c r="Y235">
        <v>4</v>
      </c>
      <c r="Z235" t="s">
        <v>32</v>
      </c>
      <c r="AA235" t="s">
        <v>677</v>
      </c>
      <c r="AB235" t="s">
        <v>34</v>
      </c>
      <c r="AC235" s="7">
        <f t="shared" si="30"/>
        <v>2.9695843313961762E-2</v>
      </c>
      <c r="AD235" s="8">
        <f t="shared" si="31"/>
        <v>4.5104374851427619E-2</v>
      </c>
      <c r="AE235" s="9">
        <f t="shared" si="32"/>
        <v>2.5771478367849088E-2</v>
      </c>
      <c r="AF235" s="8">
        <f t="shared" si="33"/>
        <v>0.36771262690253564</v>
      </c>
      <c r="AG235" s="8">
        <f t="shared" si="34"/>
        <v>1.6744704421095036</v>
      </c>
      <c r="AH235" s="8">
        <f t="shared" si="35"/>
        <v>0.40976487947266282</v>
      </c>
      <c r="AI235" s="8">
        <f t="shared" si="36"/>
        <v>1.8973746783173675</v>
      </c>
      <c r="AJ235" s="8">
        <f t="shared" si="37"/>
        <v>0.20575050921396609</v>
      </c>
      <c r="AK235" s="8">
        <f t="shared" si="38"/>
        <v>1.3018631038302728</v>
      </c>
      <c r="AL235" s="8">
        <f t="shared" si="39"/>
        <v>2.476986991462125</v>
      </c>
    </row>
    <row r="236" spans="1:38">
      <c r="A236" t="s">
        <v>734</v>
      </c>
      <c r="B236" t="s">
        <v>735</v>
      </c>
      <c r="C236" t="s">
        <v>131</v>
      </c>
      <c r="D236">
        <v>131</v>
      </c>
      <c r="E236" t="s">
        <v>736</v>
      </c>
      <c r="F236">
        <v>4290.5590000000002</v>
      </c>
      <c r="G236">
        <v>7505.2030000000004</v>
      </c>
      <c r="H236">
        <v>221709.052</v>
      </c>
      <c r="I236">
        <v>17634.306</v>
      </c>
      <c r="J236">
        <v>105703.40300000001</v>
      </c>
      <c r="K236">
        <v>15092.304</v>
      </c>
      <c r="L236">
        <v>91485.543000000005</v>
      </c>
      <c r="M236">
        <v>14217.86</v>
      </c>
      <c r="N236">
        <v>5696.634</v>
      </c>
      <c r="O236">
        <v>5422.6970000000001</v>
      </c>
      <c r="P236">
        <v>928.87</v>
      </c>
      <c r="Q236">
        <v>280.62299999999999</v>
      </c>
      <c r="R236">
        <v>118659.88099999999</v>
      </c>
      <c r="S236">
        <v>92414.413</v>
      </c>
      <c r="T236">
        <v>111308.655</v>
      </c>
      <c r="U236">
        <v>133499.361</v>
      </c>
      <c r="V236">
        <v>100443.624</v>
      </c>
      <c r="W236">
        <v>72859.843999999997</v>
      </c>
      <c r="X236">
        <v>15.84</v>
      </c>
      <c r="Y236">
        <v>4</v>
      </c>
      <c r="Z236" t="s">
        <v>32</v>
      </c>
      <c r="AA236" t="s">
        <v>677</v>
      </c>
      <c r="AB236" t="s">
        <v>34</v>
      </c>
      <c r="AC236" s="7">
        <f t="shared" si="30"/>
        <v>3.5052438805761983E-2</v>
      </c>
      <c r="AD236" s="8">
        <f t="shared" si="31"/>
        <v>3.385158581617137E-2</v>
      </c>
      <c r="AE236" s="9">
        <f t="shared" si="32"/>
        <v>2.6589974049611178E-3</v>
      </c>
      <c r="AF236" s="8">
        <f t="shared" si="33"/>
        <v>0.12773364299478779</v>
      </c>
      <c r="AG236" s="8">
        <f t="shared" si="34"/>
        <v>1.2044512472313167</v>
      </c>
      <c r="AH236" s="8">
        <f t="shared" si="35"/>
        <v>0.82190861977444618</v>
      </c>
      <c r="AI236" s="8">
        <f t="shared" si="36"/>
        <v>1.1554110030259097</v>
      </c>
      <c r="AJ236" s="8">
        <f t="shared" si="37"/>
        <v>0.15842708727367158</v>
      </c>
      <c r="AK236" s="8">
        <f t="shared" si="38"/>
        <v>1.1437978078159736</v>
      </c>
      <c r="AL236" s="8">
        <f t="shared" si="39"/>
        <v>15.593700599105631</v>
      </c>
    </row>
    <row r="237" spans="1:38">
      <c r="A237" t="s">
        <v>118</v>
      </c>
      <c r="B237" t="s">
        <v>737</v>
      </c>
      <c r="C237" t="s">
        <v>69</v>
      </c>
      <c r="D237">
        <v>415</v>
      </c>
      <c r="E237" t="s">
        <v>738</v>
      </c>
      <c r="F237">
        <v>9251.0920000000006</v>
      </c>
      <c r="G237">
        <v>9666.3970000000008</v>
      </c>
      <c r="H237">
        <v>217708.72899999999</v>
      </c>
      <c r="I237">
        <v>30402.420999999998</v>
      </c>
      <c r="J237">
        <v>144451.06299999999</v>
      </c>
      <c r="K237">
        <v>6092.87</v>
      </c>
      <c r="L237">
        <v>112055.787</v>
      </c>
      <c r="M237">
        <v>32395.276000000002</v>
      </c>
      <c r="N237">
        <v>9689.7139999999999</v>
      </c>
      <c r="O237">
        <v>2591.779</v>
      </c>
      <c r="P237">
        <v>8.5739999999999998</v>
      </c>
      <c r="Q237">
        <v>20.186</v>
      </c>
      <c r="R237">
        <v>65921.528000000006</v>
      </c>
      <c r="S237">
        <v>112064.361</v>
      </c>
      <c r="T237">
        <v>147172.217</v>
      </c>
      <c r="U237">
        <v>95888.895000000004</v>
      </c>
      <c r="V237">
        <v>293970.424</v>
      </c>
      <c r="W237">
        <v>287178.58600000001</v>
      </c>
      <c r="X237">
        <v>20.66</v>
      </c>
      <c r="Y237">
        <v>4</v>
      </c>
      <c r="Z237" t="s">
        <v>39</v>
      </c>
      <c r="AA237" t="s">
        <v>677</v>
      </c>
      <c r="AB237" t="s">
        <v>34</v>
      </c>
      <c r="AC237" s="7">
        <f t="shared" si="30"/>
        <v>7.6121531115187199E-2</v>
      </c>
      <c r="AD237" s="8">
        <f t="shared" si="31"/>
        <v>4.4400594520948224E-2</v>
      </c>
      <c r="AE237" s="9">
        <f t="shared" si="32"/>
        <v>2.2682697053584959E-4</v>
      </c>
      <c r="AF237" s="8">
        <f t="shared" si="33"/>
        <v>0.22011814906613794</v>
      </c>
      <c r="AG237" s="8">
        <f t="shared" si="34"/>
        <v>1.3132829713810619</v>
      </c>
      <c r="AH237" s="8">
        <f t="shared" si="35"/>
        <v>0.76139226060581799</v>
      </c>
      <c r="AI237" s="8">
        <f t="shared" si="36"/>
        <v>1.2890995357517769</v>
      </c>
      <c r="AJ237" s="8">
        <f t="shared" si="37"/>
        <v>0.20657717617993074</v>
      </c>
      <c r="AK237" s="8">
        <f t="shared" si="38"/>
        <v>1.2890009072554296</v>
      </c>
      <c r="AL237" s="8">
        <f t="shared" si="39"/>
        <v>6.7203850647853711</v>
      </c>
    </row>
    <row r="238" spans="1:38">
      <c r="A238" t="s">
        <v>739</v>
      </c>
      <c r="B238" t="s">
        <v>740</v>
      </c>
      <c r="C238" t="s">
        <v>51</v>
      </c>
      <c r="D238">
        <v>208</v>
      </c>
      <c r="E238" t="s">
        <v>741</v>
      </c>
      <c r="F238">
        <v>3785.0189999999998</v>
      </c>
      <c r="G238">
        <v>10140.894</v>
      </c>
      <c r="H238">
        <v>214704.69200000001</v>
      </c>
      <c r="I238">
        <v>26340.846000000001</v>
      </c>
      <c r="J238">
        <v>280532.55300000001</v>
      </c>
      <c r="K238">
        <v>52928.078999999998</v>
      </c>
      <c r="L238">
        <v>234589.541</v>
      </c>
      <c r="M238">
        <v>45943.012000000002</v>
      </c>
      <c r="N238">
        <v>5936.1220000000003</v>
      </c>
      <c r="O238">
        <v>15896.746999999999</v>
      </c>
      <c r="P238">
        <v>28437.916000000001</v>
      </c>
      <c r="Q238">
        <v>3175.7750000000001</v>
      </c>
      <c r="R238">
        <v>169978.981</v>
      </c>
      <c r="S238">
        <v>263027.45699999999</v>
      </c>
      <c r="T238">
        <v>297822.788</v>
      </c>
      <c r="U238">
        <v>201578.068</v>
      </c>
      <c r="V238">
        <v>132982.527</v>
      </c>
      <c r="W238">
        <v>113304.754</v>
      </c>
      <c r="X238">
        <v>8.84</v>
      </c>
      <c r="Y238">
        <v>4</v>
      </c>
      <c r="Z238" t="s">
        <v>39</v>
      </c>
      <c r="AA238" t="s">
        <v>677</v>
      </c>
      <c r="AB238" t="s">
        <v>34</v>
      </c>
      <c r="AC238" s="7">
        <f t="shared" si="30"/>
        <v>1.5158239937017648E-2</v>
      </c>
      <c r="AD238" s="8">
        <f t="shared" si="31"/>
        <v>4.7231822954292957E-2</v>
      </c>
      <c r="AE238" s="9">
        <f t="shared" si="32"/>
        <v>1.4668488601086344E-2</v>
      </c>
      <c r="AF238" s="8">
        <f t="shared" si="33"/>
        <v>0.15426291691285893</v>
      </c>
      <c r="AG238" s="8">
        <f t="shared" si="34"/>
        <v>1.1322878280346222</v>
      </c>
      <c r="AH238" s="8">
        <f t="shared" si="35"/>
        <v>0.78768163636961186</v>
      </c>
      <c r="AI238" s="8">
        <f t="shared" si="36"/>
        <v>1.1958442469521693</v>
      </c>
      <c r="AJ238" s="8">
        <f t="shared" si="37"/>
        <v>8.8444696179528076E-2</v>
      </c>
      <c r="AK238" s="8">
        <f t="shared" si="38"/>
        <v>1.0665523523652514</v>
      </c>
      <c r="AL238" s="8">
        <f t="shared" si="39"/>
        <v>4.6732828922927387</v>
      </c>
    </row>
    <row r="239" spans="1:38">
      <c r="A239" t="s">
        <v>122</v>
      </c>
      <c r="B239" t="s">
        <v>742</v>
      </c>
      <c r="C239" t="s">
        <v>131</v>
      </c>
      <c r="D239">
        <v>210</v>
      </c>
      <c r="E239" t="s">
        <v>743</v>
      </c>
      <c r="F239">
        <v>9617.6759999999995</v>
      </c>
      <c r="G239">
        <v>17857.688999999998</v>
      </c>
      <c r="H239">
        <v>212938.60699999999</v>
      </c>
      <c r="I239">
        <v>70403.213000000003</v>
      </c>
      <c r="J239">
        <v>250331.34899999999</v>
      </c>
      <c r="K239">
        <v>126663.56600000001</v>
      </c>
      <c r="L239">
        <v>214062.73</v>
      </c>
      <c r="M239">
        <v>36268.618999999999</v>
      </c>
      <c r="N239">
        <v>11373.261</v>
      </c>
      <c r="O239">
        <v>37939.03</v>
      </c>
      <c r="P239">
        <v>636.91999999999996</v>
      </c>
      <c r="Q239">
        <v>2825.1869999999999</v>
      </c>
      <c r="R239">
        <v>193143.58900000001</v>
      </c>
      <c r="S239">
        <v>214699.65</v>
      </c>
      <c r="T239">
        <v>288942.64500000002</v>
      </c>
      <c r="U239">
        <v>258291.41899999999</v>
      </c>
      <c r="V239">
        <v>276689.43699999998</v>
      </c>
      <c r="W239">
        <v>233547.83600000001</v>
      </c>
      <c r="X239">
        <v>24.37</v>
      </c>
      <c r="Y239">
        <v>4</v>
      </c>
      <c r="Z239" t="s">
        <v>32</v>
      </c>
      <c r="AA239" t="s">
        <v>677</v>
      </c>
      <c r="AB239" t="s">
        <v>34</v>
      </c>
      <c r="AC239" s="7">
        <f t="shared" si="30"/>
        <v>3.5150136414022648E-2</v>
      </c>
      <c r="AD239" s="8">
        <f t="shared" si="31"/>
        <v>8.3863087354563187E-2</v>
      </c>
      <c r="AE239" s="9">
        <f t="shared" si="32"/>
        <v>1.3854278947603198E-2</v>
      </c>
      <c r="AF239" s="8">
        <f t="shared" si="33"/>
        <v>0.12552186265201523</v>
      </c>
      <c r="AG239" s="8">
        <f t="shared" si="34"/>
        <v>1.3457993294353299</v>
      </c>
      <c r="AH239" s="8">
        <f t="shared" si="35"/>
        <v>0.74084851683973474</v>
      </c>
      <c r="AI239" s="8">
        <f t="shared" si="36"/>
        <v>1.1694298629191544</v>
      </c>
      <c r="AJ239" s="8">
        <f t="shared" si="37"/>
        <v>0.24365808999914151</v>
      </c>
      <c r="AK239" s="8">
        <f t="shared" si="38"/>
        <v>1.1659606757626293</v>
      </c>
      <c r="AL239" s="8">
        <f t="shared" si="39"/>
        <v>5.871152882882031</v>
      </c>
    </row>
    <row r="240" spans="1:38">
      <c r="A240" t="s">
        <v>744</v>
      </c>
      <c r="B240" t="s">
        <v>745</v>
      </c>
      <c r="C240" t="s">
        <v>47</v>
      </c>
      <c r="D240">
        <v>291</v>
      </c>
      <c r="E240" t="s">
        <v>746</v>
      </c>
      <c r="F240">
        <v>17320.267</v>
      </c>
      <c r="G240">
        <v>29578.833999999999</v>
      </c>
      <c r="H240">
        <v>206954.8</v>
      </c>
      <c r="I240">
        <v>114395.58500000001</v>
      </c>
      <c r="J240">
        <v>439989.42300000001</v>
      </c>
      <c r="K240">
        <v>231176.954</v>
      </c>
      <c r="L240">
        <v>126213.548</v>
      </c>
      <c r="M240">
        <v>313775.875</v>
      </c>
      <c r="N240">
        <v>17739.772000000001</v>
      </c>
      <c r="O240">
        <v>18661.955999999998</v>
      </c>
      <c r="P240">
        <v>211485.16500000001</v>
      </c>
      <c r="Q240">
        <v>2623.18</v>
      </c>
      <c r="R240">
        <v>320963.908</v>
      </c>
      <c r="S240">
        <v>337698.71299999999</v>
      </c>
      <c r="T240">
        <v>459887.69099999999</v>
      </c>
      <c r="U240">
        <v>421235.13799999998</v>
      </c>
      <c r="V240">
        <v>369731.47</v>
      </c>
      <c r="W240">
        <v>329139.01699999999</v>
      </c>
      <c r="X240">
        <v>24.87</v>
      </c>
      <c r="Y240">
        <v>4</v>
      </c>
      <c r="Z240" t="s">
        <v>32</v>
      </c>
      <c r="AA240" t="s">
        <v>677</v>
      </c>
      <c r="AB240" t="s">
        <v>34</v>
      </c>
      <c r="AC240" s="7">
        <f t="shared" si="30"/>
        <v>3.9314080693283231E-2</v>
      </c>
      <c r="AD240" s="8">
        <f t="shared" si="31"/>
        <v>0.14292412642760641</v>
      </c>
      <c r="AE240" s="9">
        <f t="shared" si="32"/>
        <v>7.9651703812109887E-3</v>
      </c>
      <c r="AF240" s="8">
        <f t="shared" si="33"/>
        <v>0.68228804801822807</v>
      </c>
      <c r="AG240" s="8">
        <f t="shared" si="34"/>
        <v>1.3618283792511818</v>
      </c>
      <c r="AH240" s="8">
        <f t="shared" si="35"/>
        <v>0.27444428383276731</v>
      </c>
      <c r="AI240" s="8">
        <f t="shared" si="36"/>
        <v>3.4860712655031301</v>
      </c>
      <c r="AJ240" s="8">
        <f t="shared" si="37"/>
        <v>0.24874678587559762</v>
      </c>
      <c r="AK240" s="8">
        <f t="shared" si="38"/>
        <v>1.3029052408618449</v>
      </c>
      <c r="AL240" s="8">
        <f t="shared" si="39"/>
        <v>0.65956249823221746</v>
      </c>
    </row>
    <row r="241" spans="1:38">
      <c r="A241" t="s">
        <v>126</v>
      </c>
      <c r="B241" t="s">
        <v>747</v>
      </c>
      <c r="C241" t="s">
        <v>69</v>
      </c>
      <c r="D241">
        <v>25</v>
      </c>
      <c r="E241" t="s">
        <v>748</v>
      </c>
      <c r="F241">
        <v>15184.733</v>
      </c>
      <c r="G241">
        <v>11472.306</v>
      </c>
      <c r="H241">
        <v>200069.02600000001</v>
      </c>
      <c r="I241">
        <v>679941.44099999999</v>
      </c>
      <c r="J241">
        <v>781073.42700000003</v>
      </c>
      <c r="K241">
        <v>435877.864</v>
      </c>
      <c r="L241">
        <v>55975.336000000003</v>
      </c>
      <c r="M241">
        <v>725098.09100000001</v>
      </c>
      <c r="N241">
        <v>15585.227999999999</v>
      </c>
      <c r="O241">
        <v>1595.098</v>
      </c>
      <c r="P241">
        <v>13928.492</v>
      </c>
      <c r="Q241">
        <v>355.37400000000002</v>
      </c>
      <c r="R241">
        <v>108410.349</v>
      </c>
      <c r="S241">
        <v>69903.827999999994</v>
      </c>
      <c r="T241">
        <v>796662.30700000003</v>
      </c>
      <c r="U241">
        <v>861302.07799999998</v>
      </c>
      <c r="V241">
        <v>864088.05099999998</v>
      </c>
      <c r="W241">
        <v>846305.8</v>
      </c>
      <c r="X241">
        <v>85.35</v>
      </c>
      <c r="Y241">
        <v>4</v>
      </c>
      <c r="Z241" t="s">
        <v>39</v>
      </c>
      <c r="AA241" t="s">
        <v>677</v>
      </c>
      <c r="AB241" t="s">
        <v>34</v>
      </c>
      <c r="AC241" s="7">
        <f t="shared" si="30"/>
        <v>1.8317321092515507E-2</v>
      </c>
      <c r="AD241" s="8">
        <f t="shared" si="31"/>
        <v>5.7341739645396184E-2</v>
      </c>
      <c r="AE241" s="9">
        <f t="shared" si="32"/>
        <v>3.9859309672275805E-3</v>
      </c>
      <c r="AF241" s="8">
        <f t="shared" si="33"/>
        <v>0.91016994858274369</v>
      </c>
      <c r="AG241" s="8">
        <f t="shared" si="34"/>
        <v>11.396547654014027</v>
      </c>
      <c r="AH241" s="8">
        <f t="shared" si="35"/>
        <v>7.0262312535893587E-2</v>
      </c>
      <c r="AI241" s="8">
        <f t="shared" si="36"/>
        <v>13.953885457695153</v>
      </c>
      <c r="AJ241" s="8">
        <f t="shared" si="37"/>
        <v>0.85348765094769319</v>
      </c>
      <c r="AK241" s="8">
        <f t="shared" si="38"/>
        <v>11.173542985371274</v>
      </c>
      <c r="AL241" s="8">
        <f t="shared" si="39"/>
        <v>0.27591994584357554</v>
      </c>
    </row>
    <row r="242" spans="1:38">
      <c r="A242" t="s">
        <v>749</v>
      </c>
      <c r="B242" t="s">
        <v>750</v>
      </c>
      <c r="C242" t="s">
        <v>86</v>
      </c>
      <c r="D242">
        <v>324</v>
      </c>
      <c r="E242" t="s">
        <v>751</v>
      </c>
      <c r="F242">
        <v>2248.181</v>
      </c>
      <c r="G242">
        <v>10989.138999999999</v>
      </c>
      <c r="H242">
        <v>195287.851</v>
      </c>
      <c r="I242">
        <v>42531.898999999998</v>
      </c>
      <c r="J242">
        <v>155503.22500000001</v>
      </c>
      <c r="K242">
        <v>45246.663999999997</v>
      </c>
      <c r="L242">
        <v>118138.587</v>
      </c>
      <c r="M242">
        <v>37364.637999999999</v>
      </c>
      <c r="N242">
        <v>6491.165</v>
      </c>
      <c r="O242">
        <v>21558.812999999998</v>
      </c>
      <c r="P242">
        <v>21344.799999999999</v>
      </c>
      <c r="Q242">
        <v>3874.3290000000002</v>
      </c>
      <c r="R242">
        <v>166685.59899999999</v>
      </c>
      <c r="S242">
        <v>139483.38699999999</v>
      </c>
      <c r="T242">
        <v>183815.334</v>
      </c>
      <c r="U242">
        <v>209933.72500000001</v>
      </c>
      <c r="V242">
        <v>179649.21799999999</v>
      </c>
      <c r="W242">
        <v>161345.693</v>
      </c>
      <c r="X242">
        <v>23.14</v>
      </c>
      <c r="Y242">
        <v>4</v>
      </c>
      <c r="Z242" t="s">
        <v>57</v>
      </c>
      <c r="AA242" t="s">
        <v>677</v>
      </c>
      <c r="AB242" t="s">
        <v>34</v>
      </c>
      <c r="AC242" s="7">
        <f t="shared" si="30"/>
        <v>1.1419359353948322E-2</v>
      </c>
      <c r="AD242" s="8">
        <f t="shared" si="31"/>
        <v>5.6271493304516931E-2</v>
      </c>
      <c r="AE242" s="9">
        <f t="shared" si="32"/>
        <v>2.5308435388031108E-2</v>
      </c>
      <c r="AF242" s="8">
        <f t="shared" si="33"/>
        <v>0.20327269323461339</v>
      </c>
      <c r="AG242" s="8">
        <f t="shared" si="34"/>
        <v>1.3178295849669899</v>
      </c>
      <c r="AH242" s="8">
        <f t="shared" si="35"/>
        <v>0.64270256691424887</v>
      </c>
      <c r="AI242" s="8">
        <f t="shared" si="36"/>
        <v>1.3162780167668673</v>
      </c>
      <c r="AJ242" s="8">
        <f t="shared" si="37"/>
        <v>0.23138384635527739</v>
      </c>
      <c r="AK242" s="8">
        <f t="shared" si="38"/>
        <v>1.1148512259743164</v>
      </c>
      <c r="AL242" s="8">
        <f t="shared" si="39"/>
        <v>5.2265420315325954</v>
      </c>
    </row>
    <row r="243" spans="1:38">
      <c r="A243" t="s">
        <v>129</v>
      </c>
      <c r="B243" t="s">
        <v>752</v>
      </c>
      <c r="C243" t="s">
        <v>120</v>
      </c>
      <c r="D243">
        <v>402</v>
      </c>
      <c r="E243" t="s">
        <v>753</v>
      </c>
      <c r="F243">
        <v>7664.7079999999996</v>
      </c>
      <c r="G243">
        <v>16659.75</v>
      </c>
      <c r="H243">
        <v>191075.535</v>
      </c>
      <c r="I243">
        <v>27462.741999999998</v>
      </c>
      <c r="J243">
        <v>272327.09600000002</v>
      </c>
      <c r="K243">
        <v>159688.54999999999</v>
      </c>
      <c r="L243">
        <v>232529.948</v>
      </c>
      <c r="M243">
        <v>39797.148000000001</v>
      </c>
      <c r="N243">
        <v>11853.822</v>
      </c>
      <c r="O243">
        <v>40696.165999999997</v>
      </c>
      <c r="P243">
        <v>42324.815999999999</v>
      </c>
      <c r="Q243">
        <v>3234.136</v>
      </c>
      <c r="R243">
        <v>178314.951</v>
      </c>
      <c r="S243">
        <v>274854.76400000002</v>
      </c>
      <c r="T243">
        <v>317280.86200000002</v>
      </c>
      <c r="U243">
        <v>212261.12899999999</v>
      </c>
      <c r="V243">
        <v>157331.38099999999</v>
      </c>
      <c r="W243">
        <v>76622.301000000007</v>
      </c>
      <c r="X243">
        <v>8.66</v>
      </c>
      <c r="Y243">
        <v>4</v>
      </c>
      <c r="Z243" t="s">
        <v>44</v>
      </c>
      <c r="AA243" t="s">
        <v>677</v>
      </c>
      <c r="AB243" t="s">
        <v>34</v>
      </c>
      <c r="AC243" s="7">
        <f t="shared" si="30"/>
        <v>2.8948442730767309E-2</v>
      </c>
      <c r="AD243" s="8">
        <f t="shared" si="31"/>
        <v>8.7189341115805327E-2</v>
      </c>
      <c r="AE243" s="9">
        <f t="shared" si="32"/>
        <v>1.4273398653747193E-2</v>
      </c>
      <c r="AF243" s="8">
        <f t="shared" si="33"/>
        <v>0.12543192094580227</v>
      </c>
      <c r="AG243" s="8">
        <f t="shared" si="34"/>
        <v>1.1543582413583342</v>
      </c>
      <c r="AH243" s="8">
        <f t="shared" si="35"/>
        <v>0.73288362409958396</v>
      </c>
      <c r="AI243" s="8">
        <f t="shared" si="36"/>
        <v>1.171148483635321</v>
      </c>
      <c r="AJ243" s="8">
        <f t="shared" si="37"/>
        <v>8.6556566402671953E-2</v>
      </c>
      <c r="AK243" s="8">
        <f t="shared" si="38"/>
        <v>0.9908036231091123</v>
      </c>
      <c r="AL243" s="8">
        <f t="shared" si="39"/>
        <v>4.801236887628229</v>
      </c>
    </row>
    <row r="244" spans="1:38">
      <c r="A244" t="s">
        <v>133</v>
      </c>
      <c r="B244" t="s">
        <v>754</v>
      </c>
      <c r="C244" t="s">
        <v>51</v>
      </c>
      <c r="D244">
        <v>1028</v>
      </c>
      <c r="E244" t="s">
        <v>755</v>
      </c>
      <c r="F244">
        <v>45588</v>
      </c>
      <c r="G244">
        <v>7956</v>
      </c>
      <c r="H244">
        <v>190694</v>
      </c>
      <c r="I244">
        <v>348729</v>
      </c>
      <c r="J244">
        <v>561100</v>
      </c>
      <c r="K244">
        <v>277081</v>
      </c>
      <c r="L244">
        <v>462938</v>
      </c>
      <c r="M244">
        <v>98162</v>
      </c>
      <c r="N244">
        <v>47715</v>
      </c>
      <c r="O244">
        <v>357192</v>
      </c>
      <c r="P244">
        <v>77360</v>
      </c>
      <c r="Q244">
        <v>18774</v>
      </c>
      <c r="R244">
        <v>462371</v>
      </c>
      <c r="S244">
        <v>540298</v>
      </c>
      <c r="T244">
        <v>921370</v>
      </c>
      <c r="U244">
        <v>875112</v>
      </c>
      <c r="V244">
        <v>742148</v>
      </c>
      <c r="W244">
        <v>526623</v>
      </c>
      <c r="X244">
        <v>37.85</v>
      </c>
      <c r="Y244">
        <v>4</v>
      </c>
      <c r="Z244" t="s">
        <v>39</v>
      </c>
      <c r="AA244" t="s">
        <v>677</v>
      </c>
      <c r="AB244" t="s">
        <v>34</v>
      </c>
      <c r="AC244" s="7">
        <f t="shared" si="30"/>
        <v>5.0752526326453593E-2</v>
      </c>
      <c r="AD244" s="8">
        <f t="shared" si="31"/>
        <v>4.1721291702937688E-2</v>
      </c>
      <c r="AE244" s="9">
        <f t="shared" si="32"/>
        <v>3.7448051151476709E-2</v>
      </c>
      <c r="AF244" s="8">
        <f t="shared" si="33"/>
        <v>0.10653917535843364</v>
      </c>
      <c r="AG244" s="8">
        <f t="shared" si="34"/>
        <v>1.7052996679610142</v>
      </c>
      <c r="AH244" s="8">
        <f t="shared" si="35"/>
        <v>0.50244527171494624</v>
      </c>
      <c r="AI244" s="8">
        <f t="shared" si="36"/>
        <v>1.2120413532697683</v>
      </c>
      <c r="AJ244" s="8">
        <f t="shared" si="37"/>
        <v>0.37848964042675581</v>
      </c>
      <c r="AK244" s="8">
        <f t="shared" si="38"/>
        <v>1.0385009753876564</v>
      </c>
      <c r="AL244" s="8">
        <f t="shared" si="39"/>
        <v>1.9426458303620546</v>
      </c>
    </row>
    <row r="245" spans="1:38">
      <c r="A245" t="s">
        <v>136</v>
      </c>
      <c r="B245" t="s">
        <v>756</v>
      </c>
      <c r="C245" t="s">
        <v>51</v>
      </c>
      <c r="D245">
        <v>230</v>
      </c>
      <c r="E245" t="s">
        <v>757</v>
      </c>
      <c r="F245">
        <v>64394.521999999997</v>
      </c>
      <c r="G245">
        <v>131107.565</v>
      </c>
      <c r="H245">
        <v>189197.87100000001</v>
      </c>
      <c r="I245">
        <v>574987.59400000004</v>
      </c>
      <c r="J245">
        <v>170533.44099999999</v>
      </c>
      <c r="K245">
        <v>2425.2080000000001</v>
      </c>
      <c r="L245">
        <v>173596.87100000001</v>
      </c>
      <c r="M245">
        <v>-3063.43</v>
      </c>
      <c r="N245">
        <v>106905.75</v>
      </c>
      <c r="O245">
        <v>1762586.9650000001</v>
      </c>
      <c r="P245">
        <v>1134838.51</v>
      </c>
      <c r="Q245">
        <v>18978.829000000002</v>
      </c>
      <c r="R245">
        <v>1262980.747</v>
      </c>
      <c r="S245">
        <v>1308435.3810000001</v>
      </c>
      <c r="T245">
        <v>1934115.7150000001</v>
      </c>
      <c r="U245">
        <v>1829583.3589999999</v>
      </c>
      <c r="V245">
        <v>1741789.1159999999</v>
      </c>
      <c r="W245">
        <v>1713797.1259999999</v>
      </c>
      <c r="X245">
        <v>29.73</v>
      </c>
      <c r="Y245">
        <v>4</v>
      </c>
      <c r="Z245" t="s">
        <v>39</v>
      </c>
      <c r="AA245" t="s">
        <v>677</v>
      </c>
      <c r="AB245" t="s">
        <v>34</v>
      </c>
      <c r="AC245" s="7">
        <f t="shared" si="30"/>
        <v>3.4218741049115022E-2</v>
      </c>
      <c r="AD245" s="8">
        <f t="shared" si="31"/>
        <v>0.69296532940373301</v>
      </c>
      <c r="AE245" s="9">
        <f t="shared" si="32"/>
        <v>1.4761382876416339E-2</v>
      </c>
      <c r="AF245" s="8">
        <f t="shared" si="33"/>
        <v>-1.5838917890184246E-3</v>
      </c>
      <c r="AG245" s="8">
        <f t="shared" si="34"/>
        <v>1.4781897089345064</v>
      </c>
      <c r="AH245" s="8">
        <f t="shared" si="35"/>
        <v>8.9755162865216676E-2</v>
      </c>
      <c r="AI245" s="8">
        <f t="shared" si="36"/>
        <v>0.98235319575546942</v>
      </c>
      <c r="AJ245" s="8">
        <f t="shared" si="37"/>
        <v>0.29728707002414279</v>
      </c>
      <c r="AK245" s="8">
        <f t="shared" si="38"/>
        <v>0.13033386552851095</v>
      </c>
      <c r="AL245" s="8">
        <f t="shared" si="39"/>
        <v>-61.760141736550217</v>
      </c>
    </row>
    <row r="246" spans="1:38">
      <c r="A246" t="s">
        <v>758</v>
      </c>
      <c r="B246" t="s">
        <v>759</v>
      </c>
      <c r="C246" t="s">
        <v>51</v>
      </c>
      <c r="D246">
        <v>154</v>
      </c>
      <c r="E246" t="s">
        <v>760</v>
      </c>
      <c r="F246">
        <v>14589.723</v>
      </c>
      <c r="G246">
        <v>25343.881000000001</v>
      </c>
      <c r="H246">
        <v>180469.81899999999</v>
      </c>
      <c r="I246">
        <v>33761.834000000003</v>
      </c>
      <c r="J246">
        <v>237628.05900000001</v>
      </c>
      <c r="K246">
        <v>12214.141</v>
      </c>
      <c r="L246">
        <v>196218.02799999999</v>
      </c>
      <c r="M246">
        <v>41410.031000000003</v>
      </c>
      <c r="N246">
        <v>17369.345000000001</v>
      </c>
      <c r="O246">
        <v>14064.434999999999</v>
      </c>
      <c r="P246">
        <v>19833.136999999999</v>
      </c>
      <c r="Q246">
        <v>2815.9520000000002</v>
      </c>
      <c r="R246">
        <v>113752.591</v>
      </c>
      <c r="S246">
        <v>216051.16500000001</v>
      </c>
      <c r="T246">
        <v>252254.34099999999</v>
      </c>
      <c r="U246">
        <v>139974.42499999999</v>
      </c>
      <c r="V246">
        <v>87964.294999999998</v>
      </c>
      <c r="W246">
        <v>56317.930999999997</v>
      </c>
      <c r="X246">
        <v>13.38</v>
      </c>
      <c r="Y246">
        <v>4</v>
      </c>
      <c r="Z246" t="s">
        <v>39</v>
      </c>
      <c r="AA246" t="s">
        <v>677</v>
      </c>
      <c r="AB246" t="s">
        <v>34</v>
      </c>
      <c r="AC246" s="7">
        <f t="shared" si="30"/>
        <v>7.4393946924331406E-2</v>
      </c>
      <c r="AD246" s="8">
        <f t="shared" si="31"/>
        <v>0.14043279447185572</v>
      </c>
      <c r="AE246" s="9">
        <f t="shared" si="32"/>
        <v>1.7076530808217964E-2</v>
      </c>
      <c r="AF246" s="8">
        <f t="shared" si="33"/>
        <v>0.16415983501350331</v>
      </c>
      <c r="AG246" s="8">
        <f t="shared" si="34"/>
        <v>1.167567603720165</v>
      </c>
      <c r="AH246" s="8">
        <f t="shared" si="35"/>
        <v>0.77785788431684511</v>
      </c>
      <c r="AI246" s="8">
        <f t="shared" si="36"/>
        <v>1.2110409090443006</v>
      </c>
      <c r="AJ246" s="8">
        <f t="shared" si="37"/>
        <v>0.13384044796279643</v>
      </c>
      <c r="AK246" s="8">
        <f t="shared" si="38"/>
        <v>1.0998693712204699</v>
      </c>
      <c r="AL246" s="8">
        <f t="shared" si="39"/>
        <v>4.3581184230458554</v>
      </c>
    </row>
    <row r="247" spans="1:38">
      <c r="A247" t="s">
        <v>761</v>
      </c>
      <c r="B247" t="s">
        <v>762</v>
      </c>
      <c r="C247" t="s">
        <v>65</v>
      </c>
      <c r="D247">
        <v>864</v>
      </c>
      <c r="E247" t="s">
        <v>763</v>
      </c>
      <c r="F247">
        <v>-3664.5819999999999</v>
      </c>
      <c r="G247">
        <v>5825.8829999999998</v>
      </c>
      <c r="H247">
        <v>175398.38200000001</v>
      </c>
      <c r="I247">
        <v>71391.497000000003</v>
      </c>
      <c r="J247">
        <v>157306.1</v>
      </c>
      <c r="K247">
        <v>30143.224999999999</v>
      </c>
      <c r="L247">
        <v>137124.867</v>
      </c>
      <c r="M247">
        <v>20181.233</v>
      </c>
      <c r="N247">
        <v>696.72699999999998</v>
      </c>
      <c r="O247">
        <v>57510.21</v>
      </c>
      <c r="P247">
        <v>0</v>
      </c>
      <c r="Q247">
        <v>5607.5429999999997</v>
      </c>
      <c r="R247">
        <v>84873.812000000005</v>
      </c>
      <c r="S247">
        <v>137124.867</v>
      </c>
      <c r="T247">
        <v>218059.636</v>
      </c>
      <c r="U247">
        <v>162932.90400000001</v>
      </c>
      <c r="V247">
        <v>137783.649</v>
      </c>
      <c r="W247">
        <v>127717.586</v>
      </c>
      <c r="X247">
        <v>32.74</v>
      </c>
      <c r="Y247">
        <v>4</v>
      </c>
      <c r="Z247" t="s">
        <v>62</v>
      </c>
      <c r="AA247" t="s">
        <v>677</v>
      </c>
      <c r="AB247" t="s">
        <v>34</v>
      </c>
      <c r="AC247" s="7">
        <f t="shared" si="30"/>
        <v>-1.9237027580645015E-2</v>
      </c>
      <c r="AD247" s="8">
        <f t="shared" si="31"/>
        <v>3.3215146762300231E-2</v>
      </c>
      <c r="AE247" s="9">
        <f t="shared" si="32"/>
        <v>5.0518706014462358E-2</v>
      </c>
      <c r="AF247" s="8">
        <f t="shared" si="33"/>
        <v>9.2549145592447007E-2</v>
      </c>
      <c r="AG247" s="8">
        <f t="shared" si="34"/>
        <v>1.5902267821342719</v>
      </c>
      <c r="AH247" s="8">
        <f t="shared" si="35"/>
        <v>0.62884112582853247</v>
      </c>
      <c r="AI247" s="8">
        <f t="shared" si="36"/>
        <v>1.1471741299847533</v>
      </c>
      <c r="AJ247" s="8">
        <f t="shared" si="37"/>
        <v>0.32739436930913707</v>
      </c>
      <c r="AK247" s="8">
        <f t="shared" si="38"/>
        <v>1.1471741299847533</v>
      </c>
      <c r="AL247" s="8">
        <f t="shared" si="39"/>
        <v>8.6911628243923449</v>
      </c>
    </row>
    <row r="248" spans="1:38">
      <c r="A248" t="s">
        <v>139</v>
      </c>
      <c r="B248" t="s">
        <v>764</v>
      </c>
      <c r="C248" t="s">
        <v>47</v>
      </c>
      <c r="D248">
        <v>364</v>
      </c>
      <c r="E248" t="s">
        <v>765</v>
      </c>
      <c r="F248">
        <v>2990.239</v>
      </c>
      <c r="G248">
        <v>5539.7250000000004</v>
      </c>
      <c r="H248">
        <v>163100.913</v>
      </c>
      <c r="I248">
        <v>24783.942999999999</v>
      </c>
      <c r="J248">
        <v>156209.63</v>
      </c>
      <c r="K248">
        <v>26331.547999999999</v>
      </c>
      <c r="L248">
        <v>131481.34899999999</v>
      </c>
      <c r="M248">
        <v>24728.280999999999</v>
      </c>
      <c r="N248">
        <v>3970.3229999999999</v>
      </c>
      <c r="O248">
        <v>10145.055</v>
      </c>
      <c r="P248">
        <v>10540.075000000001</v>
      </c>
      <c r="Q248">
        <v>2313.4929999999999</v>
      </c>
      <c r="R248">
        <v>105217.482</v>
      </c>
      <c r="S248">
        <v>142021.424</v>
      </c>
      <c r="T248">
        <v>167332.90100000001</v>
      </c>
      <c r="U248">
        <v>127605.258</v>
      </c>
      <c r="V248">
        <v>108113.019</v>
      </c>
      <c r="W248">
        <v>89997.232000000004</v>
      </c>
      <c r="X248">
        <v>14.81</v>
      </c>
      <c r="Y248">
        <v>4</v>
      </c>
      <c r="Z248" t="s">
        <v>32</v>
      </c>
      <c r="AA248" t="s">
        <v>677</v>
      </c>
      <c r="AB248" t="s">
        <v>34</v>
      </c>
      <c r="AC248" s="7">
        <f t="shared" si="30"/>
        <v>2.0277057469528723E-2</v>
      </c>
      <c r="AD248" s="8">
        <f t="shared" si="31"/>
        <v>3.3965015266346182E-2</v>
      </c>
      <c r="AE248" s="9">
        <f t="shared" si="32"/>
        <v>1.8714635470842924E-2</v>
      </c>
      <c r="AF248" s="8">
        <f t="shared" si="33"/>
        <v>0.1477789535245074</v>
      </c>
      <c r="AG248" s="8">
        <f t="shared" si="34"/>
        <v>1.1782229489545184</v>
      </c>
      <c r="AH248" s="8">
        <f t="shared" si="35"/>
        <v>0.78574714365347664</v>
      </c>
      <c r="AI248" s="8">
        <f t="shared" si="36"/>
        <v>1.1880744393640197</v>
      </c>
      <c r="AJ248" s="8">
        <f t="shared" si="37"/>
        <v>0.14811159581820671</v>
      </c>
      <c r="AK248" s="8">
        <f t="shared" si="38"/>
        <v>1.0999018711430468</v>
      </c>
      <c r="AL248" s="8">
        <f t="shared" si="39"/>
        <v>6.5957238596568848</v>
      </c>
    </row>
    <row r="249" spans="1:38">
      <c r="A249" t="s">
        <v>145</v>
      </c>
      <c r="B249" t="s">
        <v>766</v>
      </c>
      <c r="C249" t="s">
        <v>69</v>
      </c>
      <c r="D249">
        <v>427</v>
      </c>
      <c r="E249" t="s">
        <v>767</v>
      </c>
      <c r="F249">
        <v>461.608</v>
      </c>
      <c r="G249">
        <v>3650.107</v>
      </c>
      <c r="H249">
        <v>150181.196</v>
      </c>
      <c r="I249">
        <v>51416.858</v>
      </c>
      <c r="J249">
        <v>59840.921999999999</v>
      </c>
      <c r="K249">
        <v>0</v>
      </c>
      <c r="L249">
        <v>91473.845000000001</v>
      </c>
      <c r="M249">
        <v>-31632.922999999999</v>
      </c>
      <c r="N249">
        <v>1860.173</v>
      </c>
      <c r="O249">
        <v>94464.46</v>
      </c>
      <c r="P249">
        <v>10200.623</v>
      </c>
      <c r="Q249">
        <v>905.08600000000001</v>
      </c>
      <c r="R249">
        <v>56434.222999999998</v>
      </c>
      <c r="S249">
        <v>101674.46799999999</v>
      </c>
      <c r="T249">
        <v>154540.37400000001</v>
      </c>
      <c r="U249">
        <v>73890.792000000001</v>
      </c>
      <c r="V249">
        <v>68632.44</v>
      </c>
      <c r="W249">
        <v>68794.732000000004</v>
      </c>
      <c r="X249">
        <v>33.270000000000003</v>
      </c>
      <c r="Y249">
        <v>4</v>
      </c>
      <c r="Z249" t="s">
        <v>39</v>
      </c>
      <c r="AA249" t="s">
        <v>677</v>
      </c>
      <c r="AB249" t="s">
        <v>34</v>
      </c>
      <c r="AC249" s="7">
        <f t="shared" si="30"/>
        <v>4.041550092162117E-3</v>
      </c>
      <c r="AD249" s="8">
        <f t="shared" si="31"/>
        <v>2.430468725259053E-2</v>
      </c>
      <c r="AE249" s="9">
        <f t="shared" si="32"/>
        <v>1.144890890280029E-2</v>
      </c>
      <c r="AF249" s="8">
        <f t="shared" si="33"/>
        <v>-0.20469034842636008</v>
      </c>
      <c r="AG249" s="8">
        <f t="shared" si="34"/>
        <v>1.5199526197668427</v>
      </c>
      <c r="AH249" s="8">
        <f t="shared" si="35"/>
        <v>0.59190904378165921</v>
      </c>
      <c r="AI249" s="8">
        <f t="shared" si="36"/>
        <v>0.65418614468430836</v>
      </c>
      <c r="AJ249" s="8">
        <f t="shared" si="37"/>
        <v>0.33270825396087106</v>
      </c>
      <c r="AK249" s="8">
        <f t="shared" si="38"/>
        <v>0.58855407042798591</v>
      </c>
      <c r="AL249" s="8">
        <f t="shared" si="39"/>
        <v>-4.7476231014124117</v>
      </c>
    </row>
    <row r="250" spans="1:38">
      <c r="A250" t="s">
        <v>148</v>
      </c>
      <c r="B250" t="s">
        <v>768</v>
      </c>
      <c r="C250" t="s">
        <v>69</v>
      </c>
      <c r="D250">
        <v>30</v>
      </c>
      <c r="E250" t="s">
        <v>769</v>
      </c>
      <c r="F250">
        <v>-1846</v>
      </c>
      <c r="G250">
        <v>23597</v>
      </c>
      <c r="H250">
        <v>144434</v>
      </c>
      <c r="I250">
        <v>66516</v>
      </c>
      <c r="J250">
        <v>163364</v>
      </c>
      <c r="K250">
        <v>255</v>
      </c>
      <c r="L250">
        <v>168593</v>
      </c>
      <c r="M250">
        <v>-5229</v>
      </c>
      <c r="N250">
        <v>13393</v>
      </c>
      <c r="O250">
        <v>99667</v>
      </c>
      <c r="P250">
        <v>16549</v>
      </c>
      <c r="Q250">
        <v>7333</v>
      </c>
      <c r="R250">
        <v>130636</v>
      </c>
      <c r="S250">
        <v>185142</v>
      </c>
      <c r="T250">
        <v>264071</v>
      </c>
      <c r="U250">
        <v>212878</v>
      </c>
      <c r="V250">
        <v>154320</v>
      </c>
      <c r="W250">
        <v>103602</v>
      </c>
      <c r="X250">
        <v>25.19</v>
      </c>
      <c r="Y250">
        <v>4</v>
      </c>
      <c r="Z250" t="s">
        <v>39</v>
      </c>
      <c r="AA250" t="s">
        <v>677</v>
      </c>
      <c r="AB250" t="s">
        <v>34</v>
      </c>
      <c r="AC250" s="7">
        <f t="shared" si="30"/>
        <v>-7.7408695688637565E-3</v>
      </c>
      <c r="AD250" s="8">
        <f t="shared" si="31"/>
        <v>0.16337565947076174</v>
      </c>
      <c r="AE250" s="9">
        <f t="shared" si="32"/>
        <v>4.6444020799422378E-2</v>
      </c>
      <c r="AF250" s="8">
        <f t="shared" si="33"/>
        <v>-1.9801492780350739E-2</v>
      </c>
      <c r="AG250" s="8">
        <f t="shared" si="34"/>
        <v>1.4263160168951399</v>
      </c>
      <c r="AH250" s="8">
        <f t="shared" si="35"/>
        <v>0.63843814731644144</v>
      </c>
      <c r="AI250" s="8">
        <f t="shared" si="36"/>
        <v>0.96898447741009408</v>
      </c>
      <c r="AJ250" s="8">
        <f t="shared" si="37"/>
        <v>0.2518868031703595</v>
      </c>
      <c r="AK250" s="8">
        <f t="shared" si="38"/>
        <v>0.88237136900325153</v>
      </c>
      <c r="AL250" s="8">
        <f t="shared" si="39"/>
        <v>-27.621724995218973</v>
      </c>
    </row>
    <row r="251" spans="1:38">
      <c r="A251" t="s">
        <v>770</v>
      </c>
      <c r="B251" t="s">
        <v>771</v>
      </c>
      <c r="C251" t="s">
        <v>131</v>
      </c>
      <c r="D251">
        <v>167</v>
      </c>
      <c r="E251" t="s">
        <v>772</v>
      </c>
      <c r="F251">
        <v>33628.646000000001</v>
      </c>
      <c r="G251">
        <v>60810.184000000001</v>
      </c>
      <c r="H251">
        <v>141723.58499999999</v>
      </c>
      <c r="I251">
        <v>136366.981</v>
      </c>
      <c r="J251">
        <v>105833.552</v>
      </c>
      <c r="K251">
        <v>1463.385</v>
      </c>
      <c r="L251">
        <v>80447.94</v>
      </c>
      <c r="M251">
        <v>25385.612000000001</v>
      </c>
      <c r="N251">
        <v>48915.576999999997</v>
      </c>
      <c r="O251">
        <v>139924.83600000001</v>
      </c>
      <c r="P251">
        <v>35647.936999999998</v>
      </c>
      <c r="Q251">
        <v>5034.88</v>
      </c>
      <c r="R251">
        <v>88407.490999999995</v>
      </c>
      <c r="S251">
        <v>116095.87699999999</v>
      </c>
      <c r="T251">
        <v>254165.04300000001</v>
      </c>
      <c r="U251">
        <v>202063.64499999999</v>
      </c>
      <c r="V251">
        <v>156870.01199999999</v>
      </c>
      <c r="W251">
        <v>155154.82500000001</v>
      </c>
      <c r="X251">
        <v>53.65</v>
      </c>
      <c r="Y251">
        <v>4</v>
      </c>
      <c r="Z251" t="s">
        <v>32</v>
      </c>
      <c r="AA251" t="s">
        <v>677</v>
      </c>
      <c r="AB251" t="s">
        <v>34</v>
      </c>
      <c r="AC251" s="7">
        <f t="shared" si="30"/>
        <v>0.14742012891569853</v>
      </c>
      <c r="AD251" s="8">
        <f t="shared" si="31"/>
        <v>0.42907596502021877</v>
      </c>
      <c r="AE251" s="9">
        <f t="shared" si="32"/>
        <v>4.924006923934867E-2</v>
      </c>
      <c r="AF251" s="8">
        <f t="shared" si="33"/>
        <v>9.9878455748141581E-2</v>
      </c>
      <c r="AG251" s="8">
        <f t="shared" si="34"/>
        <v>2.1892684698871778</v>
      </c>
      <c r="AH251" s="8">
        <f t="shared" si="35"/>
        <v>0.31651850722839175</v>
      </c>
      <c r="AI251" s="8">
        <f t="shared" si="36"/>
        <v>1.3155532882507619</v>
      </c>
      <c r="AJ251" s="8">
        <f t="shared" si="37"/>
        <v>0.53652925433966936</v>
      </c>
      <c r="AK251" s="8">
        <f t="shared" si="38"/>
        <v>0.91160474200130293</v>
      </c>
      <c r="AL251" s="8">
        <f t="shared" si="39"/>
        <v>5.5828311328480078</v>
      </c>
    </row>
    <row r="252" spans="1:38">
      <c r="A252" t="s">
        <v>151</v>
      </c>
      <c r="B252" t="s">
        <v>773</v>
      </c>
      <c r="C252" t="s">
        <v>69</v>
      </c>
      <c r="D252">
        <v>132</v>
      </c>
      <c r="E252" t="s">
        <v>774</v>
      </c>
      <c r="F252">
        <v>-974.63699999999994</v>
      </c>
      <c r="G252">
        <v>9801.4699999999993</v>
      </c>
      <c r="H252">
        <v>134243.78700000001</v>
      </c>
      <c r="I252">
        <v>44038.294999999998</v>
      </c>
      <c r="J252">
        <v>97723.46</v>
      </c>
      <c r="K252">
        <v>9418.1440000000002</v>
      </c>
      <c r="L252">
        <v>65159.603999999999</v>
      </c>
      <c r="M252">
        <v>32563.856</v>
      </c>
      <c r="N252">
        <v>4397.3630000000003</v>
      </c>
      <c r="O252">
        <v>52282.195</v>
      </c>
      <c r="P252">
        <v>37873.680999999997</v>
      </c>
      <c r="Q252">
        <v>3234.4389999999999</v>
      </c>
      <c r="R252">
        <v>62135.241999999998</v>
      </c>
      <c r="S252">
        <v>103033.285</v>
      </c>
      <c r="T252">
        <v>150855.75099999999</v>
      </c>
      <c r="U252">
        <v>91405.187000000005</v>
      </c>
      <c r="V252">
        <v>88260.267000000007</v>
      </c>
      <c r="W252">
        <v>71432.649000000005</v>
      </c>
      <c r="X252">
        <v>29.19</v>
      </c>
      <c r="Y252">
        <v>4</v>
      </c>
      <c r="Z252" t="s">
        <v>39</v>
      </c>
      <c r="AA252" t="s">
        <v>677</v>
      </c>
      <c r="AB252" t="s">
        <v>34</v>
      </c>
      <c r="AC252" s="7">
        <f t="shared" si="30"/>
        <v>-8.0461754011701223E-3</v>
      </c>
      <c r="AD252" s="8">
        <f t="shared" si="31"/>
        <v>7.3012466491279765E-2</v>
      </c>
      <c r="AE252" s="9">
        <f t="shared" si="32"/>
        <v>3.9165318705058134E-2</v>
      </c>
      <c r="AF252" s="8">
        <f t="shared" si="33"/>
        <v>0.21586088554224228</v>
      </c>
      <c r="AG252" s="8">
        <f t="shared" si="34"/>
        <v>1.4641457952155945</v>
      </c>
      <c r="AH252" s="8">
        <f t="shared" si="35"/>
        <v>0.43193317833802708</v>
      </c>
      <c r="AI252" s="8">
        <f t="shared" si="36"/>
        <v>1.4997552778251999</v>
      </c>
      <c r="AJ252" s="8">
        <f t="shared" si="37"/>
        <v>0.2919232094771117</v>
      </c>
      <c r="AK252" s="8">
        <f t="shared" si="38"/>
        <v>0.94846495479591864</v>
      </c>
      <c r="AL252" s="8">
        <f t="shared" si="39"/>
        <v>4.1224782163389992</v>
      </c>
    </row>
    <row r="253" spans="1:38">
      <c r="A253" t="s">
        <v>154</v>
      </c>
      <c r="B253" t="s">
        <v>775</v>
      </c>
      <c r="C253" t="s">
        <v>508</v>
      </c>
      <c r="D253">
        <v>194</v>
      </c>
      <c r="E253" t="s">
        <v>776</v>
      </c>
      <c r="F253">
        <v>3769.8180000000002</v>
      </c>
      <c r="G253">
        <v>11508.085999999999</v>
      </c>
      <c r="H253">
        <v>131961.182</v>
      </c>
      <c r="I253">
        <v>34436.565999999999</v>
      </c>
      <c r="J253">
        <v>149363.24900000001</v>
      </c>
      <c r="K253">
        <v>45424.266000000003</v>
      </c>
      <c r="L253">
        <v>105398.053</v>
      </c>
      <c r="M253">
        <v>43965.196000000004</v>
      </c>
      <c r="N253">
        <v>5938.152</v>
      </c>
      <c r="O253">
        <v>5545.1289999999999</v>
      </c>
      <c r="P253">
        <v>12465.228999999999</v>
      </c>
      <c r="Q253">
        <v>5283.8090000000002</v>
      </c>
      <c r="R253">
        <v>81634.216</v>
      </c>
      <c r="S253">
        <v>117863.28200000001</v>
      </c>
      <c r="T253">
        <v>157065.807</v>
      </c>
      <c r="U253">
        <v>114461.34600000001</v>
      </c>
      <c r="V253">
        <v>87610.611000000004</v>
      </c>
      <c r="W253">
        <v>73673.255000000005</v>
      </c>
      <c r="X253">
        <v>21.92</v>
      </c>
      <c r="Y253">
        <v>4</v>
      </c>
      <c r="Z253" t="s">
        <v>62</v>
      </c>
      <c r="AA253" t="s">
        <v>677</v>
      </c>
      <c r="AB253" t="s">
        <v>34</v>
      </c>
      <c r="AC253" s="7">
        <f t="shared" si="30"/>
        <v>2.7767521283589641E-2</v>
      </c>
      <c r="AD253" s="8">
        <f t="shared" si="31"/>
        <v>8.7208115489599045E-2</v>
      </c>
      <c r="AE253" s="9">
        <f t="shared" si="32"/>
        <v>5.2971180621022122E-2</v>
      </c>
      <c r="AF253" s="8">
        <f t="shared" si="33"/>
        <v>0.27991576804491891</v>
      </c>
      <c r="AG253" s="8">
        <f t="shared" si="34"/>
        <v>1.3326101592860786</v>
      </c>
      <c r="AH253" s="8">
        <f t="shared" si="35"/>
        <v>0.67104390836638306</v>
      </c>
      <c r="AI253" s="8">
        <f t="shared" si="36"/>
        <v>1.4171348022908925</v>
      </c>
      <c r="AJ253" s="8">
        <f t="shared" si="37"/>
        <v>0.21924928574683347</v>
      </c>
      <c r="AK253" s="8">
        <f t="shared" si="38"/>
        <v>1.2672585258571027</v>
      </c>
      <c r="AL253" s="8">
        <f t="shared" si="39"/>
        <v>3.0014919528619863</v>
      </c>
    </row>
    <row r="254" spans="1:38">
      <c r="A254" t="s">
        <v>777</v>
      </c>
      <c r="B254" t="s">
        <v>778</v>
      </c>
      <c r="C254" t="s">
        <v>65</v>
      </c>
      <c r="D254">
        <v>87</v>
      </c>
      <c r="E254" t="s">
        <v>779</v>
      </c>
      <c r="F254">
        <v>-1277.432</v>
      </c>
      <c r="G254">
        <v>-960.03700000000003</v>
      </c>
      <c r="H254">
        <v>126473.947</v>
      </c>
      <c r="I254">
        <v>36766.921000000002</v>
      </c>
      <c r="J254">
        <v>133615.505</v>
      </c>
      <c r="K254">
        <v>4194.1409999999996</v>
      </c>
      <c r="L254">
        <v>52968.737000000001</v>
      </c>
      <c r="M254">
        <v>80646.767999999996</v>
      </c>
      <c r="N254">
        <v>-104.44</v>
      </c>
      <c r="O254">
        <v>5447.1769999999997</v>
      </c>
      <c r="P254">
        <v>46965.680999999997</v>
      </c>
      <c r="Q254">
        <v>9.5109999999999992</v>
      </c>
      <c r="R254">
        <v>103956.223</v>
      </c>
      <c r="S254">
        <v>99934.418000000005</v>
      </c>
      <c r="T254">
        <v>140964.07500000001</v>
      </c>
      <c r="U254">
        <v>144836.01800000001</v>
      </c>
      <c r="V254">
        <v>98044.065000000002</v>
      </c>
      <c r="W254">
        <v>115184.30499999999</v>
      </c>
      <c r="X254">
        <v>26.08</v>
      </c>
      <c r="Y254">
        <v>4</v>
      </c>
      <c r="Z254" t="s">
        <v>62</v>
      </c>
      <c r="AA254" t="s">
        <v>677</v>
      </c>
      <c r="AB254" t="s">
        <v>34</v>
      </c>
      <c r="AC254" s="7">
        <f t="shared" si="30"/>
        <v>-8.9393392884585237E-3</v>
      </c>
      <c r="AD254" s="8">
        <f t="shared" si="31"/>
        <v>-7.5907886388648883E-3</v>
      </c>
      <c r="AE254" s="9">
        <f t="shared" si="32"/>
        <v>9.3295111078688491E-5</v>
      </c>
      <c r="AF254" s="8">
        <f t="shared" si="33"/>
        <v>0.57210865959997248</v>
      </c>
      <c r="AG254" s="8">
        <f t="shared" si="34"/>
        <v>1.4105658272808475</v>
      </c>
      <c r="AH254" s="8">
        <f t="shared" si="35"/>
        <v>0.37576054040719237</v>
      </c>
      <c r="AI254" s="8">
        <f t="shared" si="36"/>
        <v>2.5225352267697074</v>
      </c>
      <c r="AJ254" s="8">
        <f t="shared" si="37"/>
        <v>0.2608247597836541</v>
      </c>
      <c r="AK254" s="8">
        <f t="shared" si="38"/>
        <v>1.3370319022621415</v>
      </c>
      <c r="AL254" s="8">
        <f t="shared" si="39"/>
        <v>1.5682456983273032</v>
      </c>
    </row>
    <row r="255" spans="1:38">
      <c r="A255" t="s">
        <v>157</v>
      </c>
      <c r="B255" t="s">
        <v>780</v>
      </c>
      <c r="C255" t="s">
        <v>69</v>
      </c>
      <c r="D255">
        <v>32</v>
      </c>
      <c r="E255" t="s">
        <v>781</v>
      </c>
      <c r="F255">
        <v>-69369</v>
      </c>
      <c r="G255">
        <v>87856</v>
      </c>
      <c r="H255">
        <v>124458</v>
      </c>
      <c r="I255">
        <v>-152722</v>
      </c>
      <c r="J255">
        <v>473474</v>
      </c>
      <c r="K255">
        <v>0</v>
      </c>
      <c r="L255">
        <v>92076</v>
      </c>
      <c r="M255">
        <v>381398</v>
      </c>
      <c r="N255">
        <v>-54534</v>
      </c>
      <c r="O255">
        <v>1640257</v>
      </c>
      <c r="P255">
        <v>2087907</v>
      </c>
      <c r="Q255">
        <v>151075</v>
      </c>
      <c r="R255">
        <v>2255765</v>
      </c>
      <c r="S255">
        <v>2179983</v>
      </c>
      <c r="T255">
        <v>2114948</v>
      </c>
      <c r="U255">
        <v>2192832</v>
      </c>
      <c r="V255">
        <v>2198698</v>
      </c>
      <c r="W255">
        <v>2202031</v>
      </c>
      <c r="X255">
        <v>-7.22</v>
      </c>
      <c r="Y255">
        <v>4</v>
      </c>
      <c r="Z255" t="s">
        <v>39</v>
      </c>
      <c r="AA255" t="s">
        <v>677</v>
      </c>
      <c r="AB255" t="s">
        <v>34</v>
      </c>
      <c r="AC255" s="7">
        <f t="shared" si="30"/>
        <v>-3.2206380084405427E-2</v>
      </c>
      <c r="AD255" s="8">
        <f t="shared" si="31"/>
        <v>0.70590882064632243</v>
      </c>
      <c r="AE255" s="9">
        <f t="shared" si="32"/>
        <v>6.8117034601604967E-2</v>
      </c>
      <c r="AF255" s="8">
        <f t="shared" si="33"/>
        <v>0.18033445739564283</v>
      </c>
      <c r="AG255" s="8">
        <f t="shared" si="34"/>
        <v>0.97016719855154832</v>
      </c>
      <c r="AH255" s="8">
        <f t="shared" si="35"/>
        <v>4.3535822157329637E-2</v>
      </c>
      <c r="AI255" s="8">
        <f t="shared" si="36"/>
        <v>5.1422086102784652</v>
      </c>
      <c r="AJ255" s="8">
        <f t="shared" si="37"/>
        <v>-7.2210758846080372E-2</v>
      </c>
      <c r="AK255" s="8">
        <f t="shared" si="38"/>
        <v>0.21719160195285928</v>
      </c>
      <c r="AL255" s="8">
        <f t="shared" si="39"/>
        <v>0.32632053655236787</v>
      </c>
    </row>
    <row r="256" spans="1:38">
      <c r="A256" t="s">
        <v>782</v>
      </c>
      <c r="B256" t="s">
        <v>783</v>
      </c>
      <c r="C256" t="s">
        <v>47</v>
      </c>
      <c r="D256">
        <v>116</v>
      </c>
      <c r="E256" t="s">
        <v>784</v>
      </c>
      <c r="F256">
        <v>4488.2780000000002</v>
      </c>
      <c r="G256">
        <v>9094.1489999999994</v>
      </c>
      <c r="H256">
        <v>123961.186</v>
      </c>
      <c r="I256">
        <v>16892.109</v>
      </c>
      <c r="J256">
        <v>195064.87100000001</v>
      </c>
      <c r="K256">
        <v>93334.623999999996</v>
      </c>
      <c r="L256">
        <v>178082.78</v>
      </c>
      <c r="M256">
        <v>16982.091</v>
      </c>
      <c r="N256">
        <v>5984.116</v>
      </c>
      <c r="O256">
        <v>7804.2650000000003</v>
      </c>
      <c r="P256">
        <v>7486.1379999999999</v>
      </c>
      <c r="Q256">
        <v>1284.2650000000001</v>
      </c>
      <c r="R256">
        <v>138953.46299999999</v>
      </c>
      <c r="S256">
        <v>185568.91800000001</v>
      </c>
      <c r="T256">
        <v>204111.11600000001</v>
      </c>
      <c r="U256">
        <v>152890.736</v>
      </c>
      <c r="V256">
        <v>105810.531</v>
      </c>
      <c r="W256">
        <v>99859.606</v>
      </c>
      <c r="X256">
        <v>8.2799999999999994</v>
      </c>
      <c r="Y256">
        <v>4</v>
      </c>
      <c r="Z256" t="s">
        <v>32</v>
      </c>
      <c r="AA256" t="s">
        <v>677</v>
      </c>
      <c r="AB256" t="s">
        <v>34</v>
      </c>
      <c r="AC256" s="7">
        <f t="shared" si="30"/>
        <v>2.514428412545042E-2</v>
      </c>
      <c r="AD256" s="8">
        <f t="shared" si="31"/>
        <v>7.3362875053486501E-2</v>
      </c>
      <c r="AE256" s="9">
        <f t="shared" si="32"/>
        <v>7.9148007976682522E-3</v>
      </c>
      <c r="AF256" s="8">
        <f t="shared" si="33"/>
        <v>8.3200226096456206E-2</v>
      </c>
      <c r="AG256" s="8">
        <f t="shared" si="34"/>
        <v>1.0999208175584663</v>
      </c>
      <c r="AH256" s="8">
        <f t="shared" si="35"/>
        <v>0.87247957627158335</v>
      </c>
      <c r="AI256" s="8">
        <f t="shared" si="36"/>
        <v>1.0953606575548742</v>
      </c>
      <c r="AJ256" s="8">
        <f t="shared" si="37"/>
        <v>8.2759377985077501E-2</v>
      </c>
      <c r="AK256" s="8">
        <f t="shared" si="38"/>
        <v>1.0511721095447677</v>
      </c>
      <c r="AL256" s="8">
        <f t="shared" si="39"/>
        <v>7.2995243047513991</v>
      </c>
    </row>
    <row r="257" spans="1:38">
      <c r="A257" t="s">
        <v>163</v>
      </c>
      <c r="B257" t="s">
        <v>785</v>
      </c>
      <c r="C257" t="s">
        <v>65</v>
      </c>
      <c r="D257">
        <v>119</v>
      </c>
      <c r="E257" t="s">
        <v>786</v>
      </c>
      <c r="F257">
        <v>26078</v>
      </c>
      <c r="G257">
        <v>48038</v>
      </c>
      <c r="H257">
        <v>121203</v>
      </c>
      <c r="I257">
        <v>616170</v>
      </c>
      <c r="J257">
        <v>644073</v>
      </c>
      <c r="K257">
        <v>347649</v>
      </c>
      <c r="L257">
        <v>118803</v>
      </c>
      <c r="M257">
        <v>525270</v>
      </c>
      <c r="N257">
        <v>42244</v>
      </c>
      <c r="O257">
        <v>180408</v>
      </c>
      <c r="P257">
        <v>36975</v>
      </c>
      <c r="Q257">
        <v>1630</v>
      </c>
      <c r="R257">
        <v>165011</v>
      </c>
      <c r="S257">
        <v>155778</v>
      </c>
      <c r="T257">
        <v>824481</v>
      </c>
      <c r="U257">
        <v>805752</v>
      </c>
      <c r="V257">
        <v>622806</v>
      </c>
      <c r="W257">
        <v>625282</v>
      </c>
      <c r="X257">
        <v>74.73</v>
      </c>
      <c r="Y257">
        <v>4</v>
      </c>
      <c r="Z257" t="s">
        <v>62</v>
      </c>
      <c r="AA257" t="s">
        <v>677</v>
      </c>
      <c r="AB257" t="s">
        <v>34</v>
      </c>
      <c r="AC257" s="7">
        <f t="shared" si="30"/>
        <v>3.1992972783645039E-2</v>
      </c>
      <c r="AD257" s="8">
        <f t="shared" si="31"/>
        <v>0.39634332483519386</v>
      </c>
      <c r="AE257" s="9">
        <f t="shared" si="32"/>
        <v>1.0162443225921088E-2</v>
      </c>
      <c r="AF257" s="8">
        <f t="shared" si="33"/>
        <v>0.63709169768618079</v>
      </c>
      <c r="AG257" s="8">
        <f t="shared" si="34"/>
        <v>5.2926664869236992</v>
      </c>
      <c r="AH257" s="8">
        <f t="shared" si="35"/>
        <v>0.14409428476823602</v>
      </c>
      <c r="AI257" s="8">
        <f t="shared" si="36"/>
        <v>5.421352996136461</v>
      </c>
      <c r="AJ257" s="8">
        <f t="shared" si="37"/>
        <v>0.74734287388065945</v>
      </c>
      <c r="AK257" s="8">
        <f t="shared" si="38"/>
        <v>4.1345568693910568</v>
      </c>
      <c r="AL257" s="8">
        <f t="shared" si="39"/>
        <v>0.23074418870295277</v>
      </c>
    </row>
    <row r="258" spans="1:38">
      <c r="A258" t="s">
        <v>787</v>
      </c>
      <c r="B258" t="s">
        <v>788</v>
      </c>
      <c r="C258" t="s">
        <v>65</v>
      </c>
      <c r="D258">
        <v>74</v>
      </c>
      <c r="E258" t="s">
        <v>789</v>
      </c>
      <c r="F258">
        <v>9151</v>
      </c>
      <c r="G258">
        <v>9654</v>
      </c>
      <c r="H258">
        <v>116221</v>
      </c>
      <c r="I258">
        <v>118871</v>
      </c>
      <c r="J258">
        <v>291177</v>
      </c>
      <c r="K258">
        <v>45096</v>
      </c>
      <c r="L258">
        <v>213611</v>
      </c>
      <c r="M258">
        <v>77566</v>
      </c>
      <c r="N258">
        <v>17187</v>
      </c>
      <c r="O258">
        <v>42045</v>
      </c>
      <c r="P258">
        <v>2125</v>
      </c>
      <c r="Q258">
        <v>462</v>
      </c>
      <c r="R258">
        <v>72333</v>
      </c>
      <c r="S258">
        <v>215736</v>
      </c>
      <c r="T258">
        <v>336106</v>
      </c>
      <c r="U258">
        <v>183942</v>
      </c>
      <c r="V258">
        <v>159868</v>
      </c>
      <c r="W258">
        <v>176662</v>
      </c>
      <c r="X258">
        <v>35.369999999999997</v>
      </c>
      <c r="Y258">
        <v>4</v>
      </c>
      <c r="Z258" t="s">
        <v>62</v>
      </c>
      <c r="AA258" t="s">
        <v>677</v>
      </c>
      <c r="AB258" t="s">
        <v>34</v>
      </c>
      <c r="AC258" s="7">
        <f t="shared" si="30"/>
        <v>3.5192905270282744E-2</v>
      </c>
      <c r="AD258" s="8">
        <f t="shared" si="31"/>
        <v>8.3065883102021149E-2</v>
      </c>
      <c r="AE258" s="9">
        <f t="shared" si="32"/>
        <v>3.2075648542536682E-3</v>
      </c>
      <c r="AF258" s="8">
        <f t="shared" si="33"/>
        <v>0.2307783853903233</v>
      </c>
      <c r="AG258" s="8">
        <f t="shared" si="34"/>
        <v>1.557950457967145</v>
      </c>
      <c r="AH258" s="8">
        <f t="shared" si="35"/>
        <v>0.63554652401325773</v>
      </c>
      <c r="AI258" s="8">
        <f t="shared" si="36"/>
        <v>1.363118004222629</v>
      </c>
      <c r="AJ258" s="8">
        <f t="shared" si="37"/>
        <v>0.3536711632639703</v>
      </c>
      <c r="AK258" s="8">
        <f t="shared" si="38"/>
        <v>1.3496912893536546</v>
      </c>
      <c r="AL258" s="8">
        <f t="shared" si="39"/>
        <v>1.4983497924348297</v>
      </c>
    </row>
    <row r="259" spans="1:38">
      <c r="A259" t="s">
        <v>166</v>
      </c>
      <c r="B259" t="s">
        <v>790</v>
      </c>
      <c r="C259" t="s">
        <v>65</v>
      </c>
      <c r="D259">
        <v>79</v>
      </c>
      <c r="E259" t="s">
        <v>791</v>
      </c>
      <c r="F259">
        <v>13229.244000000001</v>
      </c>
      <c r="G259">
        <v>17694.416000000001</v>
      </c>
      <c r="H259">
        <v>113811.545</v>
      </c>
      <c r="I259">
        <v>109286.284</v>
      </c>
      <c r="J259">
        <v>93634.654999999999</v>
      </c>
      <c r="K259">
        <v>12985.388999999999</v>
      </c>
      <c r="L259">
        <v>40338.016000000003</v>
      </c>
      <c r="M259">
        <v>53296.639000000003</v>
      </c>
      <c r="N259">
        <v>13897.745999999999</v>
      </c>
      <c r="O259">
        <v>70970.38</v>
      </c>
      <c r="P259">
        <v>12688.138000000001</v>
      </c>
      <c r="Q259">
        <v>2974.009</v>
      </c>
      <c r="R259">
        <v>42505.135999999999</v>
      </c>
      <c r="S259">
        <v>53026.154000000002</v>
      </c>
      <c r="T259">
        <v>165086.67499999999</v>
      </c>
      <c r="U259">
        <v>142482.245</v>
      </c>
      <c r="V259">
        <v>129636.52499999999</v>
      </c>
      <c r="W259">
        <v>118441.12699999999</v>
      </c>
      <c r="X259">
        <v>66.2</v>
      </c>
      <c r="Y259">
        <v>4</v>
      </c>
      <c r="Z259" t="s">
        <v>62</v>
      </c>
      <c r="AA259" t="s">
        <v>677</v>
      </c>
      <c r="AB259" t="s">
        <v>34</v>
      </c>
      <c r="AC259" s="7">
        <f t="shared" ref="AC259:AC322" si="40">F259/((T259+U259)/2)</f>
        <v>8.6024582717915715E-2</v>
      </c>
      <c r="AD259" s="8">
        <f t="shared" ref="AD259:AD322" si="41">G259/H259</f>
        <v>0.15547118703994398</v>
      </c>
      <c r="AE259" s="9">
        <f t="shared" ref="AE259:AE322" si="42">Q259/((R259+S259)/2)</f>
        <v>6.2262511057895265E-2</v>
      </c>
      <c r="AF259" s="8">
        <f t="shared" ref="AF259:AF322" si="43">M259/T259</f>
        <v>0.32284034432215686</v>
      </c>
      <c r="AG259" s="8">
        <f t="shared" ref="AG259:AG322" si="44">T259/S259</f>
        <v>3.1133065958357076</v>
      </c>
      <c r="AH259" s="8">
        <f t="shared" ref="AH259:AH322" si="45">L259/T259</f>
        <v>0.24434446935223578</v>
      </c>
      <c r="AI259" s="8">
        <f t="shared" ref="AI259:AI322" si="46">J259/L259</f>
        <v>2.3212508765924431</v>
      </c>
      <c r="AJ259" s="8">
        <f t="shared" ref="AJ259:AJ322" si="47">I259/T259</f>
        <v>0.66199336802924891</v>
      </c>
      <c r="AK259" s="8">
        <f t="shared" ref="AK259:AK322" si="48">J259/S259</f>
        <v>1.7658202214703331</v>
      </c>
      <c r="AL259" s="8">
        <f t="shared" ref="AL259:AL322" si="49">H259/M259</f>
        <v>2.1354356885431365</v>
      </c>
    </row>
    <row r="260" spans="1:38">
      <c r="A260" t="s">
        <v>792</v>
      </c>
      <c r="B260" t="s">
        <v>793</v>
      </c>
      <c r="C260" t="s">
        <v>37</v>
      </c>
      <c r="D260">
        <v>249</v>
      </c>
      <c r="E260" t="s">
        <v>794</v>
      </c>
      <c r="F260">
        <v>3590.6460000000002</v>
      </c>
      <c r="G260">
        <v>10895.625</v>
      </c>
      <c r="H260">
        <v>111468.70299999999</v>
      </c>
      <c r="I260">
        <v>21398.498</v>
      </c>
      <c r="J260">
        <v>151526.408</v>
      </c>
      <c r="K260">
        <v>55290.578999999998</v>
      </c>
      <c r="L260">
        <v>139868.59599999999</v>
      </c>
      <c r="M260">
        <v>11657.812</v>
      </c>
      <c r="N260">
        <v>6655.7190000000001</v>
      </c>
      <c r="O260">
        <v>25688.476999999999</v>
      </c>
      <c r="P260">
        <v>19170.960999999999</v>
      </c>
      <c r="Q260">
        <v>3161.1390000000001</v>
      </c>
      <c r="R260">
        <v>153813.69</v>
      </c>
      <c r="S260">
        <v>159039.557</v>
      </c>
      <c r="T260">
        <v>182072.05300000001</v>
      </c>
      <c r="U260">
        <v>172211.83900000001</v>
      </c>
      <c r="V260">
        <v>101382.48699999999</v>
      </c>
      <c r="W260">
        <v>47576.309000000001</v>
      </c>
      <c r="X260">
        <v>11.75</v>
      </c>
      <c r="Y260">
        <v>4</v>
      </c>
      <c r="Z260" t="s">
        <v>39</v>
      </c>
      <c r="AA260" t="s">
        <v>677</v>
      </c>
      <c r="AB260" t="s">
        <v>34</v>
      </c>
      <c r="AC260" s="7">
        <f t="shared" si="40"/>
        <v>2.0269880065560533E-2</v>
      </c>
      <c r="AD260" s="8">
        <f t="shared" si="41"/>
        <v>9.7746046260177633E-2</v>
      </c>
      <c r="AE260" s="9">
        <f t="shared" si="42"/>
        <v>2.0208446166454525E-2</v>
      </c>
      <c r="AF260" s="8">
        <f t="shared" si="43"/>
        <v>6.4028563461082072E-2</v>
      </c>
      <c r="AG260" s="8">
        <f t="shared" si="44"/>
        <v>1.1448224355906627</v>
      </c>
      <c r="AH260" s="8">
        <f t="shared" si="45"/>
        <v>0.76820464039036229</v>
      </c>
      <c r="AI260" s="8">
        <f t="shared" si="46"/>
        <v>1.0833483164441002</v>
      </c>
      <c r="AJ260" s="8">
        <f t="shared" si="47"/>
        <v>0.11752763616061383</v>
      </c>
      <c r="AK260" s="8">
        <f t="shared" si="48"/>
        <v>0.95275924341263096</v>
      </c>
      <c r="AL260" s="8">
        <f t="shared" si="49"/>
        <v>9.5617173274024321</v>
      </c>
    </row>
    <row r="261" spans="1:38">
      <c r="A261" t="s">
        <v>179</v>
      </c>
      <c r="B261" t="s">
        <v>795</v>
      </c>
      <c r="C261" t="s">
        <v>42</v>
      </c>
      <c r="D261">
        <v>43</v>
      </c>
      <c r="E261" t="s">
        <v>796</v>
      </c>
      <c r="F261">
        <v>481.71800000000002</v>
      </c>
      <c r="G261">
        <v>2352.3719999999998</v>
      </c>
      <c r="H261">
        <v>108580.469</v>
      </c>
      <c r="I261">
        <v>9027.5370000000003</v>
      </c>
      <c r="J261">
        <v>114319.916</v>
      </c>
      <c r="K261">
        <v>1625.95</v>
      </c>
      <c r="L261">
        <v>99024.5</v>
      </c>
      <c r="M261">
        <v>15295.415999999999</v>
      </c>
      <c r="N261">
        <v>2369.7190000000001</v>
      </c>
      <c r="O261">
        <v>10338.957</v>
      </c>
      <c r="P261">
        <v>15859.603999999999</v>
      </c>
      <c r="Q261">
        <v>904.47199999999998</v>
      </c>
      <c r="R261">
        <v>23437.637999999999</v>
      </c>
      <c r="S261">
        <v>114884.10400000001</v>
      </c>
      <c r="T261">
        <v>124717.518</v>
      </c>
      <c r="U261">
        <v>32822.485999999997</v>
      </c>
      <c r="V261">
        <v>22162.600999999999</v>
      </c>
      <c r="W261">
        <v>19054.297999999999</v>
      </c>
      <c r="X261">
        <v>7.24</v>
      </c>
      <c r="Y261">
        <v>4</v>
      </c>
      <c r="Z261" t="s">
        <v>44</v>
      </c>
      <c r="AA261" t="s">
        <v>677</v>
      </c>
      <c r="AB261" t="s">
        <v>34</v>
      </c>
      <c r="AC261" s="7">
        <f t="shared" si="40"/>
        <v>6.1155006699123871E-3</v>
      </c>
      <c r="AD261" s="8">
        <f t="shared" si="41"/>
        <v>2.1664780246988986E-2</v>
      </c>
      <c r="AE261" s="9">
        <f t="shared" si="42"/>
        <v>1.3077799439512552E-2</v>
      </c>
      <c r="AF261" s="8">
        <f t="shared" si="43"/>
        <v>0.12264047781964359</v>
      </c>
      <c r="AG261" s="8">
        <f t="shared" si="44"/>
        <v>1.0855942089255446</v>
      </c>
      <c r="AH261" s="8">
        <f t="shared" si="45"/>
        <v>0.79399030375187551</v>
      </c>
      <c r="AI261" s="8">
        <f t="shared" si="46"/>
        <v>1.1544609263364116</v>
      </c>
      <c r="AJ261" s="8">
        <f t="shared" si="47"/>
        <v>7.2383873129996071E-2</v>
      </c>
      <c r="AK261" s="8">
        <f t="shared" si="48"/>
        <v>0.99508906819693688</v>
      </c>
      <c r="AL261" s="8">
        <f t="shared" si="49"/>
        <v>7.0988895627291209</v>
      </c>
    </row>
    <row r="262" spans="1:38">
      <c r="A262" t="s">
        <v>797</v>
      </c>
      <c r="B262" t="s">
        <v>798</v>
      </c>
      <c r="C262" t="s">
        <v>124</v>
      </c>
      <c r="D262">
        <v>393</v>
      </c>
      <c r="E262" t="s">
        <v>799</v>
      </c>
      <c r="F262">
        <v>9522.2450000000008</v>
      </c>
      <c r="G262">
        <v>15194.717000000001</v>
      </c>
      <c r="H262">
        <v>105841.86599999999</v>
      </c>
      <c r="I262">
        <v>42584.025999999998</v>
      </c>
      <c r="J262">
        <v>109744.24099999999</v>
      </c>
      <c r="K262">
        <v>13749.493</v>
      </c>
      <c r="L262">
        <v>97509.676000000007</v>
      </c>
      <c r="M262">
        <v>12234.565000000001</v>
      </c>
      <c r="N262">
        <v>10776.523999999999</v>
      </c>
      <c r="O262">
        <v>34162.129999999997</v>
      </c>
      <c r="P262">
        <v>2288.529</v>
      </c>
      <c r="Q262">
        <v>1881.3240000000001</v>
      </c>
      <c r="R262">
        <v>90775.519</v>
      </c>
      <c r="S262">
        <v>99798.205000000002</v>
      </c>
      <c r="T262">
        <v>144784.48199999999</v>
      </c>
      <c r="U262">
        <v>140767.72</v>
      </c>
      <c r="V262">
        <v>126838.17600000001</v>
      </c>
      <c r="W262">
        <v>114383.75599999999</v>
      </c>
      <c r="X262">
        <v>29.41</v>
      </c>
      <c r="Y262">
        <v>4</v>
      </c>
      <c r="Z262" t="s">
        <v>62</v>
      </c>
      <c r="AA262" t="s">
        <v>677</v>
      </c>
      <c r="AB262" t="s">
        <v>34</v>
      </c>
      <c r="AC262" s="7">
        <f t="shared" si="40"/>
        <v>6.6693549783937586E-2</v>
      </c>
      <c r="AD262" s="8">
        <f t="shared" si="41"/>
        <v>0.14356055476195026</v>
      </c>
      <c r="AE262" s="9">
        <f t="shared" si="42"/>
        <v>1.9743792171474806E-2</v>
      </c>
      <c r="AF262" s="8">
        <f t="shared" si="43"/>
        <v>8.4501908153388997E-2</v>
      </c>
      <c r="AG262" s="8">
        <f t="shared" si="44"/>
        <v>1.4507724061770448</v>
      </c>
      <c r="AH262" s="8">
        <f t="shared" si="45"/>
        <v>0.67348154065295485</v>
      </c>
      <c r="AI262" s="8">
        <f t="shared" si="46"/>
        <v>1.1254702661508176</v>
      </c>
      <c r="AJ262" s="8">
        <f t="shared" si="47"/>
        <v>0.29412009776020059</v>
      </c>
      <c r="AK262" s="8">
        <f t="shared" si="48"/>
        <v>1.0996614718671542</v>
      </c>
      <c r="AL262" s="8">
        <f t="shared" si="49"/>
        <v>8.651052652873231</v>
      </c>
    </row>
    <row r="263" spans="1:38">
      <c r="A263" t="s">
        <v>800</v>
      </c>
      <c r="B263" t="s">
        <v>801</v>
      </c>
      <c r="C263" t="s">
        <v>60</v>
      </c>
      <c r="D263">
        <v>243</v>
      </c>
      <c r="E263" t="s">
        <v>802</v>
      </c>
      <c r="F263">
        <v>3614.857</v>
      </c>
      <c r="G263">
        <v>6390.8459999999995</v>
      </c>
      <c r="H263">
        <v>103988.337</v>
      </c>
      <c r="I263">
        <v>8100.15</v>
      </c>
      <c r="J263">
        <v>64701.012000000002</v>
      </c>
      <c r="K263">
        <v>146.79400000000001</v>
      </c>
      <c r="L263">
        <v>47849.133999999998</v>
      </c>
      <c r="M263">
        <v>16851.878000000001</v>
      </c>
      <c r="N263">
        <v>4078.837</v>
      </c>
      <c r="O263">
        <v>4013.5140000000001</v>
      </c>
      <c r="P263">
        <v>11746.032999999999</v>
      </c>
      <c r="Q263">
        <v>749.59</v>
      </c>
      <c r="R263">
        <v>25617.537</v>
      </c>
      <c r="S263">
        <v>59595.167000000001</v>
      </c>
      <c r="T263">
        <v>68775.83</v>
      </c>
      <c r="U263">
        <v>31195.325000000001</v>
      </c>
      <c r="V263">
        <v>26386.013999999999</v>
      </c>
      <c r="W263">
        <v>15578.707</v>
      </c>
      <c r="X263">
        <v>11.78</v>
      </c>
      <c r="Y263">
        <v>4</v>
      </c>
      <c r="Z263" t="s">
        <v>62</v>
      </c>
      <c r="AA263" t="s">
        <v>677</v>
      </c>
      <c r="AB263" t="s">
        <v>34</v>
      </c>
      <c r="AC263" s="7">
        <f t="shared" si="40"/>
        <v>7.231800012713667E-2</v>
      </c>
      <c r="AD263" s="8">
        <f t="shared" si="41"/>
        <v>6.1457334393182954E-2</v>
      </c>
      <c r="AE263" s="9">
        <f t="shared" si="42"/>
        <v>1.7593386075390825E-2</v>
      </c>
      <c r="AF263" s="8">
        <f t="shared" si="43"/>
        <v>0.24502616689613196</v>
      </c>
      <c r="AG263" s="8">
        <f t="shared" si="44"/>
        <v>1.1540504618436593</v>
      </c>
      <c r="AH263" s="8">
        <f t="shared" si="45"/>
        <v>0.69572601304847936</v>
      </c>
      <c r="AI263" s="8">
        <f t="shared" si="46"/>
        <v>1.3521877323840386</v>
      </c>
      <c r="AJ263" s="8">
        <f t="shared" si="47"/>
        <v>0.11777611407961197</v>
      </c>
      <c r="AK263" s="8">
        <f t="shared" si="48"/>
        <v>1.0856754877455079</v>
      </c>
      <c r="AL263" s="8">
        <f t="shared" si="49"/>
        <v>6.1707269065204482</v>
      </c>
    </row>
    <row r="264" spans="1:38">
      <c r="A264" t="s">
        <v>803</v>
      </c>
      <c r="B264" t="s">
        <v>804</v>
      </c>
      <c r="C264" t="s">
        <v>508</v>
      </c>
      <c r="D264">
        <v>15</v>
      </c>
      <c r="E264" t="s">
        <v>805</v>
      </c>
      <c r="F264">
        <v>1407.3810000000001</v>
      </c>
      <c r="G264">
        <v>5401.875</v>
      </c>
      <c r="H264">
        <v>100194.961</v>
      </c>
      <c r="I264">
        <v>23457.868999999999</v>
      </c>
      <c r="J264">
        <v>153634.71799999999</v>
      </c>
      <c r="K264">
        <v>93932.350999999995</v>
      </c>
      <c r="L264">
        <v>131258.75200000001</v>
      </c>
      <c r="M264">
        <v>22375.966</v>
      </c>
      <c r="N264">
        <v>2051.319</v>
      </c>
      <c r="O264">
        <v>4316.509</v>
      </c>
      <c r="P264">
        <v>86.391999999999996</v>
      </c>
      <c r="Q264">
        <v>2597.0909999999999</v>
      </c>
      <c r="R264">
        <v>46269.502999999997</v>
      </c>
      <c r="S264">
        <v>131345.144</v>
      </c>
      <c r="T264">
        <v>157986.136</v>
      </c>
      <c r="U264">
        <v>69367.213000000003</v>
      </c>
      <c r="V264">
        <v>60758.019</v>
      </c>
      <c r="W264">
        <v>22704.431</v>
      </c>
      <c r="X264">
        <v>14.85</v>
      </c>
      <c r="Y264">
        <v>4</v>
      </c>
      <c r="Z264" t="s">
        <v>62</v>
      </c>
      <c r="AA264" t="s">
        <v>677</v>
      </c>
      <c r="AB264" t="s">
        <v>34</v>
      </c>
      <c r="AC264" s="7">
        <f t="shared" si="40"/>
        <v>1.2380560974274455E-2</v>
      </c>
      <c r="AD264" s="8">
        <f t="shared" si="41"/>
        <v>5.3913639429431989E-2</v>
      </c>
      <c r="AE264" s="9">
        <f t="shared" si="42"/>
        <v>2.9244108454636625E-2</v>
      </c>
      <c r="AF264" s="8">
        <f t="shared" si="43"/>
        <v>0.14163246577535132</v>
      </c>
      <c r="AG264" s="8">
        <f t="shared" si="44"/>
        <v>1.2028319524321356</v>
      </c>
      <c r="AH264" s="8">
        <f t="shared" si="45"/>
        <v>0.83082449715714302</v>
      </c>
      <c r="AI264" s="8">
        <f t="shared" si="46"/>
        <v>1.1704721830663145</v>
      </c>
      <c r="AJ264" s="8">
        <f t="shared" si="47"/>
        <v>0.14848055401519536</v>
      </c>
      <c r="AK264" s="8">
        <f t="shared" si="48"/>
        <v>1.169702307380317</v>
      </c>
      <c r="AL264" s="8">
        <f t="shared" si="49"/>
        <v>4.4777937631832296</v>
      </c>
    </row>
    <row r="265" spans="1:38">
      <c r="A265" t="s">
        <v>223</v>
      </c>
      <c r="B265" t="s">
        <v>806</v>
      </c>
      <c r="C265" t="s">
        <v>55</v>
      </c>
      <c r="D265">
        <v>162</v>
      </c>
      <c r="E265" t="s">
        <v>807</v>
      </c>
      <c r="F265">
        <v>6940.9939999999997</v>
      </c>
      <c r="G265">
        <v>9287.26</v>
      </c>
      <c r="H265">
        <v>91226.846999999994</v>
      </c>
      <c r="I265">
        <v>42070.366000000002</v>
      </c>
      <c r="J265">
        <v>229122.34700000001</v>
      </c>
      <c r="K265">
        <v>119951.924</v>
      </c>
      <c r="L265">
        <v>169322.046</v>
      </c>
      <c r="M265">
        <v>59800.300999999999</v>
      </c>
      <c r="N265">
        <v>7779.067</v>
      </c>
      <c r="O265">
        <v>7408.5190000000002</v>
      </c>
      <c r="P265">
        <v>21958.858</v>
      </c>
      <c r="Q265">
        <v>947.81200000000001</v>
      </c>
      <c r="R265">
        <v>188059.24400000001</v>
      </c>
      <c r="S265">
        <v>191280.90400000001</v>
      </c>
      <c r="T265">
        <v>236836.27799999999</v>
      </c>
      <c r="U265">
        <v>226509.14799999999</v>
      </c>
      <c r="V265">
        <v>214560.177</v>
      </c>
      <c r="W265">
        <v>197386.649</v>
      </c>
      <c r="X265">
        <v>17.760000000000002</v>
      </c>
      <c r="Y265">
        <v>4</v>
      </c>
      <c r="Z265" t="s">
        <v>57</v>
      </c>
      <c r="AA265" t="s">
        <v>677</v>
      </c>
      <c r="AB265" t="s">
        <v>34</v>
      </c>
      <c r="AC265" s="7">
        <f t="shared" si="40"/>
        <v>2.9960343236451848E-2</v>
      </c>
      <c r="AD265" s="8">
        <f t="shared" si="41"/>
        <v>0.10180402266889703</v>
      </c>
      <c r="AE265" s="9">
        <f t="shared" si="42"/>
        <v>4.9971615448412797E-3</v>
      </c>
      <c r="AF265" s="8">
        <f t="shared" si="43"/>
        <v>0.25249637219851934</v>
      </c>
      <c r="AG265" s="8">
        <f t="shared" si="44"/>
        <v>1.2381595498942224</v>
      </c>
      <c r="AH265" s="8">
        <f t="shared" si="45"/>
        <v>0.71493289554229533</v>
      </c>
      <c r="AI265" s="8">
        <f t="shared" si="46"/>
        <v>1.3531749256089192</v>
      </c>
      <c r="AJ265" s="8">
        <f t="shared" si="47"/>
        <v>0.17763480474895829</v>
      </c>
      <c r="AK265" s="8">
        <f t="shared" si="48"/>
        <v>1.1978317867004644</v>
      </c>
      <c r="AL265" s="8">
        <f t="shared" si="49"/>
        <v>1.5255248798831296</v>
      </c>
    </row>
    <row r="266" spans="1:38">
      <c r="A266" t="s">
        <v>250</v>
      </c>
      <c r="B266" t="s">
        <v>808</v>
      </c>
      <c r="C266" t="s">
        <v>86</v>
      </c>
      <c r="D266">
        <v>140</v>
      </c>
      <c r="E266" t="s">
        <v>809</v>
      </c>
      <c r="F266">
        <v>7614.1760000000004</v>
      </c>
      <c r="G266">
        <v>14569.700999999999</v>
      </c>
      <c r="H266">
        <v>83095.664000000004</v>
      </c>
      <c r="I266">
        <v>49845.927000000003</v>
      </c>
      <c r="J266">
        <v>76120.135999999999</v>
      </c>
      <c r="K266">
        <v>20296.173999999999</v>
      </c>
      <c r="L266">
        <v>41238.627</v>
      </c>
      <c r="M266">
        <v>34881.508999999998</v>
      </c>
      <c r="N266">
        <v>11655.537</v>
      </c>
      <c r="O266">
        <v>24197.276000000002</v>
      </c>
      <c r="P266">
        <v>4540.7780000000002</v>
      </c>
      <c r="Q266">
        <v>553.33000000000004</v>
      </c>
      <c r="R266">
        <v>59061.968999999997</v>
      </c>
      <c r="S266">
        <v>45779.404999999999</v>
      </c>
      <c r="T266">
        <v>102491.13099999999</v>
      </c>
      <c r="U266">
        <v>106216.21</v>
      </c>
      <c r="V266">
        <v>72307.005999999994</v>
      </c>
      <c r="W266">
        <v>55628.233999999997</v>
      </c>
      <c r="X266">
        <v>48.63</v>
      </c>
      <c r="Y266">
        <v>4</v>
      </c>
      <c r="Z266" t="s">
        <v>57</v>
      </c>
      <c r="AA266" t="s">
        <v>677</v>
      </c>
      <c r="AB266" t="s">
        <v>34</v>
      </c>
      <c r="AC266" s="7">
        <f t="shared" si="40"/>
        <v>7.29650999674228E-2</v>
      </c>
      <c r="AD266" s="8">
        <f t="shared" si="41"/>
        <v>0.17533647724386675</v>
      </c>
      <c r="AE266" s="9">
        <f t="shared" si="42"/>
        <v>1.0555565591881694E-2</v>
      </c>
      <c r="AF266" s="8">
        <f t="shared" si="43"/>
        <v>0.34033685314683471</v>
      </c>
      <c r="AG266" s="8">
        <f t="shared" si="44"/>
        <v>2.2388043488114362</v>
      </c>
      <c r="AH266" s="8">
        <f t="shared" si="45"/>
        <v>0.4023628834772055</v>
      </c>
      <c r="AI266" s="8">
        <f t="shared" si="46"/>
        <v>1.8458455467006696</v>
      </c>
      <c r="AJ266" s="8">
        <f t="shared" si="47"/>
        <v>0.48634380861696225</v>
      </c>
      <c r="AK266" s="8">
        <f t="shared" si="48"/>
        <v>1.6627594002150095</v>
      </c>
      <c r="AL266" s="8">
        <f t="shared" si="49"/>
        <v>2.3822267551555756</v>
      </c>
    </row>
    <row r="267" spans="1:38">
      <c r="A267" t="s">
        <v>810</v>
      </c>
      <c r="B267" t="s">
        <v>811</v>
      </c>
      <c r="C267" t="s">
        <v>42</v>
      </c>
      <c r="D267">
        <v>224</v>
      </c>
      <c r="E267" t="s">
        <v>812</v>
      </c>
      <c r="F267">
        <v>179.42500000000001</v>
      </c>
      <c r="G267">
        <v>2384.402</v>
      </c>
      <c r="H267">
        <v>82331.057000000001</v>
      </c>
      <c r="I267">
        <v>8159.23</v>
      </c>
      <c r="J267">
        <v>46545.531000000003</v>
      </c>
      <c r="K267">
        <v>2776.473</v>
      </c>
      <c r="L267">
        <v>36279.241000000002</v>
      </c>
      <c r="M267">
        <v>10266.290000000001</v>
      </c>
      <c r="N267">
        <v>802.74199999999996</v>
      </c>
      <c r="O267">
        <v>935.98599999999999</v>
      </c>
      <c r="P267">
        <v>2249.826</v>
      </c>
      <c r="Q267">
        <v>815.65800000000002</v>
      </c>
      <c r="R267">
        <v>34837.726999999999</v>
      </c>
      <c r="S267">
        <v>38529.067000000003</v>
      </c>
      <c r="T267">
        <v>48169.911999999997</v>
      </c>
      <c r="U267">
        <v>44134.017999999996</v>
      </c>
      <c r="V267">
        <v>36411.080999999998</v>
      </c>
      <c r="W267">
        <v>29053.624</v>
      </c>
      <c r="X267">
        <v>16.940000000000001</v>
      </c>
      <c r="Y267">
        <v>4</v>
      </c>
      <c r="Z267" t="s">
        <v>44</v>
      </c>
      <c r="AA267" t="s">
        <v>677</v>
      </c>
      <c r="AB267" t="s">
        <v>34</v>
      </c>
      <c r="AC267" s="7">
        <f t="shared" si="40"/>
        <v>3.8877001228441741E-3</v>
      </c>
      <c r="AD267" s="8">
        <f t="shared" si="41"/>
        <v>2.8961148889416057E-2</v>
      </c>
      <c r="AE267" s="9">
        <f t="shared" si="42"/>
        <v>2.2235072722408999E-2</v>
      </c>
      <c r="AF267" s="8">
        <f t="shared" si="43"/>
        <v>0.21312660899193675</v>
      </c>
      <c r="AG267" s="8">
        <f t="shared" si="44"/>
        <v>1.2502226435952886</v>
      </c>
      <c r="AH267" s="8">
        <f t="shared" si="45"/>
        <v>0.75315149008368554</v>
      </c>
      <c r="AI267" s="8">
        <f t="shared" si="46"/>
        <v>1.2829797348847514</v>
      </c>
      <c r="AJ267" s="8">
        <f t="shared" si="47"/>
        <v>0.16938436590874403</v>
      </c>
      <c r="AK267" s="8">
        <f t="shared" si="48"/>
        <v>1.2080627594745545</v>
      </c>
      <c r="AL267" s="8">
        <f t="shared" si="49"/>
        <v>8.0195530225621905</v>
      </c>
    </row>
    <row r="268" spans="1:38">
      <c r="A268" t="s">
        <v>265</v>
      </c>
      <c r="B268" t="s">
        <v>813</v>
      </c>
      <c r="C268" t="s">
        <v>47</v>
      </c>
      <c r="D268">
        <v>16</v>
      </c>
      <c r="E268" t="s">
        <v>814</v>
      </c>
      <c r="F268">
        <v>403.63299999999998</v>
      </c>
      <c r="G268">
        <v>3328.5169999999998</v>
      </c>
      <c r="H268">
        <v>77977.962</v>
      </c>
      <c r="I268">
        <v>5410.74</v>
      </c>
      <c r="J268">
        <v>53288.750999999997</v>
      </c>
      <c r="K268">
        <v>2317.4490000000001</v>
      </c>
      <c r="L268">
        <v>48338.190999999999</v>
      </c>
      <c r="M268">
        <v>4950.5600000000004</v>
      </c>
      <c r="N268">
        <v>699.28800000000001</v>
      </c>
      <c r="O268">
        <v>2568.2539999999999</v>
      </c>
      <c r="P268">
        <v>6048.33</v>
      </c>
      <c r="Q268">
        <v>11274.066000000001</v>
      </c>
      <c r="R268">
        <v>14801.71</v>
      </c>
      <c r="S268">
        <v>54386.521000000001</v>
      </c>
      <c r="T268">
        <v>59876.563999999998</v>
      </c>
      <c r="U268">
        <v>23847.671999999999</v>
      </c>
      <c r="V268">
        <v>22273.894</v>
      </c>
      <c r="W268">
        <v>189.32300000000001</v>
      </c>
      <c r="X268">
        <v>9.0399999999999991</v>
      </c>
      <c r="Y268">
        <v>4</v>
      </c>
      <c r="Z268" t="s">
        <v>32</v>
      </c>
      <c r="AA268" t="s">
        <v>677</v>
      </c>
      <c r="AB268" t="s">
        <v>34</v>
      </c>
      <c r="AC268" s="7">
        <f t="shared" si="40"/>
        <v>9.6419631706164497E-3</v>
      </c>
      <c r="AD268" s="8">
        <f t="shared" si="41"/>
        <v>4.2685355126362498E-2</v>
      </c>
      <c r="AE268" s="9">
        <f t="shared" si="42"/>
        <v>0.32589548358303888</v>
      </c>
      <c r="AF268" s="8">
        <f t="shared" si="43"/>
        <v>8.2679426962442279E-2</v>
      </c>
      <c r="AG268" s="8">
        <f t="shared" si="44"/>
        <v>1.1009449197899603</v>
      </c>
      <c r="AH268" s="8">
        <f t="shared" si="45"/>
        <v>0.80729734257964436</v>
      </c>
      <c r="AI268" s="8">
        <f t="shared" si="46"/>
        <v>1.102415086241022</v>
      </c>
      <c r="AJ268" s="8">
        <f t="shared" si="47"/>
        <v>9.0364904706288759E-2</v>
      </c>
      <c r="AK268" s="8">
        <f t="shared" si="48"/>
        <v>0.97981540315844062</v>
      </c>
      <c r="AL268" s="8">
        <f t="shared" si="49"/>
        <v>15.751341666397336</v>
      </c>
    </row>
    <row r="269" spans="1:38">
      <c r="A269" t="s">
        <v>815</v>
      </c>
      <c r="B269" t="s">
        <v>816</v>
      </c>
      <c r="C269" t="s">
        <v>51</v>
      </c>
      <c r="D269">
        <v>175</v>
      </c>
      <c r="E269" t="s">
        <v>817</v>
      </c>
      <c r="F269">
        <v>2350.8809999999999</v>
      </c>
      <c r="G269">
        <v>6928.2719999999999</v>
      </c>
      <c r="H269">
        <v>76291.714999999997</v>
      </c>
      <c r="I269">
        <v>16758.202000000001</v>
      </c>
      <c r="J269">
        <v>71084.305999999997</v>
      </c>
      <c r="K269">
        <v>17871.371999999999</v>
      </c>
      <c r="L269">
        <v>60313.035000000003</v>
      </c>
      <c r="M269">
        <v>10771.271000000001</v>
      </c>
      <c r="N269">
        <v>3539.52</v>
      </c>
      <c r="O269">
        <v>18368.313999999998</v>
      </c>
      <c r="P269">
        <v>11478.232</v>
      </c>
      <c r="Q269">
        <v>2668.8240000000001</v>
      </c>
      <c r="R269">
        <v>65557.593999999997</v>
      </c>
      <c r="S269">
        <v>71791.267000000007</v>
      </c>
      <c r="T269">
        <v>90769.202999999994</v>
      </c>
      <c r="U269">
        <v>82438.335000000006</v>
      </c>
      <c r="V269">
        <v>69260.187999999995</v>
      </c>
      <c r="W269">
        <v>50328.311999999998</v>
      </c>
      <c r="X269">
        <v>18.46</v>
      </c>
      <c r="Y269">
        <v>4</v>
      </c>
      <c r="Z269" t="s">
        <v>39</v>
      </c>
      <c r="AA269" t="s">
        <v>677</v>
      </c>
      <c r="AB269" t="s">
        <v>34</v>
      </c>
      <c r="AC269" s="7">
        <f t="shared" si="40"/>
        <v>2.7145250456709336E-2</v>
      </c>
      <c r="AD269" s="8">
        <f t="shared" si="41"/>
        <v>9.0812901505753288E-2</v>
      </c>
      <c r="AE269" s="9">
        <f t="shared" si="42"/>
        <v>3.8861974982085948E-2</v>
      </c>
      <c r="AF269" s="8">
        <f t="shared" si="43"/>
        <v>0.11866658121918292</v>
      </c>
      <c r="AG269" s="8">
        <f t="shared" si="44"/>
        <v>1.2643488100021969</v>
      </c>
      <c r="AH269" s="8">
        <f t="shared" si="45"/>
        <v>0.66446584311200807</v>
      </c>
      <c r="AI269" s="8">
        <f t="shared" si="46"/>
        <v>1.1785894375900665</v>
      </c>
      <c r="AJ269" s="8">
        <f t="shared" si="47"/>
        <v>0.18462431580455765</v>
      </c>
      <c r="AK269" s="8">
        <f t="shared" si="48"/>
        <v>0.99015254877727665</v>
      </c>
      <c r="AL269" s="8">
        <f t="shared" si="49"/>
        <v>7.0828888252834776</v>
      </c>
    </row>
    <row r="270" spans="1:38">
      <c r="A270" t="s">
        <v>274</v>
      </c>
      <c r="B270" t="s">
        <v>818</v>
      </c>
      <c r="C270" t="s">
        <v>42</v>
      </c>
      <c r="D270">
        <v>519</v>
      </c>
      <c r="E270" t="s">
        <v>819</v>
      </c>
      <c r="F270">
        <v>385.79500000000002</v>
      </c>
      <c r="G270">
        <v>3247.1660000000002</v>
      </c>
      <c r="H270">
        <v>74954.34</v>
      </c>
      <c r="I270">
        <v>11790.689</v>
      </c>
      <c r="J270">
        <v>45493.258999999998</v>
      </c>
      <c r="K270">
        <v>14810.700999999999</v>
      </c>
      <c r="L270">
        <v>32541.915000000001</v>
      </c>
      <c r="M270">
        <v>12951.343999999999</v>
      </c>
      <c r="N270">
        <v>1063.3230000000001</v>
      </c>
      <c r="O270">
        <v>4322.1540000000005</v>
      </c>
      <c r="P270">
        <v>5132.63</v>
      </c>
      <c r="Q270">
        <v>1161.759</v>
      </c>
      <c r="R270">
        <v>37842.949999999997</v>
      </c>
      <c r="S270">
        <v>37674.544999999998</v>
      </c>
      <c r="T270">
        <v>50669.493999999999</v>
      </c>
      <c r="U270">
        <v>50495.017999999996</v>
      </c>
      <c r="V270">
        <v>55509.578999999998</v>
      </c>
      <c r="W270">
        <v>39318.614000000001</v>
      </c>
      <c r="X270">
        <v>23.27</v>
      </c>
      <c r="Y270">
        <v>4</v>
      </c>
      <c r="Z270" t="s">
        <v>44</v>
      </c>
      <c r="AA270" t="s">
        <v>677</v>
      </c>
      <c r="AB270" t="s">
        <v>34</v>
      </c>
      <c r="AC270" s="7">
        <f t="shared" si="40"/>
        <v>7.6270817181424266E-3</v>
      </c>
      <c r="AD270" s="8">
        <f t="shared" si="41"/>
        <v>4.3321921052203255E-2</v>
      </c>
      <c r="AE270" s="9">
        <f t="shared" si="42"/>
        <v>3.0767943242820756E-2</v>
      </c>
      <c r="AF270" s="8">
        <f t="shared" si="43"/>
        <v>0.25560436818255972</v>
      </c>
      <c r="AG270" s="8">
        <f t="shared" si="44"/>
        <v>1.3449265014348548</v>
      </c>
      <c r="AH270" s="8">
        <f t="shared" si="45"/>
        <v>0.64223879954277818</v>
      </c>
      <c r="AI270" s="8">
        <f t="shared" si="46"/>
        <v>1.397989608171492</v>
      </c>
      <c r="AJ270" s="8">
        <f t="shared" si="47"/>
        <v>0.2326979819455075</v>
      </c>
      <c r="AK270" s="8">
        <f t="shared" si="48"/>
        <v>1.2075330704060261</v>
      </c>
      <c r="AL270" s="8">
        <f t="shared" si="49"/>
        <v>5.7873792866593616</v>
      </c>
    </row>
    <row r="271" spans="1:38">
      <c r="A271" t="s">
        <v>820</v>
      </c>
      <c r="B271" t="s">
        <v>821</v>
      </c>
      <c r="C271" t="s">
        <v>69</v>
      </c>
      <c r="D271">
        <v>7</v>
      </c>
      <c r="E271" t="s">
        <v>822</v>
      </c>
      <c r="F271">
        <v>411.38299999999998</v>
      </c>
      <c r="G271">
        <v>1037.1030000000001</v>
      </c>
      <c r="H271">
        <v>70126.528999999995</v>
      </c>
      <c r="I271">
        <v>2858.5219999999999</v>
      </c>
      <c r="J271">
        <v>38914.086000000003</v>
      </c>
      <c r="K271">
        <v>1047.5</v>
      </c>
      <c r="L271">
        <v>37669.553</v>
      </c>
      <c r="M271">
        <v>1244.5329999999999</v>
      </c>
      <c r="N271">
        <v>760.24400000000003</v>
      </c>
      <c r="O271">
        <v>1618.9570000000001</v>
      </c>
      <c r="P271">
        <v>0</v>
      </c>
      <c r="Q271">
        <v>9.0640000000000001</v>
      </c>
      <c r="R271">
        <v>27870.923999999999</v>
      </c>
      <c r="S271">
        <v>37669.553</v>
      </c>
      <c r="T271">
        <v>40557.678</v>
      </c>
      <c r="U271">
        <v>30332.385999999999</v>
      </c>
      <c r="V271">
        <v>11444.583000000001</v>
      </c>
      <c r="W271">
        <v>630.01700000000005</v>
      </c>
      <c r="X271">
        <v>7.05</v>
      </c>
      <c r="Y271">
        <v>4</v>
      </c>
      <c r="Z271" t="s">
        <v>39</v>
      </c>
      <c r="AA271" t="s">
        <v>677</v>
      </c>
      <c r="AB271" t="s">
        <v>34</v>
      </c>
      <c r="AC271" s="7">
        <f t="shared" si="40"/>
        <v>1.1606224533807727E-2</v>
      </c>
      <c r="AD271" s="8">
        <f t="shared" si="41"/>
        <v>1.4789025134838773E-2</v>
      </c>
      <c r="AE271" s="9">
        <f t="shared" si="42"/>
        <v>2.7659243310054028E-4</v>
      </c>
      <c r="AF271" s="8">
        <f t="shared" si="43"/>
        <v>3.0685509165490191E-2</v>
      </c>
      <c r="AG271" s="8">
        <f t="shared" si="44"/>
        <v>1.0766700098618107</v>
      </c>
      <c r="AH271" s="8">
        <f t="shared" si="45"/>
        <v>0.92878968564225994</v>
      </c>
      <c r="AI271" s="8">
        <f t="shared" si="46"/>
        <v>1.0330381674558231</v>
      </c>
      <c r="AJ271" s="8">
        <f t="shared" si="47"/>
        <v>7.0480415570141855E-2</v>
      </c>
      <c r="AK271" s="8">
        <f t="shared" si="48"/>
        <v>1.0330381674558231</v>
      </c>
      <c r="AL271" s="8">
        <f t="shared" si="49"/>
        <v>56.347665349171137</v>
      </c>
    </row>
    <row r="272" spans="1:38">
      <c r="A272" t="s">
        <v>292</v>
      </c>
      <c r="B272" t="s">
        <v>823</v>
      </c>
      <c r="C272" t="s">
        <v>120</v>
      </c>
      <c r="D272">
        <v>534</v>
      </c>
      <c r="E272" t="s">
        <v>824</v>
      </c>
      <c r="F272">
        <v>2515.0880000000002</v>
      </c>
      <c r="G272">
        <v>5608.2640000000001</v>
      </c>
      <c r="H272">
        <v>70038.036999999997</v>
      </c>
      <c r="I272">
        <v>15161.396000000001</v>
      </c>
      <c r="J272">
        <v>44157.218999999997</v>
      </c>
      <c r="K272">
        <v>4448.3900000000003</v>
      </c>
      <c r="L272">
        <v>28886.863000000001</v>
      </c>
      <c r="M272">
        <v>15270.356</v>
      </c>
      <c r="N272">
        <v>3493.7159999999999</v>
      </c>
      <c r="O272">
        <v>8442.3829999999998</v>
      </c>
      <c r="P272">
        <v>3361.5030000000002</v>
      </c>
      <c r="Q272">
        <v>415.34800000000001</v>
      </c>
      <c r="R272">
        <v>23152.826000000001</v>
      </c>
      <c r="S272">
        <v>32248.366000000002</v>
      </c>
      <c r="T272">
        <v>53387.550999999999</v>
      </c>
      <c r="U272">
        <v>40607.411999999997</v>
      </c>
      <c r="V272">
        <v>28900.763999999999</v>
      </c>
      <c r="W272">
        <v>27547.74</v>
      </c>
      <c r="X272">
        <v>28.4</v>
      </c>
      <c r="Y272">
        <v>4</v>
      </c>
      <c r="Z272" t="s">
        <v>44</v>
      </c>
      <c r="AA272" t="s">
        <v>677</v>
      </c>
      <c r="AB272" t="s">
        <v>34</v>
      </c>
      <c r="AC272" s="7">
        <f t="shared" si="40"/>
        <v>5.3515378265535367E-2</v>
      </c>
      <c r="AD272" s="8">
        <f t="shared" si="41"/>
        <v>8.0074545778603137E-2</v>
      </c>
      <c r="AE272" s="9">
        <f t="shared" si="42"/>
        <v>1.4994190016705777E-2</v>
      </c>
      <c r="AF272" s="8">
        <f t="shared" si="43"/>
        <v>0.28602840388764039</v>
      </c>
      <c r="AG272" s="8">
        <f t="shared" si="44"/>
        <v>1.6555118172499033</v>
      </c>
      <c r="AH272" s="8">
        <f t="shared" si="45"/>
        <v>0.54107863085909302</v>
      </c>
      <c r="AI272" s="8">
        <f t="shared" si="46"/>
        <v>1.5286263170909211</v>
      </c>
      <c r="AJ272" s="8">
        <f t="shared" si="47"/>
        <v>0.28398747865396562</v>
      </c>
      <c r="AK272" s="8">
        <f t="shared" si="48"/>
        <v>1.3692854701537434</v>
      </c>
      <c r="AL272" s="8">
        <f t="shared" si="49"/>
        <v>4.5865359655007385</v>
      </c>
    </row>
    <row r="273" spans="1:38">
      <c r="A273" t="s">
        <v>825</v>
      </c>
      <c r="B273" t="s">
        <v>826</v>
      </c>
      <c r="C273" t="s">
        <v>69</v>
      </c>
      <c r="D273">
        <v>36</v>
      </c>
      <c r="E273" t="s">
        <v>827</v>
      </c>
      <c r="F273">
        <v>1643.309</v>
      </c>
      <c r="G273">
        <v>5000.9759999999997</v>
      </c>
      <c r="H273">
        <v>65281.042000000001</v>
      </c>
      <c r="I273">
        <v>3313.7860000000001</v>
      </c>
      <c r="J273">
        <v>58907.315999999999</v>
      </c>
      <c r="K273">
        <v>16503.343000000001</v>
      </c>
      <c r="L273">
        <v>46886.375</v>
      </c>
      <c r="M273">
        <v>12020.941000000001</v>
      </c>
      <c r="N273">
        <v>2148.04</v>
      </c>
      <c r="O273">
        <v>1741.777</v>
      </c>
      <c r="P273">
        <v>5190.5429999999997</v>
      </c>
      <c r="Q273">
        <v>1674.828</v>
      </c>
      <c r="R273">
        <v>56710.561999999998</v>
      </c>
      <c r="S273">
        <v>52076.917999999998</v>
      </c>
      <c r="T273">
        <v>60865.754999999997</v>
      </c>
      <c r="U273">
        <v>61294.985000000001</v>
      </c>
      <c r="V273">
        <v>19761.528999999999</v>
      </c>
      <c r="W273">
        <v>13867.031000000001</v>
      </c>
      <c r="X273">
        <v>5.44</v>
      </c>
      <c r="Y273">
        <v>4</v>
      </c>
      <c r="Z273" t="s">
        <v>39</v>
      </c>
      <c r="AA273" t="s">
        <v>677</v>
      </c>
      <c r="AB273" t="s">
        <v>34</v>
      </c>
      <c r="AC273" s="7">
        <f t="shared" si="40"/>
        <v>2.6904044621864603E-2</v>
      </c>
      <c r="AD273" s="8">
        <f t="shared" si="41"/>
        <v>7.6606865435756982E-2</v>
      </c>
      <c r="AE273" s="9">
        <f t="shared" si="42"/>
        <v>3.0790822620397128E-2</v>
      </c>
      <c r="AF273" s="8">
        <f t="shared" si="43"/>
        <v>0.19749925060487628</v>
      </c>
      <c r="AG273" s="8">
        <f t="shared" si="44"/>
        <v>1.1687664581072175</v>
      </c>
      <c r="AH273" s="8">
        <f t="shared" si="45"/>
        <v>0.77032438026933214</v>
      </c>
      <c r="AI273" s="8">
        <f t="shared" si="46"/>
        <v>1.2563845253551804</v>
      </c>
      <c r="AJ273" s="8">
        <f t="shared" si="47"/>
        <v>5.4444178011100006E-2</v>
      </c>
      <c r="AK273" s="8">
        <f t="shared" si="48"/>
        <v>1.1311597971293155</v>
      </c>
      <c r="AL273" s="8">
        <f t="shared" si="49"/>
        <v>5.4306099663911498</v>
      </c>
    </row>
    <row r="274" spans="1:38">
      <c r="A274" t="s">
        <v>828</v>
      </c>
      <c r="B274" t="s">
        <v>829</v>
      </c>
      <c r="C274" t="s">
        <v>131</v>
      </c>
      <c r="D274">
        <v>0</v>
      </c>
      <c r="E274" t="s">
        <v>830</v>
      </c>
      <c r="F274">
        <v>6879.6909999999998</v>
      </c>
      <c r="G274">
        <v>12639.924000000001</v>
      </c>
      <c r="H274">
        <v>64668.525000000001</v>
      </c>
      <c r="I274">
        <v>39679.294000000002</v>
      </c>
      <c r="J274">
        <v>46353.883000000002</v>
      </c>
      <c r="K274">
        <v>0</v>
      </c>
      <c r="L274">
        <v>53861.803999999996</v>
      </c>
      <c r="M274">
        <v>-7507.9210000000003</v>
      </c>
      <c r="N274">
        <v>6879.6909999999998</v>
      </c>
      <c r="O274">
        <v>152573.44399999999</v>
      </c>
      <c r="P274">
        <v>50958.646000000001</v>
      </c>
      <c r="Q274">
        <v>3047.4059999999999</v>
      </c>
      <c r="R274">
        <v>96400.991999999998</v>
      </c>
      <c r="S274">
        <v>104820.45</v>
      </c>
      <c r="T274">
        <v>200506.01500000001</v>
      </c>
      <c r="U274">
        <v>187476.677</v>
      </c>
      <c r="V274">
        <v>167918.166</v>
      </c>
      <c r="W274">
        <v>72085.095000000001</v>
      </c>
      <c r="X274">
        <v>19.79</v>
      </c>
      <c r="Y274">
        <v>4</v>
      </c>
      <c r="Z274" t="s">
        <v>32</v>
      </c>
      <c r="AA274" t="s">
        <v>677</v>
      </c>
      <c r="AB274" t="s">
        <v>34</v>
      </c>
      <c r="AC274" s="7">
        <f t="shared" si="40"/>
        <v>3.5463906724993798E-2</v>
      </c>
      <c r="AD274" s="8">
        <f t="shared" si="41"/>
        <v>0.19545712539446355</v>
      </c>
      <c r="AE274" s="9">
        <f t="shared" si="42"/>
        <v>3.0289078238491106E-2</v>
      </c>
      <c r="AF274" s="8">
        <f t="shared" si="43"/>
        <v>-3.7444866678937289E-2</v>
      </c>
      <c r="AG274" s="8">
        <f t="shared" si="44"/>
        <v>1.9128520722816971</v>
      </c>
      <c r="AH274" s="8">
        <f t="shared" si="45"/>
        <v>0.26862936755288858</v>
      </c>
      <c r="AI274" s="8">
        <f t="shared" si="46"/>
        <v>0.8606076952045647</v>
      </c>
      <c r="AJ274" s="8">
        <f t="shared" si="47"/>
        <v>0.19789577883735807</v>
      </c>
      <c r="AK274" s="8">
        <f t="shared" si="48"/>
        <v>0.44222175157614763</v>
      </c>
      <c r="AL274" s="8">
        <f t="shared" si="49"/>
        <v>-8.6133731295254705</v>
      </c>
    </row>
    <row r="275" spans="1:38">
      <c r="A275" t="s">
        <v>322</v>
      </c>
      <c r="B275" t="s">
        <v>831</v>
      </c>
      <c r="C275" t="s">
        <v>42</v>
      </c>
      <c r="D275">
        <v>265</v>
      </c>
      <c r="E275" t="s">
        <v>832</v>
      </c>
      <c r="F275">
        <v>3078.91</v>
      </c>
      <c r="G275">
        <v>6314.2520000000004</v>
      </c>
      <c r="H275">
        <v>60628.574999999997</v>
      </c>
      <c r="I275">
        <v>21845.427</v>
      </c>
      <c r="J275">
        <v>54360.209000000003</v>
      </c>
      <c r="K275">
        <v>11144.947</v>
      </c>
      <c r="L275">
        <v>37368.216</v>
      </c>
      <c r="M275">
        <v>16991.992999999999</v>
      </c>
      <c r="N275">
        <v>4382.0990000000002</v>
      </c>
      <c r="O275">
        <v>14881.531999999999</v>
      </c>
      <c r="P275">
        <v>10138.754999999999</v>
      </c>
      <c r="Q275">
        <v>482.23599999999999</v>
      </c>
      <c r="R275">
        <v>38032.463000000003</v>
      </c>
      <c r="S275">
        <v>47506.970999999998</v>
      </c>
      <c r="T275">
        <v>69727.520000000004</v>
      </c>
      <c r="U275">
        <v>58018.432000000001</v>
      </c>
      <c r="V275">
        <v>47330.408000000003</v>
      </c>
      <c r="W275">
        <v>40106.555</v>
      </c>
      <c r="X275">
        <v>31.33</v>
      </c>
      <c r="Y275">
        <v>4</v>
      </c>
      <c r="Z275" t="s">
        <v>44</v>
      </c>
      <c r="AA275" t="s">
        <v>677</v>
      </c>
      <c r="AB275" t="s">
        <v>34</v>
      </c>
      <c r="AC275" s="7">
        <f t="shared" si="40"/>
        <v>4.8203640926328527E-2</v>
      </c>
      <c r="AD275" s="8">
        <f t="shared" si="41"/>
        <v>0.10414646888863874</v>
      </c>
      <c r="AE275" s="9">
        <f t="shared" si="42"/>
        <v>1.1275173974146239E-2</v>
      </c>
      <c r="AF275" s="8">
        <f t="shared" si="43"/>
        <v>0.24369134310240773</v>
      </c>
      <c r="AG275" s="8">
        <f t="shared" si="44"/>
        <v>1.4677323881583613</v>
      </c>
      <c r="AH275" s="8">
        <f t="shared" si="45"/>
        <v>0.53591775528514418</v>
      </c>
      <c r="AI275" s="8">
        <f t="shared" si="46"/>
        <v>1.4547178008176789</v>
      </c>
      <c r="AJ275" s="8">
        <f t="shared" si="47"/>
        <v>0.31329705975488586</v>
      </c>
      <c r="AK275" s="8">
        <f t="shared" si="48"/>
        <v>1.1442575238063484</v>
      </c>
      <c r="AL275" s="8">
        <f t="shared" si="49"/>
        <v>3.5680673244156824</v>
      </c>
    </row>
    <row r="276" spans="1:38">
      <c r="A276" t="s">
        <v>833</v>
      </c>
      <c r="B276" t="s">
        <v>834</v>
      </c>
      <c r="C276" t="s">
        <v>131</v>
      </c>
      <c r="D276">
        <v>130</v>
      </c>
      <c r="E276" t="s">
        <v>835</v>
      </c>
      <c r="F276">
        <v>5124.3010000000004</v>
      </c>
      <c r="G276">
        <v>9357.893</v>
      </c>
      <c r="H276">
        <v>59987.18</v>
      </c>
      <c r="I276">
        <v>22256.312000000002</v>
      </c>
      <c r="J276">
        <v>45226.584999999999</v>
      </c>
      <c r="K276">
        <v>4536.1130000000003</v>
      </c>
      <c r="L276">
        <v>40884.478999999999</v>
      </c>
      <c r="M276">
        <v>4342.1059999999998</v>
      </c>
      <c r="N276">
        <v>7514.63</v>
      </c>
      <c r="O276">
        <v>35999.222999999998</v>
      </c>
      <c r="P276">
        <v>6295.1139999999996</v>
      </c>
      <c r="Q276">
        <v>826.63199999999995</v>
      </c>
      <c r="R276">
        <v>47350.004999999997</v>
      </c>
      <c r="S276">
        <v>47179.593000000001</v>
      </c>
      <c r="T276">
        <v>81614.232999999993</v>
      </c>
      <c r="U276">
        <v>69145.066000000006</v>
      </c>
      <c r="V276">
        <v>64600.62</v>
      </c>
      <c r="W276">
        <v>61761.873</v>
      </c>
      <c r="X276">
        <v>27.27</v>
      </c>
      <c r="Y276">
        <v>4</v>
      </c>
      <c r="Z276" t="s">
        <v>32</v>
      </c>
      <c r="AA276" t="s">
        <v>677</v>
      </c>
      <c r="AB276" t="s">
        <v>34</v>
      </c>
      <c r="AC276" s="7">
        <f t="shared" si="40"/>
        <v>6.7979899535086069E-2</v>
      </c>
      <c r="AD276" s="8">
        <f t="shared" si="41"/>
        <v>0.15599821495192806</v>
      </c>
      <c r="AE276" s="9">
        <f t="shared" si="42"/>
        <v>1.7489379358198477E-2</v>
      </c>
      <c r="AF276" s="8">
        <f t="shared" si="43"/>
        <v>5.3202803486494817E-2</v>
      </c>
      <c r="AG276" s="8">
        <f t="shared" si="44"/>
        <v>1.7298630151387697</v>
      </c>
      <c r="AH276" s="8">
        <f t="shared" si="45"/>
        <v>0.50094790451562543</v>
      </c>
      <c r="AI276" s="8">
        <f t="shared" si="46"/>
        <v>1.1062042639701977</v>
      </c>
      <c r="AJ276" s="8">
        <f t="shared" si="47"/>
        <v>0.27270135590197858</v>
      </c>
      <c r="AK276" s="8">
        <f t="shared" si="48"/>
        <v>0.95860481458583158</v>
      </c>
      <c r="AL276" s="8">
        <f t="shared" si="49"/>
        <v>13.815226988931178</v>
      </c>
    </row>
    <row r="277" spans="1:38">
      <c r="A277" t="s">
        <v>836</v>
      </c>
      <c r="B277" t="s">
        <v>837</v>
      </c>
      <c r="C277" t="s">
        <v>73</v>
      </c>
      <c r="D277">
        <v>88</v>
      </c>
      <c r="E277" t="s">
        <v>838</v>
      </c>
      <c r="F277">
        <v>1849.037</v>
      </c>
      <c r="G277">
        <v>7228.058</v>
      </c>
      <c r="H277">
        <v>59223.05</v>
      </c>
      <c r="I277">
        <v>32844.267</v>
      </c>
      <c r="J277">
        <v>59999.161</v>
      </c>
      <c r="K277">
        <v>1475.5540000000001</v>
      </c>
      <c r="L277">
        <v>36618.9</v>
      </c>
      <c r="M277">
        <v>23380.260999999999</v>
      </c>
      <c r="N277">
        <v>6017.6220000000003</v>
      </c>
      <c r="O277">
        <v>12068.357</v>
      </c>
      <c r="P277">
        <v>1436.895</v>
      </c>
      <c r="Q277">
        <v>284.52</v>
      </c>
      <c r="R277">
        <v>24140.874</v>
      </c>
      <c r="S277">
        <v>38055.794999999998</v>
      </c>
      <c r="T277">
        <v>73841.372000000003</v>
      </c>
      <c r="U277">
        <v>56200.925000000003</v>
      </c>
      <c r="V277">
        <v>68332.479999999996</v>
      </c>
      <c r="W277">
        <v>62543.42</v>
      </c>
      <c r="X277">
        <v>44.48</v>
      </c>
      <c r="Y277">
        <v>4</v>
      </c>
      <c r="Z277" t="s">
        <v>44</v>
      </c>
      <c r="AA277" t="s">
        <v>677</v>
      </c>
      <c r="AB277" t="s">
        <v>34</v>
      </c>
      <c r="AC277" s="7">
        <f t="shared" si="40"/>
        <v>2.8437470617732937E-2</v>
      </c>
      <c r="AD277" s="8">
        <f t="shared" si="41"/>
        <v>0.12204805392494983</v>
      </c>
      <c r="AE277" s="9">
        <f t="shared" si="42"/>
        <v>9.1490430138630088E-3</v>
      </c>
      <c r="AF277" s="8">
        <f t="shared" si="43"/>
        <v>0.31662820403716224</v>
      </c>
      <c r="AG277" s="8">
        <f t="shared" si="44"/>
        <v>1.9403450118437942</v>
      </c>
      <c r="AH277" s="8">
        <f t="shared" si="45"/>
        <v>0.49591304993628776</v>
      </c>
      <c r="AI277" s="8">
        <f t="shared" si="46"/>
        <v>1.6384752409274992</v>
      </c>
      <c r="AJ277" s="8">
        <f t="shared" si="47"/>
        <v>0.44479491794924936</v>
      </c>
      <c r="AK277" s="8">
        <f t="shared" si="48"/>
        <v>1.5766103690646853</v>
      </c>
      <c r="AL277" s="8">
        <f t="shared" si="49"/>
        <v>2.5330363078496005</v>
      </c>
    </row>
    <row r="278" spans="1:38">
      <c r="A278" t="s">
        <v>328</v>
      </c>
      <c r="B278" t="s">
        <v>839</v>
      </c>
      <c r="C278" t="s">
        <v>69</v>
      </c>
      <c r="D278">
        <v>25</v>
      </c>
      <c r="E278" t="s">
        <v>840</v>
      </c>
      <c r="F278">
        <v>-8382.3639999999996</v>
      </c>
      <c r="G278">
        <v>1877.1010000000001</v>
      </c>
      <c r="H278">
        <v>59066.423000000003</v>
      </c>
      <c r="I278">
        <v>5096.5389999999998</v>
      </c>
      <c r="J278">
        <v>1137348.7239999999</v>
      </c>
      <c r="K278">
        <v>722653.94299999997</v>
      </c>
      <c r="L278">
        <v>1127686.202</v>
      </c>
      <c r="M278">
        <v>9662.5220000000008</v>
      </c>
      <c r="N278">
        <v>-8363.7909999999993</v>
      </c>
      <c r="O278">
        <v>1139.5909999999999</v>
      </c>
      <c r="P278">
        <v>0</v>
      </c>
      <c r="Q278">
        <v>9962.009</v>
      </c>
      <c r="R278">
        <v>463318.27399999998</v>
      </c>
      <c r="S278">
        <v>1127686.202</v>
      </c>
      <c r="T278">
        <v>1138800.942</v>
      </c>
      <c r="U278">
        <v>482869.49300000002</v>
      </c>
      <c r="V278">
        <v>143491.38699999999</v>
      </c>
      <c r="W278">
        <v>1262.895</v>
      </c>
      <c r="X278">
        <v>0.45</v>
      </c>
      <c r="Y278">
        <v>4</v>
      </c>
      <c r="Z278" t="s">
        <v>39</v>
      </c>
      <c r="AA278" t="s">
        <v>677</v>
      </c>
      <c r="AB278" t="s">
        <v>34</v>
      </c>
      <c r="AC278" s="7">
        <f t="shared" si="40"/>
        <v>-1.0337937745038805E-2</v>
      </c>
      <c r="AD278" s="8">
        <f t="shared" si="41"/>
        <v>3.1779493401860481E-2</v>
      </c>
      <c r="AE278" s="9">
        <f t="shared" si="42"/>
        <v>1.2522917628799934E-2</v>
      </c>
      <c r="AF278" s="8">
        <f t="shared" si="43"/>
        <v>8.4848208704765907E-3</v>
      </c>
      <c r="AG278" s="8">
        <f t="shared" si="44"/>
        <v>1.0098562348109674</v>
      </c>
      <c r="AH278" s="8">
        <f t="shared" si="45"/>
        <v>0.99023996241127099</v>
      </c>
      <c r="AI278" s="8">
        <f t="shared" si="46"/>
        <v>1.0085684492573048</v>
      </c>
      <c r="AJ278" s="8">
        <f t="shared" si="47"/>
        <v>4.4753554480287741E-3</v>
      </c>
      <c r="AK278" s="8">
        <f t="shared" si="48"/>
        <v>1.0085684492573048</v>
      </c>
      <c r="AL278" s="8">
        <f t="shared" si="49"/>
        <v>6.1129405966682402</v>
      </c>
    </row>
    <row r="279" spans="1:38">
      <c r="A279" t="s">
        <v>841</v>
      </c>
      <c r="B279" t="s">
        <v>842</v>
      </c>
      <c r="C279" t="s">
        <v>69</v>
      </c>
      <c r="D279">
        <v>116</v>
      </c>
      <c r="E279" t="s">
        <v>843</v>
      </c>
      <c r="F279">
        <v>13609</v>
      </c>
      <c r="G279">
        <v>20969</v>
      </c>
      <c r="H279">
        <v>58066</v>
      </c>
      <c r="I279">
        <v>55044</v>
      </c>
      <c r="J279">
        <v>27724</v>
      </c>
      <c r="K279">
        <v>2568</v>
      </c>
      <c r="L279">
        <v>22085</v>
      </c>
      <c r="M279">
        <v>5639</v>
      </c>
      <c r="N279">
        <v>19110</v>
      </c>
      <c r="O279">
        <v>54569</v>
      </c>
      <c r="P279">
        <v>2130</v>
      </c>
      <c r="Q279">
        <v>3355</v>
      </c>
      <c r="R279">
        <v>22536</v>
      </c>
      <c r="S279">
        <v>24215</v>
      </c>
      <c r="T279">
        <v>82651</v>
      </c>
      <c r="U279">
        <v>85595</v>
      </c>
      <c r="V279">
        <v>70806</v>
      </c>
      <c r="W279">
        <v>68984</v>
      </c>
      <c r="X279">
        <v>66.599999999999994</v>
      </c>
      <c r="Y279">
        <v>4</v>
      </c>
      <c r="Z279" t="s">
        <v>39</v>
      </c>
      <c r="AA279" t="s">
        <v>677</v>
      </c>
      <c r="AB279" t="s">
        <v>34</v>
      </c>
      <c r="AC279" s="7">
        <f t="shared" si="40"/>
        <v>0.16177501991132032</v>
      </c>
      <c r="AD279" s="8">
        <f t="shared" si="41"/>
        <v>0.36112354906485722</v>
      </c>
      <c r="AE279" s="9">
        <f t="shared" si="42"/>
        <v>0.14352634168253087</v>
      </c>
      <c r="AF279" s="8">
        <f t="shared" si="43"/>
        <v>6.8226639726077121E-2</v>
      </c>
      <c r="AG279" s="8">
        <f t="shared" si="44"/>
        <v>3.4132149494115218</v>
      </c>
      <c r="AH279" s="8">
        <f t="shared" si="45"/>
        <v>0.2672078982710433</v>
      </c>
      <c r="AI279" s="8">
        <f t="shared" si="46"/>
        <v>1.2553316730812769</v>
      </c>
      <c r="AJ279" s="8">
        <f t="shared" si="47"/>
        <v>0.66598105286082443</v>
      </c>
      <c r="AK279" s="8">
        <f t="shared" si="48"/>
        <v>1.1449101796407186</v>
      </c>
      <c r="AL279" s="8">
        <f t="shared" si="49"/>
        <v>10.297215818407519</v>
      </c>
    </row>
    <row r="280" spans="1:38">
      <c r="A280" t="s">
        <v>337</v>
      </c>
      <c r="B280" t="s">
        <v>844</v>
      </c>
      <c r="C280" t="s">
        <v>42</v>
      </c>
      <c r="D280">
        <v>235</v>
      </c>
      <c r="E280" t="s">
        <v>845</v>
      </c>
      <c r="F280">
        <v>14271.662</v>
      </c>
      <c r="G280">
        <v>28558.577000000001</v>
      </c>
      <c r="H280">
        <v>57531.521000000001</v>
      </c>
      <c r="I280">
        <v>56366.754000000001</v>
      </c>
      <c r="J280">
        <v>520600.37099999998</v>
      </c>
      <c r="K280">
        <v>423246.402</v>
      </c>
      <c r="L280">
        <v>477225.15899999999</v>
      </c>
      <c r="M280">
        <v>43375.212</v>
      </c>
      <c r="N280">
        <v>19074.253000000001</v>
      </c>
      <c r="O280">
        <v>13611.874</v>
      </c>
      <c r="P280">
        <v>93.581999999999994</v>
      </c>
      <c r="Q280">
        <v>2188.239</v>
      </c>
      <c r="R280">
        <v>423815.81900000002</v>
      </c>
      <c r="S280">
        <v>477318.74099999998</v>
      </c>
      <c r="T280">
        <v>536116.66200000001</v>
      </c>
      <c r="U280">
        <v>488915.47</v>
      </c>
      <c r="V280">
        <v>429440.489</v>
      </c>
      <c r="W280">
        <v>388546.98300000001</v>
      </c>
      <c r="X280">
        <v>10.51</v>
      </c>
      <c r="Y280">
        <v>4</v>
      </c>
      <c r="Z280" t="s">
        <v>44</v>
      </c>
      <c r="AA280" t="s">
        <v>677</v>
      </c>
      <c r="AB280" t="s">
        <v>34</v>
      </c>
      <c r="AC280" s="7">
        <f t="shared" si="40"/>
        <v>2.7846272432755309E-2</v>
      </c>
      <c r="AD280" s="8">
        <f t="shared" si="41"/>
        <v>0.49639878285157801</v>
      </c>
      <c r="AE280" s="9">
        <f t="shared" si="42"/>
        <v>4.8566309564245323E-3</v>
      </c>
      <c r="AF280" s="8">
        <f t="shared" si="43"/>
        <v>8.0906293488785461E-2</v>
      </c>
      <c r="AG280" s="8">
        <f t="shared" si="44"/>
        <v>1.1231837678881333</v>
      </c>
      <c r="AH280" s="8">
        <f t="shared" si="45"/>
        <v>0.89015170172047364</v>
      </c>
      <c r="AI280" s="8">
        <f t="shared" si="46"/>
        <v>1.0908904553374563</v>
      </c>
      <c r="AJ280" s="8">
        <f t="shared" si="47"/>
        <v>0.10513897066679864</v>
      </c>
      <c r="AK280" s="8">
        <f t="shared" si="48"/>
        <v>1.0906765778970327</v>
      </c>
      <c r="AL280" s="8">
        <f t="shared" si="49"/>
        <v>1.3263686411492353</v>
      </c>
    </row>
    <row r="281" spans="1:38">
      <c r="A281" t="s">
        <v>347</v>
      </c>
      <c r="B281" t="s">
        <v>846</v>
      </c>
      <c r="C281" t="s">
        <v>42</v>
      </c>
      <c r="D281">
        <v>314</v>
      </c>
      <c r="E281" t="s">
        <v>847</v>
      </c>
      <c r="F281">
        <v>3922.3919999999998</v>
      </c>
      <c r="G281">
        <v>6876.97</v>
      </c>
      <c r="H281">
        <v>56576.788</v>
      </c>
      <c r="I281">
        <v>21491.813999999998</v>
      </c>
      <c r="J281">
        <v>71430.664000000004</v>
      </c>
      <c r="K281">
        <v>949.29399999999998</v>
      </c>
      <c r="L281">
        <v>60540.273999999998</v>
      </c>
      <c r="M281">
        <v>10890.39</v>
      </c>
      <c r="N281">
        <v>5931.1710000000003</v>
      </c>
      <c r="O281">
        <v>11596.656999999999</v>
      </c>
      <c r="P281">
        <v>0</v>
      </c>
      <c r="Q281">
        <v>74.56</v>
      </c>
      <c r="R281">
        <v>40079.012999999999</v>
      </c>
      <c r="S281">
        <v>60540.273999999998</v>
      </c>
      <c r="T281">
        <v>83030.324999999997</v>
      </c>
      <c r="U281">
        <v>58145.654999999999</v>
      </c>
      <c r="V281">
        <v>43683.881999999998</v>
      </c>
      <c r="W281">
        <v>49985.760000000002</v>
      </c>
      <c r="X281">
        <v>25.88</v>
      </c>
      <c r="Y281">
        <v>4</v>
      </c>
      <c r="Z281" t="s">
        <v>44</v>
      </c>
      <c r="AA281" t="s">
        <v>677</v>
      </c>
      <c r="AB281" t="s">
        <v>34</v>
      </c>
      <c r="AC281" s="7">
        <f t="shared" si="40"/>
        <v>5.5567413096760519E-2</v>
      </c>
      <c r="AD281" s="8">
        <f t="shared" si="41"/>
        <v>0.12155108557947829</v>
      </c>
      <c r="AE281" s="9">
        <f t="shared" si="42"/>
        <v>1.4820220302296518E-3</v>
      </c>
      <c r="AF281" s="8">
        <f t="shared" si="43"/>
        <v>0.1311615966816943</v>
      </c>
      <c r="AG281" s="8">
        <f t="shared" si="44"/>
        <v>1.3714890851006059</v>
      </c>
      <c r="AH281" s="8">
        <f t="shared" si="45"/>
        <v>0.72913449393339125</v>
      </c>
      <c r="AI281" s="8">
        <f t="shared" si="46"/>
        <v>1.1798866982333116</v>
      </c>
      <c r="AJ281" s="8">
        <f t="shared" si="47"/>
        <v>0.25884294683900128</v>
      </c>
      <c r="AK281" s="8">
        <f t="shared" si="48"/>
        <v>1.1798866982333116</v>
      </c>
      <c r="AL281" s="8">
        <f t="shared" si="49"/>
        <v>5.1951112861890163</v>
      </c>
    </row>
    <row r="282" spans="1:38">
      <c r="A282" t="s">
        <v>848</v>
      </c>
      <c r="B282" t="s">
        <v>849</v>
      </c>
      <c r="C282" t="s">
        <v>131</v>
      </c>
      <c r="D282">
        <v>142</v>
      </c>
      <c r="E282" t="s">
        <v>850</v>
      </c>
      <c r="F282">
        <v>356.286</v>
      </c>
      <c r="G282">
        <v>1655.5540000000001</v>
      </c>
      <c r="H282">
        <v>53160.898000000001</v>
      </c>
      <c r="I282">
        <v>54711.508000000002</v>
      </c>
      <c r="J282">
        <v>113181.016</v>
      </c>
      <c r="K282">
        <v>39875.828999999998</v>
      </c>
      <c r="L282">
        <v>66846.770999999993</v>
      </c>
      <c r="M282">
        <v>46334.245000000003</v>
      </c>
      <c r="N282">
        <v>1074.162</v>
      </c>
      <c r="O282">
        <v>17013.991999999998</v>
      </c>
      <c r="P282">
        <v>7187.8320000000003</v>
      </c>
      <c r="Q282">
        <v>546.99800000000005</v>
      </c>
      <c r="R282">
        <v>44038.463000000003</v>
      </c>
      <c r="S282">
        <v>74034.603000000003</v>
      </c>
      <c r="T282">
        <v>131262.076</v>
      </c>
      <c r="U282">
        <v>100659.36500000001</v>
      </c>
      <c r="V282">
        <v>121423.681</v>
      </c>
      <c r="W282">
        <v>135752.90700000001</v>
      </c>
      <c r="X282">
        <v>41.68</v>
      </c>
      <c r="Y282">
        <v>4</v>
      </c>
      <c r="Z282" t="s">
        <v>32</v>
      </c>
      <c r="AA282" t="s">
        <v>677</v>
      </c>
      <c r="AB282" t="s">
        <v>34</v>
      </c>
      <c r="AC282" s="7">
        <f t="shared" si="40"/>
        <v>3.0724714236317636E-3</v>
      </c>
      <c r="AD282" s="8">
        <f t="shared" si="41"/>
        <v>3.1142325699614781E-2</v>
      </c>
      <c r="AE282" s="9">
        <f t="shared" si="42"/>
        <v>9.2654153657702083E-3</v>
      </c>
      <c r="AF282" s="8">
        <f t="shared" si="43"/>
        <v>0.35299034124677414</v>
      </c>
      <c r="AG282" s="8">
        <f t="shared" si="44"/>
        <v>1.7729827767159094</v>
      </c>
      <c r="AH282" s="8">
        <f t="shared" si="45"/>
        <v>0.50926187545593893</v>
      </c>
      <c r="AI282" s="8">
        <f t="shared" si="46"/>
        <v>1.6931411092392183</v>
      </c>
      <c r="AJ282" s="8">
        <f t="shared" si="47"/>
        <v>0.41681123495258449</v>
      </c>
      <c r="AK282" s="8">
        <f t="shared" si="48"/>
        <v>1.5287583293990243</v>
      </c>
      <c r="AL282" s="8">
        <f t="shared" si="49"/>
        <v>1.1473349355320239</v>
      </c>
    </row>
    <row r="283" spans="1:38">
      <c r="A283" t="s">
        <v>359</v>
      </c>
      <c r="B283" t="s">
        <v>851</v>
      </c>
      <c r="C283" t="s">
        <v>69</v>
      </c>
      <c r="D283">
        <v>144</v>
      </c>
      <c r="E283" t="s">
        <v>852</v>
      </c>
      <c r="F283">
        <v>132.1</v>
      </c>
      <c r="G283">
        <v>4336.2849999999999</v>
      </c>
      <c r="H283">
        <v>52204.805999999997</v>
      </c>
      <c r="I283">
        <v>8026.2389999999996</v>
      </c>
      <c r="J283">
        <v>27105.276000000002</v>
      </c>
      <c r="K283">
        <v>2141.3150000000001</v>
      </c>
      <c r="L283">
        <v>29088.487000000001</v>
      </c>
      <c r="M283">
        <v>-1983.211</v>
      </c>
      <c r="N283">
        <v>2238.66</v>
      </c>
      <c r="O283">
        <v>16847.623</v>
      </c>
      <c r="P283">
        <v>7604.9210000000003</v>
      </c>
      <c r="Q283">
        <v>1915.3879999999999</v>
      </c>
      <c r="R283">
        <v>35721.870999999999</v>
      </c>
      <c r="S283">
        <v>36693.408000000003</v>
      </c>
      <c r="T283">
        <v>46674.42</v>
      </c>
      <c r="U283">
        <v>46265.667999999998</v>
      </c>
      <c r="V283">
        <v>37348.769999999997</v>
      </c>
      <c r="W283">
        <v>32711.312000000002</v>
      </c>
      <c r="X283">
        <v>17.2</v>
      </c>
      <c r="Y283">
        <v>4</v>
      </c>
      <c r="Z283" t="s">
        <v>39</v>
      </c>
      <c r="AA283" t="s">
        <v>677</v>
      </c>
      <c r="AB283" t="s">
        <v>34</v>
      </c>
      <c r="AC283" s="7">
        <f t="shared" si="40"/>
        <v>2.8426915197239757E-3</v>
      </c>
      <c r="AD283" s="8">
        <f t="shared" si="41"/>
        <v>8.306294635018853E-2</v>
      </c>
      <c r="AE283" s="9">
        <f t="shared" si="42"/>
        <v>5.2900106895949393E-2</v>
      </c>
      <c r="AF283" s="8">
        <f t="shared" si="43"/>
        <v>-4.2490319108410987E-2</v>
      </c>
      <c r="AG283" s="8">
        <f t="shared" si="44"/>
        <v>1.272011038058934</v>
      </c>
      <c r="AH283" s="8">
        <f t="shared" si="45"/>
        <v>0.62322117768147955</v>
      </c>
      <c r="AI283" s="8">
        <f t="shared" si="46"/>
        <v>0.93182144537115319</v>
      </c>
      <c r="AJ283" s="8">
        <f t="shared" si="47"/>
        <v>0.17196226541218937</v>
      </c>
      <c r="AK283" s="8">
        <f t="shared" si="48"/>
        <v>0.73869606224638495</v>
      </c>
      <c r="AL283" s="8">
        <f t="shared" si="49"/>
        <v>-26.323374567809473</v>
      </c>
    </row>
    <row r="284" spans="1:38">
      <c r="A284" t="s">
        <v>853</v>
      </c>
      <c r="B284" t="s">
        <v>854</v>
      </c>
      <c r="C284" t="s">
        <v>86</v>
      </c>
      <c r="D284">
        <v>115</v>
      </c>
      <c r="E284" t="s">
        <v>855</v>
      </c>
      <c r="F284">
        <v>411.62200000000001</v>
      </c>
      <c r="G284">
        <v>1332.7049999999999</v>
      </c>
      <c r="H284">
        <v>49588.800000000003</v>
      </c>
      <c r="I284">
        <v>992.14200000000005</v>
      </c>
      <c r="J284">
        <v>36778.839</v>
      </c>
      <c r="K284">
        <v>0</v>
      </c>
      <c r="L284">
        <v>38047.713000000003</v>
      </c>
      <c r="M284">
        <v>-1268.874</v>
      </c>
      <c r="N284">
        <v>1004.773</v>
      </c>
      <c r="O284">
        <v>4524.5659999999998</v>
      </c>
      <c r="P284">
        <v>1334.5419999999999</v>
      </c>
      <c r="Q284">
        <v>111.121</v>
      </c>
      <c r="R284">
        <v>7874.643</v>
      </c>
      <c r="S284">
        <v>39382.254999999997</v>
      </c>
      <c r="T284">
        <v>41518.481</v>
      </c>
      <c r="U284">
        <v>9825.857</v>
      </c>
      <c r="V284">
        <v>1818.021</v>
      </c>
      <c r="W284">
        <v>943.84900000000005</v>
      </c>
      <c r="X284">
        <v>2.39</v>
      </c>
      <c r="Y284">
        <v>4</v>
      </c>
      <c r="Z284" t="s">
        <v>57</v>
      </c>
      <c r="AA284" t="s">
        <v>677</v>
      </c>
      <c r="AB284" t="s">
        <v>34</v>
      </c>
      <c r="AC284" s="7">
        <f t="shared" si="40"/>
        <v>1.603378351085177E-2</v>
      </c>
      <c r="AD284" s="8">
        <f t="shared" si="41"/>
        <v>2.6875120995063399E-2</v>
      </c>
      <c r="AE284" s="9">
        <f t="shared" si="42"/>
        <v>4.7028478255174509E-3</v>
      </c>
      <c r="AF284" s="8">
        <f t="shared" si="43"/>
        <v>-3.0561667224771542E-2</v>
      </c>
      <c r="AG284" s="8">
        <f t="shared" si="44"/>
        <v>1.0542433641750582</v>
      </c>
      <c r="AH284" s="8">
        <f t="shared" si="45"/>
        <v>0.9164042634411409</v>
      </c>
      <c r="AI284" s="8">
        <f t="shared" si="46"/>
        <v>0.96665045281433859</v>
      </c>
      <c r="AJ284" s="8">
        <f t="shared" si="47"/>
        <v>2.3896394475510799E-2</v>
      </c>
      <c r="AK284" s="8">
        <f t="shared" si="48"/>
        <v>0.93389367876471274</v>
      </c>
      <c r="AL284" s="8">
        <f t="shared" si="49"/>
        <v>-39.080948935828147</v>
      </c>
    </row>
    <row r="285" spans="1:38">
      <c r="A285" t="s">
        <v>383</v>
      </c>
      <c r="B285" t="s">
        <v>856</v>
      </c>
      <c r="C285" t="s">
        <v>86</v>
      </c>
      <c r="D285">
        <v>29</v>
      </c>
      <c r="E285" t="s">
        <v>857</v>
      </c>
      <c r="F285">
        <v>2252.64</v>
      </c>
      <c r="G285">
        <v>4771.22</v>
      </c>
      <c r="H285">
        <v>49542.275000000001</v>
      </c>
      <c r="I285">
        <v>37933.523999999998</v>
      </c>
      <c r="J285">
        <v>41272.281000000003</v>
      </c>
      <c r="K285">
        <v>785.46199999999999</v>
      </c>
      <c r="L285">
        <v>10418.817999999999</v>
      </c>
      <c r="M285">
        <v>30853.463</v>
      </c>
      <c r="N285">
        <v>3958.0830000000001</v>
      </c>
      <c r="O285">
        <v>8296.5439999999999</v>
      </c>
      <c r="P285">
        <v>5.19</v>
      </c>
      <c r="Q285">
        <v>0.86499999999999999</v>
      </c>
      <c r="R285">
        <v>11707.386</v>
      </c>
      <c r="S285">
        <v>10424.008</v>
      </c>
      <c r="T285">
        <v>49609.425999999999</v>
      </c>
      <c r="U285">
        <v>48105.572999999997</v>
      </c>
      <c r="V285">
        <v>45303.071000000004</v>
      </c>
      <c r="W285">
        <v>41685.976000000002</v>
      </c>
      <c r="X285">
        <v>76.459999999999994</v>
      </c>
      <c r="Y285">
        <v>4</v>
      </c>
      <c r="Z285" t="s">
        <v>57</v>
      </c>
      <c r="AA285" t="s">
        <v>677</v>
      </c>
      <c r="AB285" t="s">
        <v>34</v>
      </c>
      <c r="AC285" s="7">
        <f t="shared" si="40"/>
        <v>4.6106330103938289E-2</v>
      </c>
      <c r="AD285" s="8">
        <f t="shared" si="41"/>
        <v>9.6306033584448836E-2</v>
      </c>
      <c r="AE285" s="9">
        <f t="shared" si="42"/>
        <v>7.8169499851658684E-5</v>
      </c>
      <c r="AF285" s="8">
        <f t="shared" si="43"/>
        <v>0.62192743370987602</v>
      </c>
      <c r="AG285" s="8">
        <f t="shared" si="44"/>
        <v>4.7591507988098245</v>
      </c>
      <c r="AH285" s="8">
        <f t="shared" si="45"/>
        <v>0.21001690283616664</v>
      </c>
      <c r="AI285" s="8">
        <f t="shared" si="46"/>
        <v>3.9613208523270109</v>
      </c>
      <c r="AJ285" s="8">
        <f t="shared" si="47"/>
        <v>0.76464347722950876</v>
      </c>
      <c r="AK285" s="8">
        <f t="shared" si="48"/>
        <v>3.9593485538384088</v>
      </c>
      <c r="AL285" s="8">
        <f t="shared" si="49"/>
        <v>1.6057281803342465</v>
      </c>
    </row>
    <row r="286" spans="1:38">
      <c r="A286" t="s">
        <v>858</v>
      </c>
      <c r="B286" t="s">
        <v>859</v>
      </c>
      <c r="C286" t="s">
        <v>42</v>
      </c>
      <c r="D286">
        <v>112</v>
      </c>
      <c r="E286" t="s">
        <v>860</v>
      </c>
      <c r="F286">
        <v>4338.7179999999998</v>
      </c>
      <c r="G286">
        <v>5894.1469999999999</v>
      </c>
      <c r="H286">
        <v>48931.902999999998</v>
      </c>
      <c r="I286">
        <v>15311.331</v>
      </c>
      <c r="J286">
        <v>37390.423000000003</v>
      </c>
      <c r="K286">
        <v>85</v>
      </c>
      <c r="L286">
        <v>33862.305999999997</v>
      </c>
      <c r="M286">
        <v>3528.1170000000002</v>
      </c>
      <c r="N286">
        <v>5284.9880000000003</v>
      </c>
      <c r="O286">
        <v>16564.206999999999</v>
      </c>
      <c r="P286">
        <v>4370.0140000000001</v>
      </c>
      <c r="Q286">
        <v>377.15</v>
      </c>
      <c r="R286">
        <v>23832.261999999999</v>
      </c>
      <c r="S286">
        <v>38232.32</v>
      </c>
      <c r="T286">
        <v>54357.756000000001</v>
      </c>
      <c r="U286">
        <v>35766.57</v>
      </c>
      <c r="V286">
        <v>32154.47</v>
      </c>
      <c r="W286">
        <v>31571.822</v>
      </c>
      <c r="X286">
        <v>28.17</v>
      </c>
      <c r="Y286">
        <v>4</v>
      </c>
      <c r="Z286" t="s">
        <v>44</v>
      </c>
      <c r="AA286" t="s">
        <v>677</v>
      </c>
      <c r="AB286" t="s">
        <v>34</v>
      </c>
      <c r="AC286" s="7">
        <f t="shared" si="40"/>
        <v>9.6282950288027663E-2</v>
      </c>
      <c r="AD286" s="8">
        <f t="shared" si="41"/>
        <v>0.12045611632966738</v>
      </c>
      <c r="AE286" s="9">
        <f t="shared" si="42"/>
        <v>1.2153469429633797E-2</v>
      </c>
      <c r="AF286" s="8">
        <f t="shared" si="43"/>
        <v>6.490549389124893E-2</v>
      </c>
      <c r="AG286" s="8">
        <f t="shared" si="44"/>
        <v>1.4217749799122836</v>
      </c>
      <c r="AH286" s="8">
        <f t="shared" si="45"/>
        <v>0.62295261047935824</v>
      </c>
      <c r="AI286" s="8">
        <f t="shared" si="46"/>
        <v>1.1041900985715505</v>
      </c>
      <c r="AJ286" s="8">
        <f t="shared" si="47"/>
        <v>0.28167702507807718</v>
      </c>
      <c r="AK286" s="8">
        <f t="shared" si="48"/>
        <v>0.97797944252402158</v>
      </c>
      <c r="AL286" s="8">
        <f t="shared" si="49"/>
        <v>13.869127072599916</v>
      </c>
    </row>
    <row r="287" spans="1:38">
      <c r="A287" t="s">
        <v>410</v>
      </c>
      <c r="B287" t="s">
        <v>861</v>
      </c>
      <c r="C287" t="s">
        <v>55</v>
      </c>
      <c r="D287">
        <v>152</v>
      </c>
      <c r="E287" t="s">
        <v>862</v>
      </c>
      <c r="F287">
        <v>389.11200000000002</v>
      </c>
      <c r="G287">
        <v>830.78</v>
      </c>
      <c r="H287">
        <v>47677.457999999999</v>
      </c>
      <c r="I287">
        <v>5067.2560000000003</v>
      </c>
      <c r="J287">
        <v>18011.618999999999</v>
      </c>
      <c r="K287">
        <v>496.233</v>
      </c>
      <c r="L287">
        <v>10495.922</v>
      </c>
      <c r="M287">
        <v>7515.6970000000001</v>
      </c>
      <c r="N287">
        <v>581.99300000000005</v>
      </c>
      <c r="O287">
        <v>1303.4590000000001</v>
      </c>
      <c r="P287">
        <v>3546.3960000000002</v>
      </c>
      <c r="Q287">
        <v>272.74</v>
      </c>
      <c r="R287">
        <v>14933.632</v>
      </c>
      <c r="S287">
        <v>14042.317999999999</v>
      </c>
      <c r="T287">
        <v>19712.475999999999</v>
      </c>
      <c r="U287">
        <v>23518.947</v>
      </c>
      <c r="V287">
        <v>19180.846000000001</v>
      </c>
      <c r="W287">
        <v>15269.646000000001</v>
      </c>
      <c r="X287">
        <v>25.71</v>
      </c>
      <c r="Y287">
        <v>4</v>
      </c>
      <c r="Z287" t="s">
        <v>57</v>
      </c>
      <c r="AA287" t="s">
        <v>677</v>
      </c>
      <c r="AB287" t="s">
        <v>34</v>
      </c>
      <c r="AC287" s="7">
        <f t="shared" si="40"/>
        <v>1.8001350545412305E-2</v>
      </c>
      <c r="AD287" s="8">
        <f t="shared" si="41"/>
        <v>1.7425006173777135E-2</v>
      </c>
      <c r="AE287" s="9">
        <f t="shared" si="42"/>
        <v>1.8825267161214736E-2</v>
      </c>
      <c r="AF287" s="8">
        <f t="shared" si="43"/>
        <v>0.3812660063606419</v>
      </c>
      <c r="AG287" s="8">
        <f t="shared" si="44"/>
        <v>1.4037907416709976</v>
      </c>
      <c r="AH287" s="8">
        <f t="shared" si="45"/>
        <v>0.53245071801228827</v>
      </c>
      <c r="AI287" s="8">
        <f t="shared" si="46"/>
        <v>1.7160587702538184</v>
      </c>
      <c r="AJ287" s="8">
        <f t="shared" si="47"/>
        <v>0.2570583218465301</v>
      </c>
      <c r="AK287" s="8">
        <f t="shared" si="48"/>
        <v>1.2826670781846701</v>
      </c>
      <c r="AL287" s="8">
        <f t="shared" si="49"/>
        <v>6.343717422349517</v>
      </c>
    </row>
    <row r="288" spans="1:38">
      <c r="A288" t="s">
        <v>863</v>
      </c>
      <c r="B288" t="s">
        <v>864</v>
      </c>
      <c r="C288" t="s">
        <v>42</v>
      </c>
      <c r="D288">
        <v>181</v>
      </c>
      <c r="E288" t="s">
        <v>865</v>
      </c>
      <c r="F288">
        <v>1356.865</v>
      </c>
      <c r="G288">
        <v>2883.5059999999999</v>
      </c>
      <c r="H288">
        <v>47503.438999999998</v>
      </c>
      <c r="I288">
        <v>6427.482</v>
      </c>
      <c r="J288">
        <v>53527.648999999998</v>
      </c>
      <c r="K288">
        <v>502.87</v>
      </c>
      <c r="L288">
        <v>32349.567999999999</v>
      </c>
      <c r="M288">
        <v>21178.080999999998</v>
      </c>
      <c r="N288">
        <v>1747.191</v>
      </c>
      <c r="O288">
        <v>8022.5730000000003</v>
      </c>
      <c r="P288">
        <v>21454.837</v>
      </c>
      <c r="Q288">
        <v>342.18200000000002</v>
      </c>
      <c r="R288">
        <v>54874.167999999998</v>
      </c>
      <c r="S288">
        <v>53804.404999999999</v>
      </c>
      <c r="T288">
        <v>62237.017999999996</v>
      </c>
      <c r="U288">
        <v>61606.337</v>
      </c>
      <c r="V288">
        <v>57439.546000000002</v>
      </c>
      <c r="W288">
        <v>12453.194</v>
      </c>
      <c r="X288">
        <v>10.33</v>
      </c>
      <c r="Y288">
        <v>4</v>
      </c>
      <c r="Z288" t="s">
        <v>44</v>
      </c>
      <c r="AA288" t="s">
        <v>677</v>
      </c>
      <c r="AB288" t="s">
        <v>34</v>
      </c>
      <c r="AC288" s="7">
        <f t="shared" si="40"/>
        <v>2.191260080122991E-2</v>
      </c>
      <c r="AD288" s="8">
        <f t="shared" si="41"/>
        <v>6.070099472166636E-2</v>
      </c>
      <c r="AE288" s="9">
        <f t="shared" si="42"/>
        <v>6.2971382592592563E-3</v>
      </c>
      <c r="AF288" s="8">
        <f t="shared" si="43"/>
        <v>0.34028110087151026</v>
      </c>
      <c r="AG288" s="8">
        <f t="shared" si="44"/>
        <v>1.1567271861848485</v>
      </c>
      <c r="AH288" s="8">
        <f t="shared" si="45"/>
        <v>0.51978017327244053</v>
      </c>
      <c r="AI288" s="8">
        <f t="shared" si="46"/>
        <v>1.6546634873145756</v>
      </c>
      <c r="AJ288" s="8">
        <f t="shared" si="47"/>
        <v>0.10327426034454286</v>
      </c>
      <c r="AK288" s="8">
        <f t="shared" si="48"/>
        <v>0.99485625758708784</v>
      </c>
      <c r="AL288" s="8">
        <f t="shared" si="49"/>
        <v>2.2430473752555771</v>
      </c>
    </row>
    <row r="289" spans="1:38">
      <c r="A289" t="s">
        <v>866</v>
      </c>
      <c r="B289" t="s">
        <v>867</v>
      </c>
      <c r="C289" t="s">
        <v>86</v>
      </c>
      <c r="D289">
        <v>85</v>
      </c>
      <c r="E289" t="s">
        <v>868</v>
      </c>
      <c r="F289">
        <v>556.10400000000004</v>
      </c>
      <c r="G289">
        <v>2062.9290000000001</v>
      </c>
      <c r="H289">
        <v>35641.978000000003</v>
      </c>
      <c r="I289">
        <v>1064.96</v>
      </c>
      <c r="J289">
        <v>21154.845000000001</v>
      </c>
      <c r="K289">
        <v>2669.0830000000001</v>
      </c>
      <c r="L289">
        <v>13175.064</v>
      </c>
      <c r="M289">
        <v>7979.7809999999999</v>
      </c>
      <c r="N289">
        <v>1377.5709999999999</v>
      </c>
      <c r="O289">
        <v>1365.8420000000001</v>
      </c>
      <c r="P289">
        <v>5961.2030000000004</v>
      </c>
      <c r="Q289">
        <v>328.78</v>
      </c>
      <c r="R289">
        <v>14577.67</v>
      </c>
      <c r="S289">
        <v>19136.267</v>
      </c>
      <c r="T289">
        <v>22591.088</v>
      </c>
      <c r="U289">
        <v>19024.8</v>
      </c>
      <c r="V289">
        <v>10074.832</v>
      </c>
      <c r="W289">
        <v>9570.8259999999991</v>
      </c>
      <c r="X289">
        <v>4.71</v>
      </c>
      <c r="Y289">
        <v>4</v>
      </c>
      <c r="Z289" t="s">
        <v>57</v>
      </c>
      <c r="AA289" t="s">
        <v>677</v>
      </c>
      <c r="AB289" t="s">
        <v>34</v>
      </c>
      <c r="AC289" s="7">
        <f t="shared" si="40"/>
        <v>2.6725562121851155E-2</v>
      </c>
      <c r="AD289" s="8">
        <f t="shared" si="41"/>
        <v>5.7879195144556791E-2</v>
      </c>
      <c r="AE289" s="9">
        <f t="shared" si="42"/>
        <v>1.9504100040288977E-2</v>
      </c>
      <c r="AF289" s="8">
        <f t="shared" si="43"/>
        <v>0.35322694506789581</v>
      </c>
      <c r="AG289" s="8">
        <f t="shared" si="44"/>
        <v>1.1805378760653789</v>
      </c>
      <c r="AH289" s="8">
        <f t="shared" si="45"/>
        <v>0.58319740952715515</v>
      </c>
      <c r="AI289" s="8">
        <f t="shared" si="46"/>
        <v>1.6056730350607784</v>
      </c>
      <c r="AJ289" s="8">
        <f t="shared" si="47"/>
        <v>4.7140713187430371E-2</v>
      </c>
      <c r="AK289" s="8">
        <f t="shared" si="48"/>
        <v>1.1054844186695347</v>
      </c>
      <c r="AL289" s="8">
        <f t="shared" si="49"/>
        <v>4.4665358610718773</v>
      </c>
    </row>
    <row r="290" spans="1:38">
      <c r="A290" t="s">
        <v>869</v>
      </c>
      <c r="B290" t="s">
        <v>870</v>
      </c>
      <c r="C290" t="s">
        <v>42</v>
      </c>
      <c r="D290">
        <v>60</v>
      </c>
      <c r="E290" t="s">
        <v>871</v>
      </c>
      <c r="F290">
        <v>555.71</v>
      </c>
      <c r="G290">
        <v>1202.1369999999999</v>
      </c>
      <c r="H290">
        <v>23450.376</v>
      </c>
      <c r="I290">
        <v>2477.3440000000001</v>
      </c>
      <c r="J290">
        <v>21216.996999999999</v>
      </c>
      <c r="K290">
        <v>289.92599999999999</v>
      </c>
      <c r="L290">
        <v>14716.35</v>
      </c>
      <c r="M290">
        <v>6500.6469999999999</v>
      </c>
      <c r="N290">
        <v>739.46199999999999</v>
      </c>
      <c r="O290">
        <v>684.58500000000004</v>
      </c>
      <c r="P290">
        <v>4061.3049999999998</v>
      </c>
      <c r="Q290">
        <v>1301.299</v>
      </c>
      <c r="R290">
        <v>14008.776</v>
      </c>
      <c r="S290">
        <v>18777.654999999999</v>
      </c>
      <c r="T290">
        <v>21958.052</v>
      </c>
      <c r="U290">
        <v>17147.912</v>
      </c>
      <c r="V290">
        <v>15538.963</v>
      </c>
      <c r="W290">
        <v>4921.7139999999999</v>
      </c>
      <c r="X290">
        <v>11.28</v>
      </c>
      <c r="Y290">
        <v>4</v>
      </c>
      <c r="Z290" t="s">
        <v>44</v>
      </c>
      <c r="AA290" t="s">
        <v>677</v>
      </c>
      <c r="AB290" t="s">
        <v>34</v>
      </c>
      <c r="AC290" s="7">
        <f t="shared" si="40"/>
        <v>2.8420728868875349E-2</v>
      </c>
      <c r="AD290" s="8">
        <f t="shared" si="41"/>
        <v>5.1263015995990847E-2</v>
      </c>
      <c r="AE290" s="9">
        <f t="shared" si="42"/>
        <v>7.9380338774903567E-2</v>
      </c>
      <c r="AF290" s="8">
        <f t="shared" si="43"/>
        <v>0.29604843817657411</v>
      </c>
      <c r="AG290" s="8">
        <f t="shared" si="44"/>
        <v>1.1693713618660051</v>
      </c>
      <c r="AH290" s="8">
        <f t="shared" si="45"/>
        <v>0.67020289413651091</v>
      </c>
      <c r="AI290" s="8">
        <f t="shared" si="46"/>
        <v>1.4417295728900168</v>
      </c>
      <c r="AJ290" s="8">
        <f t="shared" si="47"/>
        <v>0.11282166560130198</v>
      </c>
      <c r="AK290" s="8">
        <f t="shared" si="48"/>
        <v>1.129906636371794</v>
      </c>
      <c r="AL290" s="8">
        <f t="shared" si="49"/>
        <v>3.6073910796879143</v>
      </c>
    </row>
    <row r="291" spans="1:38">
      <c r="A291" t="s">
        <v>872</v>
      </c>
      <c r="B291" t="s">
        <v>873</v>
      </c>
      <c r="C291" t="s">
        <v>42</v>
      </c>
      <c r="D291">
        <v>66</v>
      </c>
      <c r="E291" t="s">
        <v>874</v>
      </c>
      <c r="F291">
        <v>493.06299999999999</v>
      </c>
      <c r="G291">
        <v>1321.1020000000001</v>
      </c>
      <c r="H291">
        <v>21223.453000000001</v>
      </c>
      <c r="I291">
        <v>1909.1880000000001</v>
      </c>
      <c r="J291">
        <v>19738.080000000002</v>
      </c>
      <c r="K291">
        <v>2117.1410000000001</v>
      </c>
      <c r="L291">
        <v>17805.144</v>
      </c>
      <c r="M291">
        <v>1932.9359999999999</v>
      </c>
      <c r="N291">
        <v>806.70100000000002</v>
      </c>
      <c r="O291">
        <v>728.66</v>
      </c>
      <c r="P291">
        <v>815.65599999999995</v>
      </c>
      <c r="Q291">
        <v>204.303</v>
      </c>
      <c r="R291">
        <v>8265.8140000000003</v>
      </c>
      <c r="S291">
        <v>18620.8</v>
      </c>
      <c r="T291">
        <v>20831.648000000001</v>
      </c>
      <c r="U291">
        <v>9145.9130000000005</v>
      </c>
      <c r="V291">
        <v>5441.6260000000002</v>
      </c>
      <c r="W291">
        <v>432.33300000000003</v>
      </c>
      <c r="X291">
        <v>9.16</v>
      </c>
      <c r="Y291">
        <v>4</v>
      </c>
      <c r="Z291" t="s">
        <v>44</v>
      </c>
      <c r="AA291" t="s">
        <v>677</v>
      </c>
      <c r="AB291" t="s">
        <v>34</v>
      </c>
      <c r="AC291" s="7">
        <f t="shared" si="40"/>
        <v>3.2895471382745248E-2</v>
      </c>
      <c r="AD291" s="8">
        <f t="shared" si="41"/>
        <v>6.2247269565418976E-2</v>
      </c>
      <c r="AE291" s="9">
        <f t="shared" si="42"/>
        <v>1.5197376657395385E-2</v>
      </c>
      <c r="AF291" s="8">
        <f t="shared" si="43"/>
        <v>9.2788434213174106E-2</v>
      </c>
      <c r="AG291" s="8">
        <f t="shared" si="44"/>
        <v>1.1187300223406085</v>
      </c>
      <c r="AH291" s="8">
        <f t="shared" si="45"/>
        <v>0.85471605510999416</v>
      </c>
      <c r="AI291" s="8">
        <f t="shared" si="46"/>
        <v>1.1085605373368506</v>
      </c>
      <c r="AJ291" s="8">
        <f t="shared" si="47"/>
        <v>9.1648437992039811E-2</v>
      </c>
      <c r="AK291" s="8">
        <f t="shared" si="48"/>
        <v>1.0600017185083348</v>
      </c>
      <c r="AL291" s="8">
        <f t="shared" si="49"/>
        <v>10.979904663165259</v>
      </c>
    </row>
    <row r="292" spans="1:38">
      <c r="A292" t="s">
        <v>875</v>
      </c>
      <c r="B292" t="s">
        <v>876</v>
      </c>
      <c r="C292" t="s">
        <v>69</v>
      </c>
      <c r="D292">
        <v>19</v>
      </c>
      <c r="E292" t="s">
        <v>877</v>
      </c>
      <c r="F292">
        <v>20.193999999999999</v>
      </c>
      <c r="G292">
        <v>189.50399999999999</v>
      </c>
      <c r="H292">
        <v>11933.227000000001</v>
      </c>
      <c r="I292">
        <v>787.97299999999996</v>
      </c>
      <c r="J292">
        <v>3690.14</v>
      </c>
      <c r="K292">
        <v>208.76900000000001</v>
      </c>
      <c r="L292">
        <v>3108.212</v>
      </c>
      <c r="M292">
        <v>581.928</v>
      </c>
      <c r="N292">
        <v>122.304</v>
      </c>
      <c r="O292">
        <v>309.375</v>
      </c>
      <c r="P292">
        <v>26.991</v>
      </c>
      <c r="Q292">
        <v>0.192</v>
      </c>
      <c r="R292">
        <v>2012.807</v>
      </c>
      <c r="S292">
        <v>3135.203</v>
      </c>
      <c r="T292">
        <v>4027.1529999999998</v>
      </c>
      <c r="U292">
        <v>2852.49</v>
      </c>
      <c r="V292">
        <v>1847.671</v>
      </c>
      <c r="W292">
        <v>1143.8219999999999</v>
      </c>
      <c r="X292">
        <v>19.57</v>
      </c>
      <c r="Y292">
        <v>3</v>
      </c>
      <c r="Z292" t="s">
        <v>39</v>
      </c>
      <c r="AA292" t="s">
        <v>677</v>
      </c>
      <c r="AB292" t="s">
        <v>34</v>
      </c>
      <c r="AC292" s="7">
        <f t="shared" si="40"/>
        <v>5.8706534626869443E-3</v>
      </c>
      <c r="AD292" s="8">
        <f t="shared" si="41"/>
        <v>1.5880364967497892E-2</v>
      </c>
      <c r="AE292" s="9">
        <f t="shared" si="42"/>
        <v>7.4591929697106265E-5</v>
      </c>
      <c r="AF292" s="8">
        <f t="shared" si="43"/>
        <v>0.14450109047259938</v>
      </c>
      <c r="AG292" s="8">
        <f t="shared" si="44"/>
        <v>1.2844951347647984</v>
      </c>
      <c r="AH292" s="8">
        <f t="shared" si="45"/>
        <v>0.77181373541059906</v>
      </c>
      <c r="AI292" s="8">
        <f t="shared" si="46"/>
        <v>1.1872227505717112</v>
      </c>
      <c r="AJ292" s="8">
        <f t="shared" si="47"/>
        <v>0.19566502688127319</v>
      </c>
      <c r="AK292" s="8">
        <f t="shared" si="48"/>
        <v>1.1770019357598216</v>
      </c>
      <c r="AL292" s="8">
        <f t="shared" si="49"/>
        <v>20.506363330171432</v>
      </c>
    </row>
    <row r="293" spans="1:38">
      <c r="A293" t="s">
        <v>878</v>
      </c>
      <c r="B293" t="s">
        <v>879</v>
      </c>
      <c r="C293" t="s">
        <v>55</v>
      </c>
      <c r="D293">
        <v>83</v>
      </c>
      <c r="E293" t="s">
        <v>880</v>
      </c>
      <c r="F293">
        <v>240.625</v>
      </c>
      <c r="G293">
        <v>1207.7860000000001</v>
      </c>
      <c r="H293">
        <v>11448.187</v>
      </c>
      <c r="I293">
        <v>4209.7290000000003</v>
      </c>
      <c r="J293">
        <v>13792.902</v>
      </c>
      <c r="K293">
        <v>2986.8989999999999</v>
      </c>
      <c r="L293">
        <v>9342.3050000000003</v>
      </c>
      <c r="M293">
        <v>4450.5969999999998</v>
      </c>
      <c r="N293">
        <v>768.34199999999998</v>
      </c>
      <c r="O293">
        <v>4859.3630000000003</v>
      </c>
      <c r="P293">
        <v>2132.65</v>
      </c>
      <c r="Q293">
        <v>528.52700000000004</v>
      </c>
      <c r="R293">
        <v>12974.529</v>
      </c>
      <c r="S293">
        <v>11474.955</v>
      </c>
      <c r="T293">
        <v>19018.588</v>
      </c>
      <c r="U293">
        <v>19407.166000000001</v>
      </c>
      <c r="V293">
        <v>15530.249</v>
      </c>
      <c r="W293">
        <v>8269.7610000000004</v>
      </c>
      <c r="X293">
        <v>22.13</v>
      </c>
      <c r="Y293">
        <v>4</v>
      </c>
      <c r="Z293" t="s">
        <v>57</v>
      </c>
      <c r="AA293" t="s">
        <v>677</v>
      </c>
      <c r="AB293" t="s">
        <v>34</v>
      </c>
      <c r="AC293" s="7">
        <f t="shared" si="40"/>
        <v>1.2524152421316182E-2</v>
      </c>
      <c r="AD293" s="8">
        <f t="shared" si="41"/>
        <v>0.10550019841569674</v>
      </c>
      <c r="AE293" s="9">
        <f t="shared" si="42"/>
        <v>4.3234204860928764E-2</v>
      </c>
      <c r="AF293" s="8">
        <f t="shared" si="43"/>
        <v>0.23401300874702158</v>
      </c>
      <c r="AG293" s="8">
        <f t="shared" si="44"/>
        <v>1.6573997893673658</v>
      </c>
      <c r="AH293" s="8">
        <f t="shared" si="45"/>
        <v>0.4912196951740056</v>
      </c>
      <c r="AI293" s="8">
        <f t="shared" si="46"/>
        <v>1.4763917470046204</v>
      </c>
      <c r="AJ293" s="8">
        <f t="shared" si="47"/>
        <v>0.2213481358342691</v>
      </c>
      <c r="AK293" s="8">
        <f t="shared" si="48"/>
        <v>1.2020005307210355</v>
      </c>
      <c r="AL293" s="8">
        <f t="shared" si="49"/>
        <v>2.5722812018252834</v>
      </c>
    </row>
    <row r="294" spans="1:38">
      <c r="A294" t="s">
        <v>881</v>
      </c>
      <c r="B294" t="s">
        <v>882</v>
      </c>
      <c r="C294" t="s">
        <v>55</v>
      </c>
      <c r="D294">
        <v>86</v>
      </c>
      <c r="E294" t="s">
        <v>883</v>
      </c>
      <c r="F294">
        <v>35.259</v>
      </c>
      <c r="G294">
        <v>691.25699999999995</v>
      </c>
      <c r="H294">
        <v>10330.753000000001</v>
      </c>
      <c r="I294">
        <v>1243.624</v>
      </c>
      <c r="J294">
        <v>49514.91</v>
      </c>
      <c r="K294">
        <v>30506.463</v>
      </c>
      <c r="L294">
        <v>46464.093999999997</v>
      </c>
      <c r="M294">
        <v>3050.8159999999998</v>
      </c>
      <c r="N294">
        <v>514.73099999999999</v>
      </c>
      <c r="O294">
        <v>2061.616</v>
      </c>
      <c r="P294">
        <v>3165.1669999999999</v>
      </c>
      <c r="Q294">
        <v>161.15</v>
      </c>
      <c r="R294">
        <v>35298.656000000003</v>
      </c>
      <c r="S294">
        <v>49629.260999999999</v>
      </c>
      <c r="T294">
        <v>51895.398999999998</v>
      </c>
      <c r="U294">
        <v>38198.635000000002</v>
      </c>
      <c r="V294">
        <v>24136.51</v>
      </c>
      <c r="W294">
        <v>11468.967000000001</v>
      </c>
      <c r="X294">
        <v>2.4</v>
      </c>
      <c r="Y294">
        <v>4</v>
      </c>
      <c r="Z294" t="s">
        <v>57</v>
      </c>
      <c r="AA294" t="s">
        <v>677</v>
      </c>
      <c r="AB294" t="s">
        <v>34</v>
      </c>
      <c r="AC294" s="7">
        <f t="shared" si="40"/>
        <v>7.8271553474894913E-4</v>
      </c>
      <c r="AD294" s="8">
        <f t="shared" si="41"/>
        <v>6.691254742030904E-2</v>
      </c>
      <c r="AE294" s="9">
        <f t="shared" si="42"/>
        <v>3.7949829853945434E-3</v>
      </c>
      <c r="AF294" s="8">
        <f t="shared" si="43"/>
        <v>5.8787793499766712E-2</v>
      </c>
      <c r="AG294" s="8">
        <f t="shared" si="44"/>
        <v>1.045661328706869</v>
      </c>
      <c r="AH294" s="8">
        <f t="shared" si="45"/>
        <v>0.89534129990984368</v>
      </c>
      <c r="AI294" s="8">
        <f t="shared" si="46"/>
        <v>1.0656596467801569</v>
      </c>
      <c r="AJ294" s="8">
        <f t="shared" si="47"/>
        <v>2.3964051225427521E-2</v>
      </c>
      <c r="AK294" s="8">
        <f t="shared" si="48"/>
        <v>0.99769589557257365</v>
      </c>
      <c r="AL294" s="8">
        <f t="shared" si="49"/>
        <v>3.3862261768654687</v>
      </c>
    </row>
    <row r="295" spans="1:38">
      <c r="A295" t="s">
        <v>884</v>
      </c>
      <c r="B295" t="s">
        <v>885</v>
      </c>
      <c r="C295" t="s">
        <v>69</v>
      </c>
      <c r="D295">
        <v>14</v>
      </c>
      <c r="E295" t="s">
        <v>886</v>
      </c>
      <c r="F295">
        <v>47.848999999999997</v>
      </c>
      <c r="G295">
        <v>168.154</v>
      </c>
      <c r="H295">
        <v>9613.7459999999992</v>
      </c>
      <c r="I295">
        <v>583.74599999999998</v>
      </c>
      <c r="J295">
        <v>1566.6990000000001</v>
      </c>
      <c r="K295">
        <v>0</v>
      </c>
      <c r="L295">
        <v>1006.545</v>
      </c>
      <c r="M295">
        <v>560.154</v>
      </c>
      <c r="N295">
        <v>117.101</v>
      </c>
      <c r="O295">
        <v>557.81399999999996</v>
      </c>
      <c r="P295">
        <v>449.99400000000003</v>
      </c>
      <c r="Q295">
        <v>11.646000000000001</v>
      </c>
      <c r="R295">
        <v>2476.1759999999999</v>
      </c>
      <c r="S295">
        <v>1456.539</v>
      </c>
      <c r="T295">
        <v>2127.8519999999999</v>
      </c>
      <c r="U295">
        <v>3075.0909999999999</v>
      </c>
      <c r="V295">
        <v>1553.692</v>
      </c>
      <c r="W295">
        <v>1377.9259999999999</v>
      </c>
      <c r="X295">
        <v>27.43</v>
      </c>
      <c r="Y295">
        <v>3</v>
      </c>
      <c r="Z295" t="s">
        <v>39</v>
      </c>
      <c r="AA295" t="s">
        <v>677</v>
      </c>
      <c r="AB295" t="s">
        <v>34</v>
      </c>
      <c r="AC295" s="7">
        <f t="shared" si="40"/>
        <v>1.839305177857993E-2</v>
      </c>
      <c r="AD295" s="8">
        <f t="shared" si="41"/>
        <v>1.7490996745701416E-2</v>
      </c>
      <c r="AE295" s="9">
        <f t="shared" si="42"/>
        <v>5.9226259721337554E-3</v>
      </c>
      <c r="AF295" s="8">
        <f t="shared" si="43"/>
        <v>0.2632485717991665</v>
      </c>
      <c r="AG295" s="8">
        <f t="shared" si="44"/>
        <v>1.4608960007250062</v>
      </c>
      <c r="AH295" s="8">
        <f t="shared" si="45"/>
        <v>0.47303336886212011</v>
      </c>
      <c r="AI295" s="8">
        <f t="shared" si="46"/>
        <v>1.5565116313726661</v>
      </c>
      <c r="AJ295" s="8">
        <f t="shared" si="47"/>
        <v>0.27433580906942778</v>
      </c>
      <c r="AK295" s="8">
        <f t="shared" si="48"/>
        <v>1.0756313425181201</v>
      </c>
      <c r="AL295" s="8">
        <f t="shared" si="49"/>
        <v>17.162683833374391</v>
      </c>
    </row>
    <row r="296" spans="1:38">
      <c r="A296" t="s">
        <v>887</v>
      </c>
      <c r="B296" t="s">
        <v>888</v>
      </c>
      <c r="C296" t="s">
        <v>51</v>
      </c>
      <c r="D296">
        <v>1</v>
      </c>
      <c r="E296" t="s">
        <v>889</v>
      </c>
      <c r="F296">
        <v>0.36199999999999999</v>
      </c>
      <c r="G296">
        <v>87.966999999999999</v>
      </c>
      <c r="H296">
        <v>8778.1530000000002</v>
      </c>
      <c r="I296">
        <v>92.472999999999999</v>
      </c>
      <c r="J296">
        <v>3891.5360000000001</v>
      </c>
      <c r="K296">
        <v>169.797</v>
      </c>
      <c r="L296">
        <v>3831.62</v>
      </c>
      <c r="M296">
        <v>59.915999999999997</v>
      </c>
      <c r="N296">
        <v>13.170999999999999</v>
      </c>
      <c r="O296">
        <v>44.115000000000002</v>
      </c>
      <c r="P296">
        <v>9.5670000000000002</v>
      </c>
      <c r="Q296">
        <v>37.058</v>
      </c>
      <c r="R296">
        <v>2024.2639999999999</v>
      </c>
      <c r="S296">
        <v>3841.1869999999999</v>
      </c>
      <c r="T296">
        <v>3937.22</v>
      </c>
      <c r="U296">
        <v>2119.1619999999998</v>
      </c>
      <c r="V296">
        <v>1376.2729999999999</v>
      </c>
      <c r="W296">
        <v>8.2479999999999993</v>
      </c>
      <c r="X296">
        <v>2.35</v>
      </c>
      <c r="Y296">
        <v>3</v>
      </c>
      <c r="Z296" t="s">
        <v>39</v>
      </c>
      <c r="AA296" t="s">
        <v>677</v>
      </c>
      <c r="AB296" t="s">
        <v>34</v>
      </c>
      <c r="AC296" s="7">
        <f t="shared" si="40"/>
        <v>1.1954331810642063E-4</v>
      </c>
      <c r="AD296" s="8">
        <f t="shared" si="41"/>
        <v>1.0021128590490504E-2</v>
      </c>
      <c r="AE296" s="9">
        <f t="shared" si="42"/>
        <v>1.263602747683E-2</v>
      </c>
      <c r="AF296" s="8">
        <f t="shared" si="43"/>
        <v>1.521784406256191E-2</v>
      </c>
      <c r="AG296" s="8">
        <f t="shared" si="44"/>
        <v>1.0250008656178415</v>
      </c>
      <c r="AH296" s="8">
        <f t="shared" si="45"/>
        <v>0.97317904511304931</v>
      </c>
      <c r="AI296" s="8">
        <f t="shared" si="46"/>
        <v>1.0156372500404529</v>
      </c>
      <c r="AJ296" s="8">
        <f t="shared" si="47"/>
        <v>2.348687652709272E-2</v>
      </c>
      <c r="AK296" s="8">
        <f t="shared" si="48"/>
        <v>1.0131076669789834</v>
      </c>
      <c r="AL296" s="8">
        <f t="shared" si="49"/>
        <v>146.50766072501503</v>
      </c>
    </row>
    <row r="297" spans="1:38">
      <c r="A297" t="s">
        <v>890</v>
      </c>
      <c r="B297" t="s">
        <v>891</v>
      </c>
      <c r="C297" t="s">
        <v>69</v>
      </c>
      <c r="D297">
        <v>8</v>
      </c>
      <c r="E297" t="s">
        <v>892</v>
      </c>
      <c r="F297">
        <v>1.5129999999999999</v>
      </c>
      <c r="G297">
        <v>315.95</v>
      </c>
      <c r="H297">
        <v>8490.2749999999996</v>
      </c>
      <c r="I297">
        <v>285.654</v>
      </c>
      <c r="J297">
        <v>2150.5790000000002</v>
      </c>
      <c r="K297">
        <v>3.2080000000000002</v>
      </c>
      <c r="L297">
        <v>1766.366</v>
      </c>
      <c r="M297">
        <v>384.21300000000002</v>
      </c>
      <c r="N297">
        <v>179.541</v>
      </c>
      <c r="O297">
        <v>441.30599999999998</v>
      </c>
      <c r="P297">
        <v>465.346</v>
      </c>
      <c r="Q297">
        <v>115.72199999999999</v>
      </c>
      <c r="R297">
        <v>2109.8710000000001</v>
      </c>
      <c r="S297">
        <v>2231.712</v>
      </c>
      <c r="T297">
        <v>2604.0160000000001</v>
      </c>
      <c r="U297">
        <v>2461.1770000000001</v>
      </c>
      <c r="V297">
        <v>2171.875</v>
      </c>
      <c r="W297">
        <v>1254.3979999999999</v>
      </c>
      <c r="X297">
        <v>10.97</v>
      </c>
      <c r="Y297">
        <v>3</v>
      </c>
      <c r="Z297" t="s">
        <v>39</v>
      </c>
      <c r="AA297" t="s">
        <v>677</v>
      </c>
      <c r="AB297" t="s">
        <v>34</v>
      </c>
      <c r="AC297" s="7">
        <f t="shared" si="40"/>
        <v>5.9741060212315693E-4</v>
      </c>
      <c r="AD297" s="8">
        <f t="shared" si="41"/>
        <v>3.7213164473471116E-2</v>
      </c>
      <c r="AE297" s="9">
        <f t="shared" si="42"/>
        <v>5.3308666447238244E-2</v>
      </c>
      <c r="AF297" s="8">
        <f t="shared" si="43"/>
        <v>0.14754632844037824</v>
      </c>
      <c r="AG297" s="8">
        <f t="shared" si="44"/>
        <v>1.166824393111656</v>
      </c>
      <c r="AH297" s="8">
        <f t="shared" si="45"/>
        <v>0.67832378910114222</v>
      </c>
      <c r="AI297" s="8">
        <f t="shared" si="46"/>
        <v>1.2175160753773568</v>
      </c>
      <c r="AJ297" s="8">
        <f t="shared" si="47"/>
        <v>0.10969748265755663</v>
      </c>
      <c r="AK297" s="8">
        <f t="shared" si="48"/>
        <v>0.96364539868943666</v>
      </c>
      <c r="AL297" s="8">
        <f t="shared" si="49"/>
        <v>22.09783375367309</v>
      </c>
    </row>
    <row r="298" spans="1:38">
      <c r="A298" t="s">
        <v>893</v>
      </c>
      <c r="B298" t="s">
        <v>894</v>
      </c>
      <c r="C298" t="s">
        <v>30</v>
      </c>
      <c r="D298">
        <v>24</v>
      </c>
      <c r="E298" t="s">
        <v>895</v>
      </c>
      <c r="F298">
        <v>158.33699999999999</v>
      </c>
      <c r="G298">
        <v>481.83199999999999</v>
      </c>
      <c r="H298">
        <v>8128.0209999999997</v>
      </c>
      <c r="I298">
        <v>398.91800000000001</v>
      </c>
      <c r="J298">
        <v>3222.2809999999999</v>
      </c>
      <c r="K298">
        <v>466.51</v>
      </c>
      <c r="L298">
        <v>2877.4720000000002</v>
      </c>
      <c r="M298">
        <v>344.80900000000003</v>
      </c>
      <c r="N298">
        <v>325.03199999999998</v>
      </c>
      <c r="O298">
        <v>331.79500000000002</v>
      </c>
      <c r="P298">
        <v>41.959000000000003</v>
      </c>
      <c r="Q298">
        <v>93.006</v>
      </c>
      <c r="R298">
        <v>1864.318</v>
      </c>
      <c r="S298">
        <v>2919.431</v>
      </c>
      <c r="T298">
        <v>3603.68</v>
      </c>
      <c r="U298">
        <v>2421.0320000000002</v>
      </c>
      <c r="V298">
        <v>1942.0709999999999</v>
      </c>
      <c r="W298">
        <v>1641.4359999999999</v>
      </c>
      <c r="X298">
        <v>11.07</v>
      </c>
      <c r="Y298">
        <v>3</v>
      </c>
      <c r="Z298" t="s">
        <v>32</v>
      </c>
      <c r="AA298" t="s">
        <v>677</v>
      </c>
      <c r="AB298" t="s">
        <v>34</v>
      </c>
      <c r="AC298" s="7">
        <f t="shared" si="40"/>
        <v>5.2562512531719362E-2</v>
      </c>
      <c r="AD298" s="8">
        <f t="shared" si="41"/>
        <v>5.9280358650648173E-2</v>
      </c>
      <c r="AE298" s="9">
        <f t="shared" si="42"/>
        <v>3.8884147140663107E-2</v>
      </c>
      <c r="AF298" s="8">
        <f t="shared" si="43"/>
        <v>9.5682469031656545E-2</v>
      </c>
      <c r="AG298" s="8">
        <f t="shared" si="44"/>
        <v>1.2343775208251195</v>
      </c>
      <c r="AH298" s="8">
        <f t="shared" si="45"/>
        <v>0.79848155219109362</v>
      </c>
      <c r="AI298" s="8">
        <f t="shared" si="46"/>
        <v>1.1198305318001356</v>
      </c>
      <c r="AJ298" s="8">
        <f t="shared" si="47"/>
        <v>0.11069739821515785</v>
      </c>
      <c r="AK298" s="8">
        <f t="shared" si="48"/>
        <v>1.1037359677279579</v>
      </c>
      <c r="AL298" s="8">
        <f t="shared" si="49"/>
        <v>23.57253145944566</v>
      </c>
    </row>
    <row r="299" spans="1:38">
      <c r="A299" t="s">
        <v>896</v>
      </c>
      <c r="B299" t="s">
        <v>897</v>
      </c>
      <c r="C299" t="s">
        <v>42</v>
      </c>
      <c r="D299">
        <v>78</v>
      </c>
      <c r="E299" t="s">
        <v>898</v>
      </c>
      <c r="F299">
        <v>30.035</v>
      </c>
      <c r="G299">
        <v>106.919</v>
      </c>
      <c r="H299">
        <v>7759.9650000000001</v>
      </c>
      <c r="I299">
        <v>133.566</v>
      </c>
      <c r="J299">
        <v>2246.5140000000001</v>
      </c>
      <c r="K299">
        <v>0</v>
      </c>
      <c r="L299">
        <v>2096.578</v>
      </c>
      <c r="M299">
        <v>149.93600000000001</v>
      </c>
      <c r="N299">
        <v>87.507999999999996</v>
      </c>
      <c r="O299">
        <v>515.26</v>
      </c>
      <c r="P299">
        <v>129.48099999999999</v>
      </c>
      <c r="Q299">
        <v>19.411000000000001</v>
      </c>
      <c r="R299">
        <v>1680.451</v>
      </c>
      <c r="S299">
        <v>2226.0590000000002</v>
      </c>
      <c r="T299">
        <v>2761.7739999999999</v>
      </c>
      <c r="U299">
        <v>2125.5720000000001</v>
      </c>
      <c r="V299">
        <v>2233.7629999999999</v>
      </c>
      <c r="W299">
        <v>2260.3620000000001</v>
      </c>
      <c r="X299">
        <v>4.84</v>
      </c>
      <c r="Y299">
        <v>3</v>
      </c>
      <c r="Z299" t="s">
        <v>44</v>
      </c>
      <c r="AA299" t="s">
        <v>677</v>
      </c>
      <c r="AB299" t="s">
        <v>34</v>
      </c>
      <c r="AC299" s="7">
        <f t="shared" si="40"/>
        <v>1.2290924358537333E-2</v>
      </c>
      <c r="AD299" s="8">
        <f t="shared" si="41"/>
        <v>1.377828379380577E-2</v>
      </c>
      <c r="AE299" s="9">
        <f t="shared" si="42"/>
        <v>9.9377705419927253E-3</v>
      </c>
      <c r="AF299" s="8">
        <f t="shared" si="43"/>
        <v>5.4289742752303416E-2</v>
      </c>
      <c r="AG299" s="8">
        <f t="shared" si="44"/>
        <v>1.2406562449602636</v>
      </c>
      <c r="AH299" s="8">
        <f t="shared" si="45"/>
        <v>0.75914176902237473</v>
      </c>
      <c r="AI299" s="8">
        <f t="shared" si="46"/>
        <v>1.0715146300304592</v>
      </c>
      <c r="AJ299" s="8">
        <f t="shared" si="47"/>
        <v>4.8362393157441563E-2</v>
      </c>
      <c r="AK299" s="8">
        <f t="shared" si="48"/>
        <v>1.0091888849307229</v>
      </c>
      <c r="AL299" s="8">
        <f t="shared" si="49"/>
        <v>51.755182211076722</v>
      </c>
    </row>
    <row r="300" spans="1:38">
      <c r="A300" t="s">
        <v>899</v>
      </c>
      <c r="B300" t="s">
        <v>900</v>
      </c>
      <c r="C300" t="s">
        <v>69</v>
      </c>
      <c r="D300">
        <v>8</v>
      </c>
      <c r="E300" t="s">
        <v>901</v>
      </c>
      <c r="F300">
        <v>205.321</v>
      </c>
      <c r="G300">
        <v>400.64800000000002</v>
      </c>
      <c r="H300">
        <v>7597.8729999999996</v>
      </c>
      <c r="I300">
        <v>436.66800000000001</v>
      </c>
      <c r="J300">
        <v>3348.9639999999999</v>
      </c>
      <c r="K300">
        <v>53.2</v>
      </c>
      <c r="L300">
        <v>2316.027</v>
      </c>
      <c r="M300">
        <v>1032.9369999999999</v>
      </c>
      <c r="N300">
        <v>280.77999999999997</v>
      </c>
      <c r="O300">
        <v>221.453</v>
      </c>
      <c r="P300">
        <v>540.46199999999999</v>
      </c>
      <c r="Q300">
        <v>55.011000000000003</v>
      </c>
      <c r="R300">
        <v>1483.502</v>
      </c>
      <c r="S300">
        <v>2856.489</v>
      </c>
      <c r="T300">
        <v>3650.877</v>
      </c>
      <c r="U300">
        <v>2369.9830000000002</v>
      </c>
      <c r="V300">
        <v>2192.71</v>
      </c>
      <c r="W300">
        <v>1305.2909999999999</v>
      </c>
      <c r="X300">
        <v>11.96</v>
      </c>
      <c r="Y300">
        <v>3</v>
      </c>
      <c r="Z300" t="s">
        <v>39</v>
      </c>
      <c r="AA300" t="s">
        <v>677</v>
      </c>
      <c r="AB300" t="s">
        <v>34</v>
      </c>
      <c r="AC300" s="7">
        <f t="shared" si="40"/>
        <v>6.8203213494417728E-2</v>
      </c>
      <c r="AD300" s="8">
        <f t="shared" si="41"/>
        <v>5.2731600014898912E-2</v>
      </c>
      <c r="AE300" s="9">
        <f t="shared" si="42"/>
        <v>2.535074381490653E-2</v>
      </c>
      <c r="AF300" s="8">
        <f t="shared" si="43"/>
        <v>0.28292845801159555</v>
      </c>
      <c r="AG300" s="8">
        <f t="shared" si="44"/>
        <v>1.2780994430575436</v>
      </c>
      <c r="AH300" s="8">
        <f t="shared" si="45"/>
        <v>0.63437552127885988</v>
      </c>
      <c r="AI300" s="8">
        <f t="shared" si="46"/>
        <v>1.4459952323526453</v>
      </c>
      <c r="AJ300" s="8">
        <f t="shared" si="47"/>
        <v>0.11960633020504388</v>
      </c>
      <c r="AK300" s="8">
        <f t="shared" si="48"/>
        <v>1.1724057050455996</v>
      </c>
      <c r="AL300" s="8">
        <f t="shared" si="49"/>
        <v>7.3556015516919233</v>
      </c>
    </row>
    <row r="301" spans="1:38">
      <c r="A301" t="s">
        <v>902</v>
      </c>
      <c r="B301" t="s">
        <v>903</v>
      </c>
      <c r="C301" t="s">
        <v>69</v>
      </c>
      <c r="D301">
        <v>21</v>
      </c>
      <c r="E301" t="s">
        <v>904</v>
      </c>
      <c r="F301">
        <v>29.34</v>
      </c>
      <c r="G301">
        <v>136.26499999999999</v>
      </c>
      <c r="H301">
        <v>7441.085</v>
      </c>
      <c r="I301">
        <v>152.441</v>
      </c>
      <c r="J301">
        <v>4123.8879999999999</v>
      </c>
      <c r="K301">
        <v>0</v>
      </c>
      <c r="L301">
        <v>3691.8609999999999</v>
      </c>
      <c r="M301">
        <v>432.02699999999999</v>
      </c>
      <c r="N301">
        <v>75.183000000000007</v>
      </c>
      <c r="O301">
        <v>142.21899999999999</v>
      </c>
      <c r="P301">
        <v>151.29400000000001</v>
      </c>
      <c r="Q301">
        <v>21.097999999999999</v>
      </c>
      <c r="R301">
        <v>1058.7550000000001</v>
      </c>
      <c r="S301">
        <v>3843.1550000000002</v>
      </c>
      <c r="T301">
        <v>4316.68</v>
      </c>
      <c r="U301">
        <v>1417.518</v>
      </c>
      <c r="V301">
        <v>187.30500000000001</v>
      </c>
      <c r="W301">
        <v>141.24299999999999</v>
      </c>
      <c r="X301">
        <v>3.53</v>
      </c>
      <c r="Y301">
        <v>3</v>
      </c>
      <c r="Z301" t="s">
        <v>39</v>
      </c>
      <c r="AA301" t="s">
        <v>677</v>
      </c>
      <c r="AB301" t="s">
        <v>34</v>
      </c>
      <c r="AC301" s="7">
        <f t="shared" si="40"/>
        <v>1.0233340390408562E-2</v>
      </c>
      <c r="AD301" s="8">
        <f t="shared" si="41"/>
        <v>1.8312517596560177E-2</v>
      </c>
      <c r="AE301" s="9">
        <f t="shared" si="42"/>
        <v>8.6080731796381402E-3</v>
      </c>
      <c r="AF301" s="8">
        <f t="shared" si="43"/>
        <v>0.10008316576628334</v>
      </c>
      <c r="AG301" s="8">
        <f t="shared" si="44"/>
        <v>1.1232125688399246</v>
      </c>
      <c r="AH301" s="8">
        <f t="shared" si="45"/>
        <v>0.85525473280391406</v>
      </c>
      <c r="AI301" s="8">
        <f t="shared" si="46"/>
        <v>1.1170214696598815</v>
      </c>
      <c r="AJ301" s="8">
        <f t="shared" si="47"/>
        <v>3.5314408295263951E-2</v>
      </c>
      <c r="AK301" s="8">
        <f t="shared" si="48"/>
        <v>1.0730475351631668</v>
      </c>
      <c r="AL301" s="8">
        <f t="shared" si="49"/>
        <v>17.22365731771394</v>
      </c>
    </row>
    <row r="302" spans="1:38">
      <c r="A302" t="s">
        <v>905</v>
      </c>
      <c r="B302" t="s">
        <v>906</v>
      </c>
      <c r="C302" t="s">
        <v>345</v>
      </c>
      <c r="D302">
        <v>10</v>
      </c>
      <c r="E302" t="s">
        <v>907</v>
      </c>
      <c r="F302">
        <v>512.39599999999996</v>
      </c>
      <c r="G302">
        <v>277.85500000000002</v>
      </c>
      <c r="H302">
        <v>7225.8029999999999</v>
      </c>
      <c r="I302">
        <v>665.45100000000002</v>
      </c>
      <c r="J302">
        <v>5679.0619999999999</v>
      </c>
      <c r="K302">
        <v>44.844000000000001</v>
      </c>
      <c r="L302">
        <v>5149.3149999999996</v>
      </c>
      <c r="M302">
        <v>529.74699999999996</v>
      </c>
      <c r="N302">
        <v>533.63199999999995</v>
      </c>
      <c r="O302">
        <v>218.048</v>
      </c>
      <c r="P302">
        <v>42.466999999999999</v>
      </c>
      <c r="Q302">
        <v>70.471000000000004</v>
      </c>
      <c r="R302">
        <v>1731.181</v>
      </c>
      <c r="S302">
        <v>5191.7820000000002</v>
      </c>
      <c r="T302">
        <v>5897.11</v>
      </c>
      <c r="U302">
        <v>1937.586</v>
      </c>
      <c r="V302">
        <v>987.66899999999998</v>
      </c>
      <c r="W302">
        <v>136.79</v>
      </c>
      <c r="X302">
        <v>11.28</v>
      </c>
      <c r="Y302">
        <v>3</v>
      </c>
      <c r="Z302" t="s">
        <v>62</v>
      </c>
      <c r="AA302" t="s">
        <v>677</v>
      </c>
      <c r="AB302" t="s">
        <v>34</v>
      </c>
      <c r="AC302" s="7">
        <f t="shared" si="40"/>
        <v>0.13080175669866451</v>
      </c>
      <c r="AD302" s="8">
        <f t="shared" si="41"/>
        <v>3.845316568968183E-2</v>
      </c>
      <c r="AE302" s="9">
        <f t="shared" si="42"/>
        <v>2.0358623901355535E-2</v>
      </c>
      <c r="AF302" s="8">
        <f t="shared" si="43"/>
        <v>8.9831629391345924E-2</v>
      </c>
      <c r="AG302" s="8">
        <f t="shared" si="44"/>
        <v>1.1358547026820462</v>
      </c>
      <c r="AH302" s="8">
        <f t="shared" si="45"/>
        <v>0.87319297079416869</v>
      </c>
      <c r="AI302" s="8">
        <f t="shared" si="46"/>
        <v>1.1028771788092204</v>
      </c>
      <c r="AJ302" s="8">
        <f t="shared" si="47"/>
        <v>0.11284357931257855</v>
      </c>
      <c r="AK302" s="8">
        <f t="shared" si="48"/>
        <v>1.0938560209192143</v>
      </c>
      <c r="AL302" s="8">
        <f t="shared" si="49"/>
        <v>13.640101784436723</v>
      </c>
    </row>
    <row r="303" spans="1:38">
      <c r="A303" t="s">
        <v>908</v>
      </c>
      <c r="B303" t="s">
        <v>909</v>
      </c>
      <c r="C303" t="s">
        <v>69</v>
      </c>
      <c r="D303">
        <v>20</v>
      </c>
      <c r="E303" t="s">
        <v>910</v>
      </c>
      <c r="F303">
        <v>3.37</v>
      </c>
      <c r="G303">
        <v>128.33099999999999</v>
      </c>
      <c r="H303">
        <v>7174.076</v>
      </c>
      <c r="I303">
        <v>183.458</v>
      </c>
      <c r="J303">
        <v>2181.0990000000002</v>
      </c>
      <c r="K303">
        <v>0</v>
      </c>
      <c r="L303">
        <v>1815.34</v>
      </c>
      <c r="M303">
        <v>365.75900000000001</v>
      </c>
      <c r="N303">
        <v>18.91</v>
      </c>
      <c r="O303">
        <v>115.86</v>
      </c>
      <c r="P303">
        <v>234.09100000000001</v>
      </c>
      <c r="Q303">
        <v>33.344000000000001</v>
      </c>
      <c r="R303">
        <v>1948.171</v>
      </c>
      <c r="S303">
        <v>2049.431</v>
      </c>
      <c r="T303">
        <v>2336.6579999999999</v>
      </c>
      <c r="U303">
        <v>2197.9340000000002</v>
      </c>
      <c r="V303">
        <v>1935.933</v>
      </c>
      <c r="W303">
        <v>1698.268</v>
      </c>
      <c r="X303">
        <v>7.85</v>
      </c>
      <c r="Y303">
        <v>3</v>
      </c>
      <c r="Z303" t="s">
        <v>39</v>
      </c>
      <c r="AA303" t="s">
        <v>677</v>
      </c>
      <c r="AB303" t="s">
        <v>34</v>
      </c>
      <c r="AC303" s="7">
        <f t="shared" si="40"/>
        <v>1.4863520246143423E-3</v>
      </c>
      <c r="AD303" s="8">
        <f t="shared" si="41"/>
        <v>1.7888157304160143E-2</v>
      </c>
      <c r="AE303" s="9">
        <f t="shared" si="42"/>
        <v>1.6682000859515281E-2</v>
      </c>
      <c r="AF303" s="8">
        <f t="shared" si="43"/>
        <v>0.15653082308151214</v>
      </c>
      <c r="AG303" s="8">
        <f t="shared" si="44"/>
        <v>1.1401496317758442</v>
      </c>
      <c r="AH303" s="8">
        <f t="shared" si="45"/>
        <v>0.77689589148262173</v>
      </c>
      <c r="AI303" s="8">
        <f t="shared" si="46"/>
        <v>1.2014823669395267</v>
      </c>
      <c r="AJ303" s="8">
        <f t="shared" si="47"/>
        <v>7.8512987352021571E-2</v>
      </c>
      <c r="AK303" s="8">
        <f t="shared" si="48"/>
        <v>1.0642461249000332</v>
      </c>
      <c r="AL303" s="8">
        <f t="shared" si="49"/>
        <v>19.614215918131883</v>
      </c>
    </row>
    <row r="304" spans="1:38">
      <c r="A304" t="s">
        <v>911</v>
      </c>
      <c r="B304" t="s">
        <v>912</v>
      </c>
      <c r="C304" t="s">
        <v>69</v>
      </c>
      <c r="D304">
        <v>59</v>
      </c>
      <c r="E304" t="s">
        <v>913</v>
      </c>
      <c r="F304">
        <v>-18.678000000000001</v>
      </c>
      <c r="G304">
        <v>185.89699999999999</v>
      </c>
      <c r="H304">
        <v>7168.9930000000004</v>
      </c>
      <c r="I304">
        <v>431.33699999999999</v>
      </c>
      <c r="J304">
        <v>3219.0070000000001</v>
      </c>
      <c r="K304">
        <v>67.418999999999997</v>
      </c>
      <c r="L304">
        <v>2677.5720000000001</v>
      </c>
      <c r="M304">
        <v>541.43499999999995</v>
      </c>
      <c r="N304">
        <v>11.75</v>
      </c>
      <c r="O304">
        <v>299.63600000000002</v>
      </c>
      <c r="P304">
        <v>259.95</v>
      </c>
      <c r="Q304">
        <v>70.88</v>
      </c>
      <c r="R304">
        <v>2227.0279999999998</v>
      </c>
      <c r="S304">
        <v>2937.5219999999999</v>
      </c>
      <c r="T304">
        <v>3569.4270000000001</v>
      </c>
      <c r="U304">
        <v>2811.366</v>
      </c>
      <c r="V304">
        <v>1845.9380000000001</v>
      </c>
      <c r="W304">
        <v>1057.569</v>
      </c>
      <c r="X304">
        <v>12.08</v>
      </c>
      <c r="Y304">
        <v>3</v>
      </c>
      <c r="Z304" t="s">
        <v>39</v>
      </c>
      <c r="AA304" t="s">
        <v>677</v>
      </c>
      <c r="AB304" t="s">
        <v>34</v>
      </c>
      <c r="AC304" s="7">
        <f t="shared" si="40"/>
        <v>-5.8544447375114663E-3</v>
      </c>
      <c r="AD304" s="8">
        <f t="shared" si="41"/>
        <v>2.593069905354908E-2</v>
      </c>
      <c r="AE304" s="9">
        <f t="shared" si="42"/>
        <v>2.7448664452856496E-2</v>
      </c>
      <c r="AF304" s="8">
        <f t="shared" si="43"/>
        <v>0.15168681135655665</v>
      </c>
      <c r="AG304" s="8">
        <f t="shared" si="44"/>
        <v>1.2151149846707532</v>
      </c>
      <c r="AH304" s="8">
        <f t="shared" si="45"/>
        <v>0.75014056878036728</v>
      </c>
      <c r="AI304" s="8">
        <f t="shared" si="46"/>
        <v>1.202211182369699</v>
      </c>
      <c r="AJ304" s="8">
        <f t="shared" si="47"/>
        <v>0.12084208473797053</v>
      </c>
      <c r="AK304" s="8">
        <f t="shared" si="48"/>
        <v>1.0958239631907438</v>
      </c>
      <c r="AL304" s="8">
        <f t="shared" si="49"/>
        <v>13.240726957067794</v>
      </c>
    </row>
    <row r="305" spans="1:38">
      <c r="A305" t="s">
        <v>914</v>
      </c>
      <c r="B305" t="s">
        <v>915</v>
      </c>
      <c r="C305" t="s">
        <v>69</v>
      </c>
      <c r="D305">
        <v>3</v>
      </c>
      <c r="E305" t="s">
        <v>916</v>
      </c>
      <c r="F305">
        <v>72.474000000000004</v>
      </c>
      <c r="G305">
        <v>201.58</v>
      </c>
      <c r="H305">
        <v>6987.8329999999996</v>
      </c>
      <c r="I305">
        <v>265.86</v>
      </c>
      <c r="J305">
        <v>2299.643</v>
      </c>
      <c r="K305">
        <v>20</v>
      </c>
      <c r="L305">
        <v>2193.4050000000002</v>
      </c>
      <c r="M305">
        <v>106.238</v>
      </c>
      <c r="N305">
        <v>145.74299999999999</v>
      </c>
      <c r="O305">
        <v>292.63600000000002</v>
      </c>
      <c r="P305">
        <v>106.71299999999999</v>
      </c>
      <c r="Q305">
        <v>8.67</v>
      </c>
      <c r="R305">
        <v>614.16099999999994</v>
      </c>
      <c r="S305">
        <v>2300.1179999999999</v>
      </c>
      <c r="T305">
        <v>2607.6840000000002</v>
      </c>
      <c r="U305">
        <v>846.23699999999997</v>
      </c>
      <c r="V305">
        <v>1214.222</v>
      </c>
      <c r="W305">
        <v>1376.604</v>
      </c>
      <c r="X305">
        <v>10.199999999999999</v>
      </c>
      <c r="Y305">
        <v>3</v>
      </c>
      <c r="Z305" t="s">
        <v>39</v>
      </c>
      <c r="AA305" t="s">
        <v>677</v>
      </c>
      <c r="AB305" t="s">
        <v>34</v>
      </c>
      <c r="AC305" s="7">
        <f t="shared" si="40"/>
        <v>4.1966217524952075E-2</v>
      </c>
      <c r="AD305" s="8">
        <f t="shared" si="41"/>
        <v>2.8847283557005443E-2</v>
      </c>
      <c r="AE305" s="9">
        <f t="shared" si="42"/>
        <v>5.9500137083649159E-3</v>
      </c>
      <c r="AF305" s="8">
        <f t="shared" si="43"/>
        <v>4.0740365780516347E-2</v>
      </c>
      <c r="AG305" s="8">
        <f t="shared" si="44"/>
        <v>1.1337174875375959</v>
      </c>
      <c r="AH305" s="8">
        <f t="shared" si="45"/>
        <v>0.84113144077273172</v>
      </c>
      <c r="AI305" s="8">
        <f t="shared" si="46"/>
        <v>1.0484351955065296</v>
      </c>
      <c r="AJ305" s="8">
        <f t="shared" si="47"/>
        <v>0.1019525371939238</v>
      </c>
      <c r="AK305" s="8">
        <f t="shared" si="48"/>
        <v>0.99979348885578923</v>
      </c>
      <c r="AL305" s="8">
        <f t="shared" si="49"/>
        <v>65.775268736233741</v>
      </c>
    </row>
    <row r="306" spans="1:38">
      <c r="A306" t="s">
        <v>917</v>
      </c>
      <c r="B306" t="s">
        <v>918</v>
      </c>
      <c r="C306" t="s">
        <v>47</v>
      </c>
      <c r="D306">
        <v>21</v>
      </c>
      <c r="E306" t="s">
        <v>919</v>
      </c>
      <c r="F306">
        <v>283.88799999999998</v>
      </c>
      <c r="G306">
        <v>630.05700000000002</v>
      </c>
      <c r="H306">
        <v>6528.8310000000001</v>
      </c>
      <c r="I306">
        <v>985.97299999999996</v>
      </c>
      <c r="J306">
        <v>2703.7289999999998</v>
      </c>
      <c r="K306">
        <v>221.98699999999999</v>
      </c>
      <c r="L306">
        <v>1667.1579999999999</v>
      </c>
      <c r="M306">
        <v>1036.5709999999999</v>
      </c>
      <c r="N306">
        <v>481.62900000000002</v>
      </c>
      <c r="O306">
        <v>608.35599999999999</v>
      </c>
      <c r="P306">
        <v>346.79300000000001</v>
      </c>
      <c r="Q306">
        <v>37.710999999999999</v>
      </c>
      <c r="R306">
        <v>1671.7570000000001</v>
      </c>
      <c r="S306">
        <v>2013.951</v>
      </c>
      <c r="T306">
        <v>3322.8629999999998</v>
      </c>
      <c r="U306">
        <v>2635.0749999999998</v>
      </c>
      <c r="V306">
        <v>1971.62</v>
      </c>
      <c r="W306">
        <v>1536.972</v>
      </c>
      <c r="X306">
        <v>29.67</v>
      </c>
      <c r="Y306">
        <v>3</v>
      </c>
      <c r="Z306" t="s">
        <v>32</v>
      </c>
      <c r="AA306" t="s">
        <v>677</v>
      </c>
      <c r="AB306" t="s">
        <v>34</v>
      </c>
      <c r="AC306" s="7">
        <f t="shared" si="40"/>
        <v>9.5297399872237662E-2</v>
      </c>
      <c r="AD306" s="8">
        <f t="shared" si="41"/>
        <v>9.6503799837980186E-2</v>
      </c>
      <c r="AE306" s="9">
        <f t="shared" si="42"/>
        <v>2.0463368232100859E-2</v>
      </c>
      <c r="AF306" s="8">
        <f t="shared" si="43"/>
        <v>0.31195116981952009</v>
      </c>
      <c r="AG306" s="8">
        <f t="shared" si="44"/>
        <v>1.6499224658395362</v>
      </c>
      <c r="AH306" s="8">
        <f t="shared" si="45"/>
        <v>0.50172336325632438</v>
      </c>
      <c r="AI306" s="8">
        <f t="shared" si="46"/>
        <v>1.6217593053567807</v>
      </c>
      <c r="AJ306" s="8">
        <f t="shared" si="47"/>
        <v>0.29672393956657256</v>
      </c>
      <c r="AK306" s="8">
        <f t="shared" si="48"/>
        <v>1.3424998920033306</v>
      </c>
      <c r="AL306" s="8">
        <f t="shared" si="49"/>
        <v>6.2984889602352379</v>
      </c>
    </row>
    <row r="307" spans="1:38">
      <c r="A307" t="s">
        <v>920</v>
      </c>
      <c r="B307" t="s">
        <v>921</v>
      </c>
      <c r="C307" t="s">
        <v>120</v>
      </c>
      <c r="D307">
        <v>35</v>
      </c>
      <c r="E307" t="s">
        <v>922</v>
      </c>
      <c r="F307">
        <v>26.231999999999999</v>
      </c>
      <c r="G307">
        <v>386.952</v>
      </c>
      <c r="H307">
        <v>6367.902</v>
      </c>
      <c r="I307">
        <v>313.73200000000003</v>
      </c>
      <c r="J307">
        <v>1931.3589999999999</v>
      </c>
      <c r="K307">
        <v>0</v>
      </c>
      <c r="L307">
        <v>1446.3789999999999</v>
      </c>
      <c r="M307">
        <v>484.98</v>
      </c>
      <c r="N307">
        <v>337.79199999999997</v>
      </c>
      <c r="O307">
        <v>1124.768</v>
      </c>
      <c r="P307">
        <v>351.048</v>
      </c>
      <c r="Q307">
        <v>7.3550000000000004</v>
      </c>
      <c r="R307">
        <v>1560.7</v>
      </c>
      <c r="S307">
        <v>1797.4269999999999</v>
      </c>
      <c r="T307">
        <v>3058.627</v>
      </c>
      <c r="U307">
        <v>3035.0079999999998</v>
      </c>
      <c r="V307">
        <v>1992.7339999999999</v>
      </c>
      <c r="W307">
        <v>1183.3440000000001</v>
      </c>
      <c r="X307">
        <v>10.26</v>
      </c>
      <c r="Y307">
        <v>3</v>
      </c>
      <c r="Z307" t="s">
        <v>44</v>
      </c>
      <c r="AA307" t="s">
        <v>677</v>
      </c>
      <c r="AB307" t="s">
        <v>34</v>
      </c>
      <c r="AC307" s="7">
        <f t="shared" si="40"/>
        <v>8.6096394024256454E-3</v>
      </c>
      <c r="AD307" s="8">
        <f t="shared" si="41"/>
        <v>6.0766010532197261E-2</v>
      </c>
      <c r="AE307" s="9">
        <f t="shared" si="42"/>
        <v>4.380418012779148E-3</v>
      </c>
      <c r="AF307" s="8">
        <f t="shared" si="43"/>
        <v>0.1585613414123396</v>
      </c>
      <c r="AG307" s="8">
        <f t="shared" si="44"/>
        <v>1.701669664470379</v>
      </c>
      <c r="AH307" s="8">
        <f t="shared" si="45"/>
        <v>0.47288505594176733</v>
      </c>
      <c r="AI307" s="8">
        <f t="shared" si="46"/>
        <v>1.3353063063000776</v>
      </c>
      <c r="AJ307" s="8">
        <f t="shared" si="47"/>
        <v>0.10257282107298472</v>
      </c>
      <c r="AK307" s="8">
        <f t="shared" si="48"/>
        <v>1.0745131791165927</v>
      </c>
      <c r="AL307" s="8">
        <f t="shared" si="49"/>
        <v>13.130236298404057</v>
      </c>
    </row>
    <row r="308" spans="1:38">
      <c r="A308" t="s">
        <v>923</v>
      </c>
      <c r="B308" t="s">
        <v>924</v>
      </c>
      <c r="C308" t="s">
        <v>47</v>
      </c>
      <c r="D308">
        <v>14</v>
      </c>
      <c r="E308" t="s">
        <v>925</v>
      </c>
      <c r="F308">
        <v>92.352000000000004</v>
      </c>
      <c r="G308">
        <v>217.66200000000001</v>
      </c>
      <c r="H308">
        <v>6310.5429999999997</v>
      </c>
      <c r="I308">
        <v>271.20499999999998</v>
      </c>
      <c r="J308">
        <v>3025.3580000000002</v>
      </c>
      <c r="K308">
        <v>30.51</v>
      </c>
      <c r="L308">
        <v>2630.3380000000002</v>
      </c>
      <c r="M308">
        <v>395.02</v>
      </c>
      <c r="N308">
        <v>119.468</v>
      </c>
      <c r="O308">
        <v>249.92500000000001</v>
      </c>
      <c r="P308">
        <v>394.31400000000002</v>
      </c>
      <c r="Q308">
        <v>65.965000000000003</v>
      </c>
      <c r="R308">
        <v>951.49099999999999</v>
      </c>
      <c r="S308">
        <v>3024.652</v>
      </c>
      <c r="T308">
        <v>3346.9940000000001</v>
      </c>
      <c r="U308">
        <v>1239.2550000000001</v>
      </c>
      <c r="V308">
        <v>2120.931</v>
      </c>
      <c r="W308">
        <v>1197.9190000000001</v>
      </c>
      <c r="X308">
        <v>8.1</v>
      </c>
      <c r="Y308">
        <v>3</v>
      </c>
      <c r="Z308" t="s">
        <v>32</v>
      </c>
      <c r="AA308" t="s">
        <v>677</v>
      </c>
      <c r="AB308" t="s">
        <v>34</v>
      </c>
      <c r="AC308" s="7">
        <f t="shared" si="40"/>
        <v>4.0273434782978422E-2</v>
      </c>
      <c r="AD308" s="8">
        <f t="shared" si="41"/>
        <v>3.4491802052533362E-2</v>
      </c>
      <c r="AE308" s="9">
        <f t="shared" si="42"/>
        <v>3.3180396177904067E-2</v>
      </c>
      <c r="AF308" s="8">
        <f t="shared" si="43"/>
        <v>0.11802232092438766</v>
      </c>
      <c r="AG308" s="8">
        <f t="shared" si="44"/>
        <v>1.1065715989806431</v>
      </c>
      <c r="AH308" s="8">
        <f t="shared" si="45"/>
        <v>0.78588070370009633</v>
      </c>
      <c r="AI308" s="8">
        <f t="shared" si="46"/>
        <v>1.1501784181348556</v>
      </c>
      <c r="AJ308" s="8">
        <f t="shared" si="47"/>
        <v>8.1029425209605987E-2</v>
      </c>
      <c r="AK308" s="8">
        <f t="shared" si="48"/>
        <v>1.0002334152821548</v>
      </c>
      <c r="AL308" s="8">
        <f t="shared" si="49"/>
        <v>15.975249354463065</v>
      </c>
    </row>
    <row r="309" spans="1:38">
      <c r="A309" t="s">
        <v>926</v>
      </c>
      <c r="B309" t="s">
        <v>927</v>
      </c>
      <c r="C309" t="s">
        <v>47</v>
      </c>
      <c r="D309">
        <v>11</v>
      </c>
      <c r="E309" t="s">
        <v>928</v>
      </c>
      <c r="F309">
        <v>66.644000000000005</v>
      </c>
      <c r="G309">
        <v>173.70500000000001</v>
      </c>
      <c r="H309">
        <v>6192.7259999999997</v>
      </c>
      <c r="I309">
        <v>306.3</v>
      </c>
      <c r="J309">
        <v>2747.2660000000001</v>
      </c>
      <c r="K309">
        <v>189.73400000000001</v>
      </c>
      <c r="L309">
        <v>1815.308</v>
      </c>
      <c r="M309">
        <v>931.95799999999997</v>
      </c>
      <c r="N309">
        <v>93.951999999999998</v>
      </c>
      <c r="O309">
        <v>20.024000000000001</v>
      </c>
      <c r="P309">
        <v>304.87</v>
      </c>
      <c r="Q309">
        <v>43.554000000000002</v>
      </c>
      <c r="R309">
        <v>1868.643</v>
      </c>
      <c r="S309">
        <v>2120.1779999999999</v>
      </c>
      <c r="T309">
        <v>2789.44</v>
      </c>
      <c r="U309">
        <v>2427.92</v>
      </c>
      <c r="V309">
        <v>1682.5809999999999</v>
      </c>
      <c r="W309">
        <v>2440.6109999999999</v>
      </c>
      <c r="X309">
        <v>10.98</v>
      </c>
      <c r="Y309">
        <v>3</v>
      </c>
      <c r="Z309" t="s">
        <v>32</v>
      </c>
      <c r="AA309" t="s">
        <v>677</v>
      </c>
      <c r="AB309" t="s">
        <v>34</v>
      </c>
      <c r="AC309" s="7">
        <f t="shared" si="40"/>
        <v>2.5547019948786359E-2</v>
      </c>
      <c r="AD309" s="8">
        <f t="shared" si="41"/>
        <v>2.8049844285053145E-2</v>
      </c>
      <c r="AE309" s="9">
        <f t="shared" si="42"/>
        <v>2.1838031839483397E-2</v>
      </c>
      <c r="AF309" s="8">
        <f t="shared" si="43"/>
        <v>0.33410218538488012</v>
      </c>
      <c r="AG309" s="8">
        <f t="shared" si="44"/>
        <v>1.3156631188513419</v>
      </c>
      <c r="AH309" s="8">
        <f t="shared" si="45"/>
        <v>0.65077865091201104</v>
      </c>
      <c r="AI309" s="8">
        <f t="shared" si="46"/>
        <v>1.5133883616444153</v>
      </c>
      <c r="AJ309" s="8">
        <f t="shared" si="47"/>
        <v>0.10980698634851439</v>
      </c>
      <c r="AK309" s="8">
        <f t="shared" si="48"/>
        <v>1.2957713927792855</v>
      </c>
      <c r="AL309" s="8">
        <f t="shared" si="49"/>
        <v>6.6448552402576082</v>
      </c>
    </row>
    <row r="310" spans="1:38">
      <c r="A310" t="s">
        <v>929</v>
      </c>
      <c r="B310" t="s">
        <v>930</v>
      </c>
      <c r="C310" t="s">
        <v>69</v>
      </c>
      <c r="D310">
        <v>99</v>
      </c>
      <c r="E310" t="s">
        <v>931</v>
      </c>
      <c r="F310">
        <v>78.611999999999995</v>
      </c>
      <c r="G310">
        <v>326.81099999999998</v>
      </c>
      <c r="H310">
        <v>6167.5460000000003</v>
      </c>
      <c r="I310">
        <v>125.42100000000001</v>
      </c>
      <c r="J310">
        <v>2993.12</v>
      </c>
      <c r="K310">
        <v>1.361</v>
      </c>
      <c r="L310">
        <v>2572.8969999999999</v>
      </c>
      <c r="M310">
        <v>420.22300000000001</v>
      </c>
      <c r="N310">
        <v>133.78299999999999</v>
      </c>
      <c r="O310">
        <v>106.792</v>
      </c>
      <c r="P310">
        <v>142.22</v>
      </c>
      <c r="Q310">
        <v>63.651000000000003</v>
      </c>
      <c r="R310">
        <v>1744.3979999999999</v>
      </c>
      <c r="S310">
        <v>2715.1170000000002</v>
      </c>
      <c r="T310">
        <v>3114.643</v>
      </c>
      <c r="U310">
        <v>2009.701</v>
      </c>
      <c r="V310">
        <v>1651.461</v>
      </c>
      <c r="W310">
        <v>1296.3579999999999</v>
      </c>
      <c r="X310">
        <v>4.03</v>
      </c>
      <c r="Y310">
        <v>3</v>
      </c>
      <c r="Z310" t="s">
        <v>39</v>
      </c>
      <c r="AA310" t="s">
        <v>677</v>
      </c>
      <c r="AB310" t="s">
        <v>34</v>
      </c>
      <c r="AC310" s="7">
        <f t="shared" si="40"/>
        <v>3.0681780926495174E-2</v>
      </c>
      <c r="AD310" s="8">
        <f t="shared" si="41"/>
        <v>5.2988822458721829E-2</v>
      </c>
      <c r="AE310" s="9">
        <f t="shared" si="42"/>
        <v>2.8546153561542005E-2</v>
      </c>
      <c r="AF310" s="8">
        <f t="shared" si="43"/>
        <v>0.13491851233030561</v>
      </c>
      <c r="AG310" s="8">
        <f t="shared" si="44"/>
        <v>1.1471487232410242</v>
      </c>
      <c r="AH310" s="8">
        <f t="shared" si="45"/>
        <v>0.82606481705929058</v>
      </c>
      <c r="AI310" s="8">
        <f t="shared" si="46"/>
        <v>1.1633267868865329</v>
      </c>
      <c r="AJ310" s="8">
        <f t="shared" si="47"/>
        <v>4.0268178407605625E-2</v>
      </c>
      <c r="AK310" s="8">
        <f t="shared" si="48"/>
        <v>1.1023907993651838</v>
      </c>
      <c r="AL310" s="8">
        <f t="shared" si="49"/>
        <v>14.676840629856052</v>
      </c>
    </row>
    <row r="311" spans="1:38">
      <c r="A311" t="s">
        <v>932</v>
      </c>
      <c r="B311" t="s">
        <v>933</v>
      </c>
      <c r="C311" t="s">
        <v>51</v>
      </c>
      <c r="D311">
        <v>54</v>
      </c>
      <c r="E311" t="s">
        <v>934</v>
      </c>
      <c r="F311">
        <v>224.64500000000001</v>
      </c>
      <c r="G311">
        <v>509.96499999999997</v>
      </c>
      <c r="H311">
        <v>6016.5820000000003</v>
      </c>
      <c r="I311">
        <v>897.23599999999999</v>
      </c>
      <c r="J311">
        <v>2614.895</v>
      </c>
      <c r="K311">
        <v>0</v>
      </c>
      <c r="L311">
        <v>2417.3710000000001</v>
      </c>
      <c r="M311">
        <v>197.524</v>
      </c>
      <c r="N311">
        <v>383.90600000000001</v>
      </c>
      <c r="O311">
        <v>1474.768</v>
      </c>
      <c r="P311">
        <v>543.928</v>
      </c>
      <c r="Q311">
        <v>60.088000000000001</v>
      </c>
      <c r="R311">
        <v>2428.3620000000001</v>
      </c>
      <c r="S311">
        <v>2961.299</v>
      </c>
      <c r="T311">
        <v>4118.058</v>
      </c>
      <c r="U311">
        <v>3317.9259999999999</v>
      </c>
      <c r="V311">
        <v>962.82899999999995</v>
      </c>
      <c r="W311">
        <v>119.917</v>
      </c>
      <c r="X311">
        <v>21.79</v>
      </c>
      <c r="Y311">
        <v>3</v>
      </c>
      <c r="Z311" t="s">
        <v>39</v>
      </c>
      <c r="AA311" t="s">
        <v>677</v>
      </c>
      <c r="AB311" t="s">
        <v>34</v>
      </c>
      <c r="AC311" s="7">
        <f t="shared" si="40"/>
        <v>6.0421055236267319E-2</v>
      </c>
      <c r="AD311" s="8">
        <f t="shared" si="41"/>
        <v>8.475991850522438E-2</v>
      </c>
      <c r="AE311" s="9">
        <f t="shared" si="42"/>
        <v>2.2297506281007285E-2</v>
      </c>
      <c r="AF311" s="8">
        <f t="shared" si="43"/>
        <v>4.7965327346045153E-2</v>
      </c>
      <c r="AG311" s="8">
        <f t="shared" si="44"/>
        <v>1.3906255329164667</v>
      </c>
      <c r="AH311" s="8">
        <f t="shared" si="45"/>
        <v>0.58701722996616368</v>
      </c>
      <c r="AI311" s="8">
        <f t="shared" si="46"/>
        <v>1.0817102546526784</v>
      </c>
      <c r="AJ311" s="8">
        <f t="shared" si="47"/>
        <v>0.21787842716154071</v>
      </c>
      <c r="AK311" s="8">
        <f t="shared" si="48"/>
        <v>0.88302295715495127</v>
      </c>
      <c r="AL311" s="8">
        <f t="shared" si="49"/>
        <v>30.460004860168894</v>
      </c>
    </row>
    <row r="312" spans="1:38">
      <c r="A312" t="s">
        <v>935</v>
      </c>
      <c r="B312" t="s">
        <v>936</v>
      </c>
      <c r="C312" t="s">
        <v>86</v>
      </c>
      <c r="D312">
        <v>14</v>
      </c>
      <c r="E312" t="s">
        <v>937</v>
      </c>
      <c r="F312">
        <v>264.23399999999998</v>
      </c>
      <c r="G312">
        <v>478.11700000000002</v>
      </c>
      <c r="H312">
        <v>5795.7020000000002</v>
      </c>
      <c r="I312">
        <v>1026.4570000000001</v>
      </c>
      <c r="J312">
        <v>3825.9229999999998</v>
      </c>
      <c r="K312">
        <v>255</v>
      </c>
      <c r="L312">
        <v>2901.5729999999999</v>
      </c>
      <c r="M312">
        <v>924.35</v>
      </c>
      <c r="N312">
        <v>264.23399999999998</v>
      </c>
      <c r="O312">
        <v>448.875</v>
      </c>
      <c r="P312">
        <v>411.06</v>
      </c>
      <c r="Q312">
        <v>87.363</v>
      </c>
      <c r="R312">
        <v>1968.5050000000001</v>
      </c>
      <c r="S312">
        <v>3312.6329999999998</v>
      </c>
      <c r="T312">
        <v>4374.0680000000002</v>
      </c>
      <c r="U312">
        <v>2756.1579999999999</v>
      </c>
      <c r="V312">
        <v>1550.6849999999999</v>
      </c>
      <c r="W312">
        <v>711.745</v>
      </c>
      <c r="X312">
        <v>23.47</v>
      </c>
      <c r="Y312">
        <v>3</v>
      </c>
      <c r="Z312" t="s">
        <v>57</v>
      </c>
      <c r="AA312" t="s">
        <v>677</v>
      </c>
      <c r="AB312" t="s">
        <v>34</v>
      </c>
      <c r="AC312" s="7">
        <f t="shared" si="40"/>
        <v>7.4116584803903818E-2</v>
      </c>
      <c r="AD312" s="8">
        <f t="shared" si="41"/>
        <v>8.2495097228946559E-2</v>
      </c>
      <c r="AE312" s="9">
        <f t="shared" si="42"/>
        <v>3.3084914652864589E-2</v>
      </c>
      <c r="AF312" s="8">
        <f t="shared" si="43"/>
        <v>0.21132501826674849</v>
      </c>
      <c r="AG312" s="8">
        <f t="shared" si="44"/>
        <v>1.3204203423681404</v>
      </c>
      <c r="AH312" s="8">
        <f t="shared" si="45"/>
        <v>0.66335799992135458</v>
      </c>
      <c r="AI312" s="8">
        <f t="shared" si="46"/>
        <v>1.3185685833167045</v>
      </c>
      <c r="AJ312" s="8">
        <f t="shared" si="47"/>
        <v>0.23466873400230634</v>
      </c>
      <c r="AK312" s="8">
        <f t="shared" si="48"/>
        <v>1.1549492503395336</v>
      </c>
      <c r="AL312" s="8">
        <f t="shared" si="49"/>
        <v>6.2700297506355822</v>
      </c>
    </row>
    <row r="313" spans="1:38">
      <c r="A313" t="s">
        <v>938</v>
      </c>
      <c r="B313" t="s">
        <v>939</v>
      </c>
      <c r="C313" t="s">
        <v>69</v>
      </c>
      <c r="D313">
        <v>14</v>
      </c>
      <c r="E313" t="s">
        <v>940</v>
      </c>
      <c r="F313">
        <v>182.18</v>
      </c>
      <c r="G313">
        <v>317.654</v>
      </c>
      <c r="H313">
        <v>5540.2</v>
      </c>
      <c r="I313">
        <v>947.09500000000003</v>
      </c>
      <c r="J313">
        <v>2027.866</v>
      </c>
      <c r="K313">
        <v>64.501999999999995</v>
      </c>
      <c r="L313">
        <v>1292.258</v>
      </c>
      <c r="M313">
        <v>735.60799999999995</v>
      </c>
      <c r="N313">
        <v>219.892</v>
      </c>
      <c r="O313">
        <v>225.11199999999999</v>
      </c>
      <c r="P313">
        <v>0</v>
      </c>
      <c r="Q313">
        <v>11.146000000000001</v>
      </c>
      <c r="R313">
        <v>1475.2750000000001</v>
      </c>
      <c r="S313">
        <v>1292.258</v>
      </c>
      <c r="T313">
        <v>2285.8850000000002</v>
      </c>
      <c r="U313">
        <v>2294.473</v>
      </c>
      <c r="V313">
        <v>1677.2650000000001</v>
      </c>
      <c r="W313">
        <v>1493.143</v>
      </c>
      <c r="X313">
        <v>41.43</v>
      </c>
      <c r="Y313">
        <v>3</v>
      </c>
      <c r="Z313" t="s">
        <v>39</v>
      </c>
      <c r="AA313" t="s">
        <v>677</v>
      </c>
      <c r="AB313" t="s">
        <v>34</v>
      </c>
      <c r="AC313" s="7">
        <f t="shared" si="40"/>
        <v>7.954836718003265E-2</v>
      </c>
      <c r="AD313" s="8">
        <f t="shared" si="41"/>
        <v>5.733619724919678E-2</v>
      </c>
      <c r="AE313" s="9">
        <f t="shared" si="42"/>
        <v>8.054827169179192E-3</v>
      </c>
      <c r="AF313" s="8">
        <f t="shared" si="43"/>
        <v>0.32180446522900313</v>
      </c>
      <c r="AG313" s="8">
        <f t="shared" si="44"/>
        <v>1.7689076020423167</v>
      </c>
      <c r="AH313" s="8">
        <f t="shared" si="45"/>
        <v>0.56532065261375786</v>
      </c>
      <c r="AI313" s="8">
        <f t="shared" si="46"/>
        <v>1.569242364914746</v>
      </c>
      <c r="AJ313" s="8">
        <f t="shared" si="47"/>
        <v>0.41432311774214359</v>
      </c>
      <c r="AK313" s="8">
        <f t="shared" si="48"/>
        <v>1.569242364914746</v>
      </c>
      <c r="AL313" s="8">
        <f t="shared" si="49"/>
        <v>7.5314569716479429</v>
      </c>
    </row>
    <row r="314" spans="1:38">
      <c r="A314" t="s">
        <v>941</v>
      </c>
      <c r="B314" t="s">
        <v>942</v>
      </c>
      <c r="C314" t="s">
        <v>508</v>
      </c>
      <c r="D314">
        <v>24</v>
      </c>
      <c r="E314" t="s">
        <v>943</v>
      </c>
      <c r="F314">
        <v>71.278000000000006</v>
      </c>
      <c r="G314">
        <v>234.55799999999999</v>
      </c>
      <c r="H314">
        <v>5502.3059999999996</v>
      </c>
      <c r="I314">
        <v>454.13900000000001</v>
      </c>
      <c r="J314">
        <v>2754.127</v>
      </c>
      <c r="K314">
        <v>262</v>
      </c>
      <c r="L314">
        <v>2159.2429999999999</v>
      </c>
      <c r="M314">
        <v>594.88400000000001</v>
      </c>
      <c r="N314">
        <v>139.54300000000001</v>
      </c>
      <c r="O314">
        <v>285.34500000000003</v>
      </c>
      <c r="P314">
        <v>379.58100000000002</v>
      </c>
      <c r="Q314">
        <v>41.204999999999998</v>
      </c>
      <c r="R314">
        <v>1868.5409999999999</v>
      </c>
      <c r="S314">
        <v>2538.8240000000001</v>
      </c>
      <c r="T314">
        <v>3120.7550000000001</v>
      </c>
      <c r="U314">
        <v>2350.1080000000002</v>
      </c>
      <c r="V314">
        <v>2388.4290000000001</v>
      </c>
      <c r="W314">
        <v>1022.982</v>
      </c>
      <c r="X314">
        <v>14.55</v>
      </c>
      <c r="Y314">
        <v>3</v>
      </c>
      <c r="Z314" t="s">
        <v>62</v>
      </c>
      <c r="AA314" t="s">
        <v>677</v>
      </c>
      <c r="AB314" t="s">
        <v>34</v>
      </c>
      <c r="AC314" s="7">
        <f t="shared" si="40"/>
        <v>2.6057314906258847E-2</v>
      </c>
      <c r="AD314" s="8">
        <f t="shared" si="41"/>
        <v>4.2629035898766807E-2</v>
      </c>
      <c r="AE314" s="9">
        <f t="shared" si="42"/>
        <v>1.8698247138596417E-2</v>
      </c>
      <c r="AF314" s="8">
        <f t="shared" si="43"/>
        <v>0.19062182068121336</v>
      </c>
      <c r="AG314" s="8">
        <f t="shared" si="44"/>
        <v>1.2292128166426661</v>
      </c>
      <c r="AH314" s="8">
        <f t="shared" si="45"/>
        <v>0.69189763374568014</v>
      </c>
      <c r="AI314" s="8">
        <f t="shared" si="46"/>
        <v>1.2755058138430921</v>
      </c>
      <c r="AJ314" s="8">
        <f t="shared" si="47"/>
        <v>0.14552215729847426</v>
      </c>
      <c r="AK314" s="8">
        <f t="shared" si="48"/>
        <v>1.0848042243180307</v>
      </c>
      <c r="AL314" s="8">
        <f t="shared" si="49"/>
        <v>9.2493763490024943</v>
      </c>
    </row>
    <row r="315" spans="1:38">
      <c r="A315" t="s">
        <v>944</v>
      </c>
      <c r="B315" t="s">
        <v>945</v>
      </c>
      <c r="C315" t="s">
        <v>60</v>
      </c>
      <c r="D315">
        <v>14</v>
      </c>
      <c r="E315" t="s">
        <v>946</v>
      </c>
      <c r="F315">
        <v>50.256999999999998</v>
      </c>
      <c r="G315">
        <v>179.322</v>
      </c>
      <c r="H315">
        <v>5364.268</v>
      </c>
      <c r="I315">
        <v>337.60599999999999</v>
      </c>
      <c r="J315">
        <v>3427.2750000000001</v>
      </c>
      <c r="K315">
        <v>1034.5409999999999</v>
      </c>
      <c r="L315">
        <v>3124.1129999999998</v>
      </c>
      <c r="M315">
        <v>303.16199999999998</v>
      </c>
      <c r="N315">
        <v>130.511</v>
      </c>
      <c r="O315">
        <v>627.79100000000005</v>
      </c>
      <c r="P315">
        <v>551.04700000000003</v>
      </c>
      <c r="Q315">
        <v>18.565999999999999</v>
      </c>
      <c r="R315">
        <v>2320.5250000000001</v>
      </c>
      <c r="S315">
        <v>3675.16</v>
      </c>
      <c r="T315">
        <v>4169.6840000000002</v>
      </c>
      <c r="U315">
        <v>2768.1439999999998</v>
      </c>
      <c r="V315">
        <v>1791.683</v>
      </c>
      <c r="W315">
        <v>981.03200000000004</v>
      </c>
      <c r="X315">
        <v>8.1</v>
      </c>
      <c r="Y315">
        <v>3</v>
      </c>
      <c r="Z315" t="s">
        <v>62</v>
      </c>
      <c r="AA315" t="s">
        <v>677</v>
      </c>
      <c r="AB315" t="s">
        <v>34</v>
      </c>
      <c r="AC315" s="7">
        <f t="shared" si="40"/>
        <v>1.4487819530838759E-2</v>
      </c>
      <c r="AD315" s="8">
        <f t="shared" si="41"/>
        <v>3.3428978567066371E-2</v>
      </c>
      <c r="AE315" s="9">
        <f t="shared" si="42"/>
        <v>6.1931205525306956E-3</v>
      </c>
      <c r="AF315" s="8">
        <f t="shared" si="43"/>
        <v>7.270622905716595E-2</v>
      </c>
      <c r="AG315" s="8">
        <f t="shared" si="44"/>
        <v>1.1345584954124448</v>
      </c>
      <c r="AH315" s="8">
        <f t="shared" si="45"/>
        <v>0.74924454706879462</v>
      </c>
      <c r="AI315" s="8">
        <f t="shared" si="46"/>
        <v>1.0970393836586578</v>
      </c>
      <c r="AJ315" s="8">
        <f t="shared" si="47"/>
        <v>8.0966807076987127E-2</v>
      </c>
      <c r="AK315" s="8">
        <f t="shared" si="48"/>
        <v>0.93255123586456101</v>
      </c>
      <c r="AL315" s="8">
        <f t="shared" si="49"/>
        <v>17.694394416186725</v>
      </c>
    </row>
    <row r="316" spans="1:38">
      <c r="A316" t="s">
        <v>947</v>
      </c>
      <c r="B316" t="s">
        <v>948</v>
      </c>
      <c r="C316" t="s">
        <v>69</v>
      </c>
      <c r="D316">
        <v>7</v>
      </c>
      <c r="E316" t="s">
        <v>949</v>
      </c>
      <c r="F316">
        <v>373.57100000000003</v>
      </c>
      <c r="G316">
        <v>87.668000000000006</v>
      </c>
      <c r="H316">
        <v>5322.0959999999995</v>
      </c>
      <c r="I316">
        <v>858.00800000000004</v>
      </c>
      <c r="J316">
        <v>1914.2239999999999</v>
      </c>
      <c r="K316">
        <v>586.21199999999999</v>
      </c>
      <c r="L316">
        <v>785.42499999999995</v>
      </c>
      <c r="M316">
        <v>1128.799</v>
      </c>
      <c r="N316">
        <v>390.48599999999999</v>
      </c>
      <c r="O316">
        <v>91.355000000000004</v>
      </c>
      <c r="P316">
        <v>299.69400000000002</v>
      </c>
      <c r="Q316">
        <v>11.112</v>
      </c>
      <c r="R316">
        <v>1506.2550000000001</v>
      </c>
      <c r="S316">
        <v>1085.1189999999999</v>
      </c>
      <c r="T316">
        <v>2038.674</v>
      </c>
      <c r="U316">
        <v>2037.3879999999999</v>
      </c>
      <c r="V316">
        <v>1220.912</v>
      </c>
      <c r="W316">
        <v>1242.7249999999999</v>
      </c>
      <c r="X316">
        <v>42.09</v>
      </c>
      <c r="Y316">
        <v>3</v>
      </c>
      <c r="Z316" t="s">
        <v>39</v>
      </c>
      <c r="AA316" t="s">
        <v>677</v>
      </c>
      <c r="AB316" t="s">
        <v>34</v>
      </c>
      <c r="AC316" s="7">
        <f t="shared" si="40"/>
        <v>0.18329995961788612</v>
      </c>
      <c r="AD316" s="8">
        <f t="shared" si="41"/>
        <v>1.6472457467884834E-2</v>
      </c>
      <c r="AE316" s="9">
        <f t="shared" si="42"/>
        <v>8.5761453190469628E-3</v>
      </c>
      <c r="AF316" s="8">
        <f t="shared" si="43"/>
        <v>0.55369274342047825</v>
      </c>
      <c r="AG316" s="8">
        <f t="shared" si="44"/>
        <v>1.8787561548549054</v>
      </c>
      <c r="AH316" s="8">
        <f t="shared" si="45"/>
        <v>0.38526267564112748</v>
      </c>
      <c r="AI316" s="8">
        <f t="shared" si="46"/>
        <v>2.4371824171626826</v>
      </c>
      <c r="AJ316" s="8">
        <f t="shared" si="47"/>
        <v>0.42086571958047242</v>
      </c>
      <c r="AK316" s="8">
        <f t="shared" si="48"/>
        <v>1.7640682726963588</v>
      </c>
      <c r="AL316" s="8">
        <f t="shared" si="49"/>
        <v>4.7148305411326552</v>
      </c>
    </row>
    <row r="317" spans="1:38">
      <c r="A317" t="s">
        <v>950</v>
      </c>
      <c r="B317" t="s">
        <v>951</v>
      </c>
      <c r="C317" t="s">
        <v>69</v>
      </c>
      <c r="D317">
        <v>36</v>
      </c>
      <c r="E317" t="s">
        <v>952</v>
      </c>
      <c r="F317">
        <v>79.893000000000001</v>
      </c>
      <c r="G317">
        <v>270.62700000000001</v>
      </c>
      <c r="H317">
        <v>5287.9780000000001</v>
      </c>
      <c r="I317">
        <v>678.37099999999998</v>
      </c>
      <c r="J317">
        <v>2961.7809999999999</v>
      </c>
      <c r="K317">
        <v>392.45499999999998</v>
      </c>
      <c r="L317">
        <v>2073.8649999999998</v>
      </c>
      <c r="M317">
        <v>887.91600000000005</v>
      </c>
      <c r="N317">
        <v>146.02000000000001</v>
      </c>
      <c r="O317">
        <v>258.452</v>
      </c>
      <c r="P317">
        <v>184.58500000000001</v>
      </c>
      <c r="Q317">
        <v>29.747</v>
      </c>
      <c r="R317">
        <v>1982.412</v>
      </c>
      <c r="S317">
        <v>2258.4499999999998</v>
      </c>
      <c r="T317">
        <v>3306.817</v>
      </c>
      <c r="U317">
        <v>2959.7660000000001</v>
      </c>
      <c r="V317">
        <v>2084.77</v>
      </c>
      <c r="W317">
        <v>1003.7089999999999</v>
      </c>
      <c r="X317">
        <v>20.51</v>
      </c>
      <c r="Y317">
        <v>3</v>
      </c>
      <c r="Z317" t="s">
        <v>39</v>
      </c>
      <c r="AA317" t="s">
        <v>677</v>
      </c>
      <c r="AB317" t="s">
        <v>34</v>
      </c>
      <c r="AC317" s="7">
        <f t="shared" si="40"/>
        <v>2.5498106384292681E-2</v>
      </c>
      <c r="AD317" s="8">
        <f t="shared" si="41"/>
        <v>5.1177784778983576E-2</v>
      </c>
      <c r="AE317" s="9">
        <f t="shared" si="42"/>
        <v>1.4028751701894568E-2</v>
      </c>
      <c r="AF317" s="8">
        <f t="shared" si="43"/>
        <v>0.26851077637498538</v>
      </c>
      <c r="AG317" s="8">
        <f t="shared" si="44"/>
        <v>1.4641975691292701</v>
      </c>
      <c r="AH317" s="8">
        <f t="shared" si="45"/>
        <v>0.62714840282966966</v>
      </c>
      <c r="AI317" s="8">
        <f t="shared" si="46"/>
        <v>1.428145515739935</v>
      </c>
      <c r="AJ317" s="8">
        <f t="shared" si="47"/>
        <v>0.20514319359069461</v>
      </c>
      <c r="AK317" s="8">
        <f t="shared" si="48"/>
        <v>1.3114219929597735</v>
      </c>
      <c r="AL317" s="8">
        <f t="shared" si="49"/>
        <v>5.9554935376769871</v>
      </c>
    </row>
    <row r="318" spans="1:38">
      <c r="A318" t="s">
        <v>953</v>
      </c>
      <c r="B318" t="s">
        <v>954</v>
      </c>
      <c r="C318" t="s">
        <v>508</v>
      </c>
      <c r="D318">
        <v>39</v>
      </c>
      <c r="E318" t="s">
        <v>955</v>
      </c>
      <c r="F318">
        <v>187.226</v>
      </c>
      <c r="G318">
        <v>570.04100000000005</v>
      </c>
      <c r="H318">
        <v>5238.7110000000002</v>
      </c>
      <c r="I318">
        <v>1341.29</v>
      </c>
      <c r="J318">
        <v>2810.5859999999998</v>
      </c>
      <c r="K318">
        <v>806.78</v>
      </c>
      <c r="L318">
        <v>1293.279</v>
      </c>
      <c r="M318">
        <v>1517.307</v>
      </c>
      <c r="N318">
        <v>327.19099999999997</v>
      </c>
      <c r="O318">
        <v>670.21699999999998</v>
      </c>
      <c r="P318">
        <v>728.53</v>
      </c>
      <c r="Q318">
        <v>66.423000000000002</v>
      </c>
      <c r="R318">
        <v>2096.5520000000001</v>
      </c>
      <c r="S318">
        <v>2021.809</v>
      </c>
      <c r="T318">
        <v>3488.7919999999999</v>
      </c>
      <c r="U318">
        <v>3349.752</v>
      </c>
      <c r="V318">
        <v>2241.5390000000002</v>
      </c>
      <c r="W318">
        <v>815.06299999999999</v>
      </c>
      <c r="X318">
        <v>38.450000000000003</v>
      </c>
      <c r="Y318">
        <v>3</v>
      </c>
      <c r="Z318" t="s">
        <v>62</v>
      </c>
      <c r="AA318" t="s">
        <v>677</v>
      </c>
      <c r="AB318" t="s">
        <v>34</v>
      </c>
      <c r="AC318" s="7">
        <f t="shared" si="40"/>
        <v>5.4756100128916331E-2</v>
      </c>
      <c r="AD318" s="8">
        <f t="shared" si="41"/>
        <v>0.10881321760257438</v>
      </c>
      <c r="AE318" s="9">
        <f t="shared" si="42"/>
        <v>3.2257007095783982E-2</v>
      </c>
      <c r="AF318" s="8">
        <f t="shared" si="43"/>
        <v>0.43490898855535098</v>
      </c>
      <c r="AG318" s="8">
        <f t="shared" si="44"/>
        <v>1.7255794192230818</v>
      </c>
      <c r="AH318" s="8">
        <f t="shared" si="45"/>
        <v>0.37069535816408661</v>
      </c>
      <c r="AI318" s="8">
        <f t="shared" si="46"/>
        <v>2.1732248030007444</v>
      </c>
      <c r="AJ318" s="8">
        <f t="shared" si="47"/>
        <v>0.38445685498017651</v>
      </c>
      <c r="AK318" s="8">
        <f t="shared" si="48"/>
        <v>1.3901342807357173</v>
      </c>
      <c r="AL318" s="8">
        <f t="shared" si="49"/>
        <v>3.4526374688840162</v>
      </c>
    </row>
    <row r="319" spans="1:38">
      <c r="A319" t="s">
        <v>956</v>
      </c>
      <c r="B319" t="s">
        <v>957</v>
      </c>
      <c r="C319" t="s">
        <v>30</v>
      </c>
      <c r="D319">
        <v>21</v>
      </c>
      <c r="E319" t="s">
        <v>958</v>
      </c>
      <c r="F319">
        <v>260.68200000000002</v>
      </c>
      <c r="G319">
        <v>428.267</v>
      </c>
      <c r="H319">
        <v>5173.8590000000004</v>
      </c>
      <c r="I319">
        <v>1155.3920000000001</v>
      </c>
      <c r="J319">
        <v>2915.07</v>
      </c>
      <c r="K319">
        <v>283.05500000000001</v>
      </c>
      <c r="L319">
        <v>1510.8679999999999</v>
      </c>
      <c r="M319">
        <v>1404.202</v>
      </c>
      <c r="N319">
        <v>357.142</v>
      </c>
      <c r="O319">
        <v>197.321</v>
      </c>
      <c r="P319">
        <v>234.935</v>
      </c>
      <c r="Q319">
        <v>15.106</v>
      </c>
      <c r="R319">
        <v>1693.24</v>
      </c>
      <c r="S319">
        <v>1745.8030000000001</v>
      </c>
      <c r="T319">
        <v>3164.576</v>
      </c>
      <c r="U319">
        <v>2909.3710000000001</v>
      </c>
      <c r="V319">
        <v>2272.0619999999999</v>
      </c>
      <c r="W319">
        <v>1584.5239999999999</v>
      </c>
      <c r="X319">
        <v>36.51</v>
      </c>
      <c r="Y319">
        <v>3</v>
      </c>
      <c r="Z319" t="s">
        <v>32</v>
      </c>
      <c r="AA319" t="s">
        <v>677</v>
      </c>
      <c r="AB319" t="s">
        <v>34</v>
      </c>
      <c r="AC319" s="7">
        <f t="shared" si="40"/>
        <v>8.5836112827457997E-2</v>
      </c>
      <c r="AD319" s="8">
        <f t="shared" si="41"/>
        <v>8.277515873548158E-2</v>
      </c>
      <c r="AE319" s="9">
        <f t="shared" si="42"/>
        <v>8.7850021066907275E-3</v>
      </c>
      <c r="AF319" s="8">
        <f t="shared" si="43"/>
        <v>0.44372516254942213</v>
      </c>
      <c r="AG319" s="8">
        <f t="shared" si="44"/>
        <v>1.8126764589131763</v>
      </c>
      <c r="AH319" s="8">
        <f t="shared" si="45"/>
        <v>0.47743141577260267</v>
      </c>
      <c r="AI319" s="8">
        <f t="shared" si="46"/>
        <v>1.9294008477246194</v>
      </c>
      <c r="AJ319" s="8">
        <f t="shared" si="47"/>
        <v>0.3651016755483199</v>
      </c>
      <c r="AK319" s="8">
        <f t="shared" si="48"/>
        <v>1.6697588444973459</v>
      </c>
      <c r="AL319" s="8">
        <f t="shared" si="49"/>
        <v>3.6845546438475378</v>
      </c>
    </row>
    <row r="320" spans="1:38">
      <c r="A320" t="s">
        <v>959</v>
      </c>
      <c r="B320" t="s">
        <v>960</v>
      </c>
      <c r="C320" t="s">
        <v>47</v>
      </c>
      <c r="D320">
        <v>43</v>
      </c>
      <c r="E320" t="s">
        <v>961</v>
      </c>
      <c r="F320">
        <v>122.38800000000001</v>
      </c>
      <c r="G320">
        <v>333.42399999999998</v>
      </c>
      <c r="H320">
        <v>5161.6970000000001</v>
      </c>
      <c r="I320">
        <v>236.38800000000001</v>
      </c>
      <c r="J320">
        <v>2457.482</v>
      </c>
      <c r="K320">
        <v>24.321000000000002</v>
      </c>
      <c r="L320">
        <v>2034.1880000000001</v>
      </c>
      <c r="M320">
        <v>423.29399999999998</v>
      </c>
      <c r="N320">
        <v>187.50399999999999</v>
      </c>
      <c r="O320">
        <v>745.44299999999998</v>
      </c>
      <c r="P320">
        <v>620.68899999999996</v>
      </c>
      <c r="Q320">
        <v>38.031999999999996</v>
      </c>
      <c r="R320">
        <v>2318.3359999999998</v>
      </c>
      <c r="S320">
        <v>2654.877</v>
      </c>
      <c r="T320">
        <v>3220.6950000000002</v>
      </c>
      <c r="U320">
        <v>2741.7930000000001</v>
      </c>
      <c r="V320">
        <v>1917.1679999999999</v>
      </c>
      <c r="W320">
        <v>781.154</v>
      </c>
      <c r="X320">
        <v>7.34</v>
      </c>
      <c r="Y320">
        <v>3</v>
      </c>
      <c r="Z320" t="s">
        <v>32</v>
      </c>
      <c r="AA320" t="s">
        <v>677</v>
      </c>
      <c r="AB320" t="s">
        <v>34</v>
      </c>
      <c r="AC320" s="7">
        <f t="shared" si="40"/>
        <v>4.1052661238060353E-2</v>
      </c>
      <c r="AD320" s="8">
        <f t="shared" si="41"/>
        <v>6.4595810253875799E-2</v>
      </c>
      <c r="AE320" s="9">
        <f t="shared" si="42"/>
        <v>1.529474004029186E-2</v>
      </c>
      <c r="AF320" s="8">
        <f t="shared" si="43"/>
        <v>0.13142939645014506</v>
      </c>
      <c r="AG320" s="8">
        <f t="shared" si="44"/>
        <v>1.213123997834928</v>
      </c>
      <c r="AH320" s="8">
        <f t="shared" si="45"/>
        <v>0.63159908032272538</v>
      </c>
      <c r="AI320" s="8">
        <f t="shared" si="46"/>
        <v>1.2080899110603345</v>
      </c>
      <c r="AJ320" s="8">
        <f t="shared" si="47"/>
        <v>7.339658055171322E-2</v>
      </c>
      <c r="AK320" s="8">
        <f t="shared" si="48"/>
        <v>0.92564815620460006</v>
      </c>
      <c r="AL320" s="8">
        <f t="shared" si="49"/>
        <v>12.19411803616399</v>
      </c>
    </row>
    <row r="321" spans="1:38">
      <c r="A321" t="s">
        <v>962</v>
      </c>
      <c r="B321" t="s">
        <v>963</v>
      </c>
      <c r="C321" t="s">
        <v>508</v>
      </c>
      <c r="D321">
        <v>10</v>
      </c>
      <c r="E321" t="s">
        <v>964</v>
      </c>
      <c r="F321">
        <v>66.096999999999994</v>
      </c>
      <c r="G321">
        <v>399.43900000000002</v>
      </c>
      <c r="H321">
        <v>5161.5609999999997</v>
      </c>
      <c r="I321">
        <v>884.99300000000005</v>
      </c>
      <c r="J321">
        <v>4383.1989999999996</v>
      </c>
      <c r="K321">
        <v>498.05900000000003</v>
      </c>
      <c r="L321">
        <v>3011.02</v>
      </c>
      <c r="M321">
        <v>1372.1790000000001</v>
      </c>
      <c r="N321">
        <v>157.458</v>
      </c>
      <c r="O321">
        <v>232.86</v>
      </c>
      <c r="P321">
        <v>724.52300000000002</v>
      </c>
      <c r="Q321">
        <v>162.851</v>
      </c>
      <c r="R321">
        <v>2369.645</v>
      </c>
      <c r="S321">
        <v>3735.5430000000001</v>
      </c>
      <c r="T321">
        <v>4636.2740000000003</v>
      </c>
      <c r="U321">
        <v>3128.6849999999999</v>
      </c>
      <c r="V321">
        <v>735.57299999999998</v>
      </c>
      <c r="W321">
        <v>426.30500000000001</v>
      </c>
      <c r="X321">
        <v>19.09</v>
      </c>
      <c r="Y321">
        <v>3</v>
      </c>
      <c r="Z321" t="s">
        <v>62</v>
      </c>
      <c r="AA321" t="s">
        <v>677</v>
      </c>
      <c r="AB321" t="s">
        <v>34</v>
      </c>
      <c r="AC321" s="7">
        <f t="shared" si="40"/>
        <v>1.7024429877865416E-2</v>
      </c>
      <c r="AD321" s="8">
        <f t="shared" si="41"/>
        <v>7.7387247772524634E-2</v>
      </c>
      <c r="AE321" s="9">
        <f t="shared" si="42"/>
        <v>5.3348398116487158E-2</v>
      </c>
      <c r="AF321" s="8">
        <f t="shared" si="43"/>
        <v>0.29596589847795879</v>
      </c>
      <c r="AG321" s="8">
        <f t="shared" si="44"/>
        <v>1.2411245165696125</v>
      </c>
      <c r="AH321" s="8">
        <f t="shared" si="45"/>
        <v>0.64944824227386033</v>
      </c>
      <c r="AI321" s="8">
        <f t="shared" si="46"/>
        <v>1.4557189922351892</v>
      </c>
      <c r="AJ321" s="8">
        <f t="shared" si="47"/>
        <v>0.19088453357157062</v>
      </c>
      <c r="AK321" s="8">
        <f t="shared" si="48"/>
        <v>1.173376668398677</v>
      </c>
      <c r="AL321" s="8">
        <f t="shared" si="49"/>
        <v>3.7615799396434424</v>
      </c>
    </row>
    <row r="322" spans="1:38">
      <c r="A322" t="s">
        <v>965</v>
      </c>
      <c r="B322" t="s">
        <v>966</v>
      </c>
      <c r="C322" t="s">
        <v>69</v>
      </c>
      <c r="D322">
        <v>19</v>
      </c>
      <c r="E322" t="s">
        <v>967</v>
      </c>
      <c r="F322">
        <v>-38.677</v>
      </c>
      <c r="G322">
        <v>269.05700000000002</v>
      </c>
      <c r="H322">
        <v>5140.1989999999996</v>
      </c>
      <c r="I322">
        <v>106.379</v>
      </c>
      <c r="J322">
        <v>2393.7890000000002</v>
      </c>
      <c r="K322">
        <v>585.9</v>
      </c>
      <c r="L322">
        <v>2522.73</v>
      </c>
      <c r="M322">
        <v>-128.941</v>
      </c>
      <c r="N322">
        <v>154.404</v>
      </c>
      <c r="O322">
        <v>986.88099999999997</v>
      </c>
      <c r="P322">
        <v>715.798</v>
      </c>
      <c r="Q322">
        <v>77.846000000000004</v>
      </c>
      <c r="R322">
        <v>1544.9970000000001</v>
      </c>
      <c r="S322">
        <v>3238.5279999999998</v>
      </c>
      <c r="T322">
        <v>3427.7559999999999</v>
      </c>
      <c r="U322">
        <v>1754.1479999999999</v>
      </c>
      <c r="V322">
        <v>1596.77</v>
      </c>
      <c r="W322">
        <v>1744.711</v>
      </c>
      <c r="X322">
        <v>3.1</v>
      </c>
      <c r="Y322">
        <v>3</v>
      </c>
      <c r="Z322" t="s">
        <v>39</v>
      </c>
      <c r="AA322" t="s">
        <v>677</v>
      </c>
      <c r="AB322" t="s">
        <v>34</v>
      </c>
      <c r="AC322" s="7">
        <f t="shared" si="40"/>
        <v>-1.4927717688324602E-2</v>
      </c>
      <c r="AD322" s="8">
        <f t="shared" si="41"/>
        <v>5.2343693308371922E-2</v>
      </c>
      <c r="AE322" s="9">
        <f t="shared" si="42"/>
        <v>3.2547546004254191E-2</v>
      </c>
      <c r="AF322" s="8">
        <f t="shared" si="43"/>
        <v>-3.7616738180897356E-2</v>
      </c>
      <c r="AG322" s="8">
        <f t="shared" si="44"/>
        <v>1.0584302497924984</v>
      </c>
      <c r="AH322" s="8">
        <f t="shared" si="45"/>
        <v>0.73597128850478277</v>
      </c>
      <c r="AI322" s="8">
        <f t="shared" si="46"/>
        <v>0.94888830750813613</v>
      </c>
      <c r="AJ322" s="8">
        <f t="shared" si="47"/>
        <v>3.1034589393177346E-2</v>
      </c>
      <c r="AK322" s="8">
        <f t="shared" si="48"/>
        <v>0.73915958114303792</v>
      </c>
      <c r="AL322" s="8">
        <f t="shared" si="49"/>
        <v>-39.864736584949704</v>
      </c>
    </row>
    <row r="323" spans="1:38">
      <c r="A323" t="s">
        <v>968</v>
      </c>
      <c r="B323" t="s">
        <v>969</v>
      </c>
      <c r="C323" t="s">
        <v>47</v>
      </c>
      <c r="D323">
        <v>16</v>
      </c>
      <c r="E323" t="s">
        <v>970</v>
      </c>
      <c r="F323">
        <v>82.525000000000006</v>
      </c>
      <c r="G323">
        <v>1269.4369999999999</v>
      </c>
      <c r="H323">
        <v>5108.4390000000003</v>
      </c>
      <c r="I323">
        <v>401.04899999999998</v>
      </c>
      <c r="J323">
        <v>3766.002</v>
      </c>
      <c r="K323">
        <v>0</v>
      </c>
      <c r="L323">
        <v>2806.616</v>
      </c>
      <c r="M323">
        <v>959.38599999999997</v>
      </c>
      <c r="N323">
        <v>1060.683</v>
      </c>
      <c r="O323">
        <v>59.085000000000001</v>
      </c>
      <c r="P323">
        <v>476.88600000000002</v>
      </c>
      <c r="Q323">
        <v>103.137</v>
      </c>
      <c r="R323">
        <v>2860.4859999999999</v>
      </c>
      <c r="S323">
        <v>3283.502</v>
      </c>
      <c r="T323">
        <v>3836.5129999999999</v>
      </c>
      <c r="U323">
        <v>3316.59</v>
      </c>
      <c r="V323">
        <v>1428.386</v>
      </c>
      <c r="W323">
        <v>1322.2819999999999</v>
      </c>
      <c r="X323">
        <v>10.45</v>
      </c>
      <c r="Y323">
        <v>3</v>
      </c>
      <c r="Z323" t="s">
        <v>32</v>
      </c>
      <c r="AA323" t="s">
        <v>677</v>
      </c>
      <c r="AB323" t="s">
        <v>34</v>
      </c>
      <c r="AC323" s="7">
        <f t="shared" ref="AC323:AC386" si="50">F323/((T323+U323)/2)</f>
        <v>2.3073902333015477E-2</v>
      </c>
      <c r="AD323" s="8">
        <f t="shared" ref="AD323:AD386" si="51">G323/H323</f>
        <v>0.24849802454330958</v>
      </c>
      <c r="AE323" s="9">
        <f t="shared" ref="AE323:AE386" si="52">Q323/((R323+S323)/2)</f>
        <v>3.3573307760366725E-2</v>
      </c>
      <c r="AF323" s="8">
        <f t="shared" ref="AF323:AF386" si="53">M323/T323</f>
        <v>0.25006718340326228</v>
      </c>
      <c r="AG323" s="8">
        <f t="shared" ref="AG323:AG386" si="54">T323/S323</f>
        <v>1.1684210943072366</v>
      </c>
      <c r="AH323" s="8">
        <f t="shared" ref="AH323:AH386" si="55">L323/T323</f>
        <v>0.73155388760575035</v>
      </c>
      <c r="AI323" s="8">
        <f t="shared" ref="AI323:AI386" si="56">J323/L323</f>
        <v>1.3418301613045747</v>
      </c>
      <c r="AJ323" s="8">
        <f t="shared" ref="AJ323:AJ386" si="57">I323/T323</f>
        <v>0.10453476894252671</v>
      </c>
      <c r="AK323" s="8">
        <f t="shared" ref="AK323:AK386" si="58">J323/S323</f>
        <v>1.1469467659833921</v>
      </c>
      <c r="AL323" s="8">
        <f t="shared" ref="AL323:AL386" si="59">H323/M323</f>
        <v>5.3246962119522285</v>
      </c>
    </row>
    <row r="324" spans="1:38">
      <c r="A324" t="s">
        <v>971</v>
      </c>
      <c r="B324" t="s">
        <v>972</v>
      </c>
      <c r="C324" t="s">
        <v>47</v>
      </c>
      <c r="D324">
        <v>12</v>
      </c>
      <c r="E324" t="s">
        <v>973</v>
      </c>
      <c r="F324">
        <v>47.869</v>
      </c>
      <c r="G324">
        <v>135.905</v>
      </c>
      <c r="H324">
        <v>5084.3419999999996</v>
      </c>
      <c r="I324">
        <v>154.334</v>
      </c>
      <c r="J324">
        <v>2359.1930000000002</v>
      </c>
      <c r="K324">
        <v>175.74799999999999</v>
      </c>
      <c r="L324">
        <v>2170.0419999999999</v>
      </c>
      <c r="M324">
        <v>189.15100000000001</v>
      </c>
      <c r="N324">
        <v>73.626999999999995</v>
      </c>
      <c r="O324">
        <v>131.21199999999999</v>
      </c>
      <c r="P324">
        <v>124.515</v>
      </c>
      <c r="Q324">
        <v>25.076000000000001</v>
      </c>
      <c r="R324">
        <v>2553.0720000000001</v>
      </c>
      <c r="S324">
        <v>2294.5569999999998</v>
      </c>
      <c r="T324">
        <v>2515.87</v>
      </c>
      <c r="U324">
        <v>2706.2130000000002</v>
      </c>
      <c r="V324">
        <v>2328.9079999999999</v>
      </c>
      <c r="W324">
        <v>1804.9480000000001</v>
      </c>
      <c r="X324">
        <v>6.13</v>
      </c>
      <c r="Y324">
        <v>3</v>
      </c>
      <c r="Z324" t="s">
        <v>32</v>
      </c>
      <c r="AA324" t="s">
        <v>677</v>
      </c>
      <c r="AB324" t="s">
        <v>34</v>
      </c>
      <c r="AC324" s="7">
        <f t="shared" si="50"/>
        <v>1.8333297268542072E-2</v>
      </c>
      <c r="AD324" s="8">
        <f t="shared" si="51"/>
        <v>2.6730105881941066E-2</v>
      </c>
      <c r="AE324" s="9">
        <f t="shared" si="52"/>
        <v>1.0345676205831758E-2</v>
      </c>
      <c r="AF324" s="8">
        <f t="shared" si="53"/>
        <v>7.5183137443508616E-2</v>
      </c>
      <c r="AG324" s="8">
        <f t="shared" si="54"/>
        <v>1.0964512975707295</v>
      </c>
      <c r="AH324" s="8">
        <f t="shared" si="55"/>
        <v>0.86254138727358731</v>
      </c>
      <c r="AI324" s="8">
        <f t="shared" si="56"/>
        <v>1.0871646723888295</v>
      </c>
      <c r="AJ324" s="8">
        <f t="shared" si="57"/>
        <v>6.1344187100287377E-2</v>
      </c>
      <c r="AK324" s="8">
        <f t="shared" si="58"/>
        <v>1.0281692718899553</v>
      </c>
      <c r="AL324" s="8">
        <f t="shared" si="59"/>
        <v>26.879805023499742</v>
      </c>
    </row>
    <row r="325" spans="1:38">
      <c r="A325" t="s">
        <v>974</v>
      </c>
      <c r="B325" t="s">
        <v>975</v>
      </c>
      <c r="C325" t="s">
        <v>65</v>
      </c>
      <c r="D325">
        <v>7</v>
      </c>
      <c r="E325" t="s">
        <v>976</v>
      </c>
      <c r="F325">
        <v>36.695999999999998</v>
      </c>
      <c r="G325">
        <v>84.768000000000001</v>
      </c>
      <c r="H325">
        <v>4974.1570000000002</v>
      </c>
      <c r="I325">
        <v>235.08699999999999</v>
      </c>
      <c r="J325">
        <v>2854.116</v>
      </c>
      <c r="K325">
        <v>0</v>
      </c>
      <c r="L325">
        <v>2582.5529999999999</v>
      </c>
      <c r="M325">
        <v>271.56299999999999</v>
      </c>
      <c r="N325">
        <v>50.448999999999998</v>
      </c>
      <c r="O325">
        <v>10.346</v>
      </c>
      <c r="P325">
        <v>7.5039999999999996</v>
      </c>
      <c r="Q325">
        <v>11.689</v>
      </c>
      <c r="R325">
        <v>2717.3330000000001</v>
      </c>
      <c r="S325">
        <v>2590.0569999999998</v>
      </c>
      <c r="T325">
        <v>2874.7489999999998</v>
      </c>
      <c r="U325">
        <v>2955.1709999999998</v>
      </c>
      <c r="V325">
        <v>648.09900000000005</v>
      </c>
      <c r="W325">
        <v>598.01099999999997</v>
      </c>
      <c r="X325">
        <v>8.18</v>
      </c>
      <c r="Y325">
        <v>3</v>
      </c>
      <c r="Z325" t="s">
        <v>62</v>
      </c>
      <c r="AA325" t="s">
        <v>677</v>
      </c>
      <c r="AB325" t="s">
        <v>34</v>
      </c>
      <c r="AC325" s="7">
        <f t="shared" si="50"/>
        <v>1.2588851991107939E-2</v>
      </c>
      <c r="AD325" s="8">
        <f t="shared" si="51"/>
        <v>1.7041681635702289E-2</v>
      </c>
      <c r="AE325" s="9">
        <f t="shared" si="52"/>
        <v>4.4048016068161571E-3</v>
      </c>
      <c r="AF325" s="8">
        <f t="shared" si="53"/>
        <v>9.4464942852402076E-2</v>
      </c>
      <c r="AG325" s="8">
        <f t="shared" si="54"/>
        <v>1.1099172720909232</v>
      </c>
      <c r="AH325" s="8">
        <f t="shared" si="55"/>
        <v>0.89835773488398463</v>
      </c>
      <c r="AI325" s="8">
        <f t="shared" si="56"/>
        <v>1.105152924257508</v>
      </c>
      <c r="AJ325" s="8">
        <f t="shared" si="57"/>
        <v>8.1776530751032528E-2</v>
      </c>
      <c r="AK325" s="8">
        <f t="shared" si="58"/>
        <v>1.1019510381431761</v>
      </c>
      <c r="AL325" s="8">
        <f t="shared" si="59"/>
        <v>18.31676995761573</v>
      </c>
    </row>
    <row r="326" spans="1:38">
      <c r="A326" t="s">
        <v>977</v>
      </c>
      <c r="B326" t="s">
        <v>978</v>
      </c>
      <c r="C326" t="s">
        <v>65</v>
      </c>
      <c r="D326">
        <v>50</v>
      </c>
      <c r="E326" t="s">
        <v>979</v>
      </c>
      <c r="F326">
        <v>64.153999999999996</v>
      </c>
      <c r="G326">
        <v>126.626</v>
      </c>
      <c r="H326">
        <v>4890.4870000000001</v>
      </c>
      <c r="I326">
        <v>496.66199999999998</v>
      </c>
      <c r="J326">
        <v>3183.5610000000001</v>
      </c>
      <c r="K326">
        <v>0</v>
      </c>
      <c r="L326">
        <v>2596.3939999999998</v>
      </c>
      <c r="M326">
        <v>587.16700000000003</v>
      </c>
      <c r="N326">
        <v>76.58</v>
      </c>
      <c r="O326">
        <v>42.609000000000002</v>
      </c>
      <c r="P326">
        <v>73.144000000000005</v>
      </c>
      <c r="Q326">
        <v>5.4189999999999996</v>
      </c>
      <c r="R326">
        <v>1620.451</v>
      </c>
      <c r="S326">
        <v>2669.538</v>
      </c>
      <c r="T326">
        <v>3229.1579999999999</v>
      </c>
      <c r="U326">
        <v>2076.335</v>
      </c>
      <c r="V326">
        <v>2045.095</v>
      </c>
      <c r="W326">
        <v>864.31600000000003</v>
      </c>
      <c r="X326">
        <v>15.38</v>
      </c>
      <c r="Y326">
        <v>3</v>
      </c>
      <c r="Z326" t="s">
        <v>62</v>
      </c>
      <c r="AA326" t="s">
        <v>677</v>
      </c>
      <c r="AB326" t="s">
        <v>34</v>
      </c>
      <c r="AC326" s="7">
        <f t="shared" si="50"/>
        <v>2.4183991949475757E-2</v>
      </c>
      <c r="AD326" s="8">
        <f t="shared" si="51"/>
        <v>2.5892308884575301E-2</v>
      </c>
      <c r="AE326" s="9">
        <f t="shared" si="52"/>
        <v>2.5263468041526447E-3</v>
      </c>
      <c r="AF326" s="8">
        <f t="shared" si="53"/>
        <v>0.18183284930622784</v>
      </c>
      <c r="AG326" s="8">
        <f t="shared" si="54"/>
        <v>1.209631778981981</v>
      </c>
      <c r="AH326" s="8">
        <f t="shared" si="55"/>
        <v>0.80404675150612015</v>
      </c>
      <c r="AI326" s="8">
        <f t="shared" si="56"/>
        <v>1.226147110184356</v>
      </c>
      <c r="AJ326" s="8">
        <f t="shared" si="57"/>
        <v>0.1538054192455123</v>
      </c>
      <c r="AK326" s="8">
        <f t="shared" si="58"/>
        <v>1.192551295392686</v>
      </c>
      <c r="AL326" s="8">
        <f t="shared" si="59"/>
        <v>8.3289541135656471</v>
      </c>
    </row>
    <row r="327" spans="1:38">
      <c r="A327" t="s">
        <v>980</v>
      </c>
      <c r="B327" t="s">
        <v>981</v>
      </c>
      <c r="C327" t="s">
        <v>131</v>
      </c>
      <c r="D327">
        <v>9</v>
      </c>
      <c r="E327" t="s">
        <v>982</v>
      </c>
      <c r="F327">
        <v>188.79499999999999</v>
      </c>
      <c r="G327">
        <v>303.98700000000002</v>
      </c>
      <c r="H327">
        <v>4884.68</v>
      </c>
      <c r="I327">
        <v>932.39599999999996</v>
      </c>
      <c r="J327">
        <v>1761.453</v>
      </c>
      <c r="K327">
        <v>231.42</v>
      </c>
      <c r="L327">
        <v>1192.4570000000001</v>
      </c>
      <c r="M327">
        <v>568.99599999999998</v>
      </c>
      <c r="N327">
        <v>247.31700000000001</v>
      </c>
      <c r="O327">
        <v>414.71499999999997</v>
      </c>
      <c r="P327">
        <v>18.146000000000001</v>
      </c>
      <c r="Q327">
        <v>0.60499999999999998</v>
      </c>
      <c r="R327">
        <v>748.54700000000003</v>
      </c>
      <c r="S327">
        <v>1210.6030000000001</v>
      </c>
      <c r="T327">
        <v>2297.8919999999998</v>
      </c>
      <c r="U327">
        <v>1697.6220000000001</v>
      </c>
      <c r="V327">
        <v>1637.17</v>
      </c>
      <c r="W327">
        <v>1342.586</v>
      </c>
      <c r="X327">
        <v>40.58</v>
      </c>
      <c r="Y327">
        <v>3</v>
      </c>
      <c r="Z327" t="s">
        <v>32</v>
      </c>
      <c r="AA327" t="s">
        <v>677</v>
      </c>
      <c r="AB327" t="s">
        <v>34</v>
      </c>
      <c r="AC327" s="7">
        <f t="shared" si="50"/>
        <v>9.4503485659166747E-2</v>
      </c>
      <c r="AD327" s="8">
        <f t="shared" si="51"/>
        <v>6.2232735818927749E-2</v>
      </c>
      <c r="AE327" s="9">
        <f t="shared" si="52"/>
        <v>6.1761478192073091E-4</v>
      </c>
      <c r="AF327" s="8">
        <f t="shared" si="53"/>
        <v>0.24761651113281216</v>
      </c>
      <c r="AG327" s="8">
        <f t="shared" si="54"/>
        <v>1.8981383657565689</v>
      </c>
      <c r="AH327" s="8">
        <f t="shared" si="55"/>
        <v>0.51893518059160315</v>
      </c>
      <c r="AI327" s="8">
        <f t="shared" si="56"/>
        <v>1.477162698529171</v>
      </c>
      <c r="AJ327" s="8">
        <f t="shared" si="57"/>
        <v>0.40576145441126044</v>
      </c>
      <c r="AK327" s="8">
        <f t="shared" si="58"/>
        <v>1.4550211753977149</v>
      </c>
      <c r="AL327" s="8">
        <f t="shared" si="59"/>
        <v>8.5847352178222707</v>
      </c>
    </row>
    <row r="328" spans="1:38">
      <c r="A328" t="s">
        <v>983</v>
      </c>
      <c r="B328" t="s">
        <v>984</v>
      </c>
      <c r="C328" t="s">
        <v>65</v>
      </c>
      <c r="D328">
        <v>54</v>
      </c>
      <c r="E328" t="s">
        <v>985</v>
      </c>
      <c r="F328">
        <v>204.755</v>
      </c>
      <c r="G328">
        <v>403.63200000000001</v>
      </c>
      <c r="H328">
        <v>4769.2290000000003</v>
      </c>
      <c r="I328">
        <v>621.59400000000005</v>
      </c>
      <c r="J328">
        <v>2373.598</v>
      </c>
      <c r="K328">
        <v>349.48899999999998</v>
      </c>
      <c r="L328">
        <v>1180.7650000000001</v>
      </c>
      <c r="M328">
        <v>1192.8330000000001</v>
      </c>
      <c r="N328">
        <v>230.124</v>
      </c>
      <c r="O328">
        <v>519.90800000000002</v>
      </c>
      <c r="P328">
        <v>994.57899999999995</v>
      </c>
      <c r="Q328">
        <v>33.661999999999999</v>
      </c>
      <c r="R328">
        <v>1010.647</v>
      </c>
      <c r="S328">
        <v>2175.3440000000001</v>
      </c>
      <c r="T328">
        <v>2893.5059999999999</v>
      </c>
      <c r="U328">
        <v>1469.1980000000001</v>
      </c>
      <c r="V328">
        <v>623.76499999999999</v>
      </c>
      <c r="W328">
        <v>51.728000000000002</v>
      </c>
      <c r="X328">
        <v>21.48</v>
      </c>
      <c r="Y328">
        <v>3</v>
      </c>
      <c r="Z328" t="s">
        <v>62</v>
      </c>
      <c r="AA328" t="s">
        <v>677</v>
      </c>
      <c r="AB328" t="s">
        <v>34</v>
      </c>
      <c r="AC328" s="7">
        <f t="shared" si="50"/>
        <v>9.3866097722880126E-2</v>
      </c>
      <c r="AD328" s="8">
        <f t="shared" si="51"/>
        <v>8.46325475249773E-2</v>
      </c>
      <c r="AE328" s="9">
        <f t="shared" si="52"/>
        <v>2.113125868842693E-2</v>
      </c>
      <c r="AF328" s="8">
        <f t="shared" si="53"/>
        <v>0.41224486833619844</v>
      </c>
      <c r="AG328" s="8">
        <f t="shared" si="54"/>
        <v>1.3301372104825719</v>
      </c>
      <c r="AH328" s="8">
        <f t="shared" si="55"/>
        <v>0.40807414949200044</v>
      </c>
      <c r="AI328" s="8">
        <f t="shared" si="56"/>
        <v>2.0102204926467162</v>
      </c>
      <c r="AJ328" s="8">
        <f t="shared" si="57"/>
        <v>0.21482381581375676</v>
      </c>
      <c r="AK328" s="8">
        <f t="shared" si="58"/>
        <v>1.0911368500798033</v>
      </c>
      <c r="AL328" s="8">
        <f t="shared" si="59"/>
        <v>3.9982369703051472</v>
      </c>
    </row>
    <row r="329" spans="1:38">
      <c r="A329" t="s">
        <v>986</v>
      </c>
      <c r="B329" t="s">
        <v>987</v>
      </c>
      <c r="C329" t="s">
        <v>124</v>
      </c>
      <c r="D329">
        <v>15</v>
      </c>
      <c r="E329" t="s">
        <v>988</v>
      </c>
      <c r="F329">
        <v>98.953999999999994</v>
      </c>
      <c r="G329">
        <v>267.84699999999998</v>
      </c>
      <c r="H329">
        <v>4735.3320000000003</v>
      </c>
      <c r="I329">
        <v>294.76799999999997</v>
      </c>
      <c r="J329">
        <v>2213.9470000000001</v>
      </c>
      <c r="K329">
        <v>106.673</v>
      </c>
      <c r="L329">
        <v>1713.2750000000001</v>
      </c>
      <c r="M329">
        <v>500.67200000000003</v>
      </c>
      <c r="N329">
        <v>144.31700000000001</v>
      </c>
      <c r="O329">
        <v>123.10299999999999</v>
      </c>
      <c r="P329">
        <v>362.03500000000003</v>
      </c>
      <c r="Q329">
        <v>58.603000000000002</v>
      </c>
      <c r="R329">
        <v>2293.9499999999998</v>
      </c>
      <c r="S329">
        <v>2075.31</v>
      </c>
      <c r="T329">
        <v>2425.7460000000001</v>
      </c>
      <c r="U329">
        <v>2594.817</v>
      </c>
      <c r="V329">
        <v>1967.251</v>
      </c>
      <c r="W329">
        <v>999.54700000000003</v>
      </c>
      <c r="X329">
        <v>12.15</v>
      </c>
      <c r="Y329">
        <v>3</v>
      </c>
      <c r="Z329" t="s">
        <v>62</v>
      </c>
      <c r="AA329" t="s">
        <v>677</v>
      </c>
      <c r="AB329" t="s">
        <v>34</v>
      </c>
      <c r="AC329" s="7">
        <f t="shared" si="50"/>
        <v>3.9419483432435759E-2</v>
      </c>
      <c r="AD329" s="8">
        <f t="shared" si="51"/>
        <v>5.6563510224837445E-2</v>
      </c>
      <c r="AE329" s="9">
        <f t="shared" si="52"/>
        <v>2.6825137437460806E-2</v>
      </c>
      <c r="AF329" s="8">
        <f t="shared" si="53"/>
        <v>0.20639918606482294</v>
      </c>
      <c r="AG329" s="8">
        <f t="shared" si="54"/>
        <v>1.1688595920609453</v>
      </c>
      <c r="AH329" s="8">
        <f t="shared" si="55"/>
        <v>0.70628788009956522</v>
      </c>
      <c r="AI329" s="8">
        <f t="shared" si="56"/>
        <v>1.2922309611708569</v>
      </c>
      <c r="AJ329" s="8">
        <f t="shared" si="57"/>
        <v>0.12151643247067086</v>
      </c>
      <c r="AK329" s="8">
        <f t="shared" si="58"/>
        <v>1.0668030318362076</v>
      </c>
      <c r="AL329" s="8">
        <f t="shared" si="59"/>
        <v>9.457952511824109</v>
      </c>
    </row>
    <row r="330" spans="1:38">
      <c r="A330" t="s">
        <v>989</v>
      </c>
      <c r="B330" t="s">
        <v>990</v>
      </c>
      <c r="C330" t="s">
        <v>42</v>
      </c>
      <c r="D330">
        <v>16</v>
      </c>
      <c r="E330" t="s">
        <v>991</v>
      </c>
      <c r="F330">
        <v>100.29300000000001</v>
      </c>
      <c r="G330">
        <v>219.017</v>
      </c>
      <c r="H330">
        <v>4732.3919999999998</v>
      </c>
      <c r="I330">
        <v>345.60599999999999</v>
      </c>
      <c r="J330">
        <v>2140.2689999999998</v>
      </c>
      <c r="K330">
        <v>46.878</v>
      </c>
      <c r="L330">
        <v>1483.625</v>
      </c>
      <c r="M330">
        <v>656.64400000000001</v>
      </c>
      <c r="N330">
        <v>177.41499999999999</v>
      </c>
      <c r="O330">
        <v>314.96600000000001</v>
      </c>
      <c r="P330">
        <v>276.024</v>
      </c>
      <c r="Q330">
        <v>3.222</v>
      </c>
      <c r="R330">
        <v>1413.4090000000001</v>
      </c>
      <c r="S330">
        <v>1759.6489999999999</v>
      </c>
      <c r="T330">
        <v>2507.5230000000001</v>
      </c>
      <c r="U330">
        <v>1815.6289999999999</v>
      </c>
      <c r="V330">
        <v>1347.7919999999999</v>
      </c>
      <c r="W330">
        <v>1006.703</v>
      </c>
      <c r="X330">
        <v>13.78</v>
      </c>
      <c r="Y330">
        <v>3</v>
      </c>
      <c r="Z330" t="s">
        <v>44</v>
      </c>
      <c r="AA330" t="s">
        <v>677</v>
      </c>
      <c r="AB330" t="s">
        <v>34</v>
      </c>
      <c r="AC330" s="7">
        <f t="shared" si="50"/>
        <v>4.6398091022476197E-2</v>
      </c>
      <c r="AD330" s="8">
        <f t="shared" si="51"/>
        <v>4.6280401116391034E-2</v>
      </c>
      <c r="AE330" s="9">
        <f t="shared" si="52"/>
        <v>2.0308484748781776E-3</v>
      </c>
      <c r="AF330" s="8">
        <f t="shared" si="53"/>
        <v>0.26186958205368405</v>
      </c>
      <c r="AG330" s="8">
        <f t="shared" si="54"/>
        <v>1.4250131702402016</v>
      </c>
      <c r="AH330" s="8">
        <f t="shared" si="55"/>
        <v>0.59166954799616989</v>
      </c>
      <c r="AI330" s="8">
        <f t="shared" si="56"/>
        <v>1.442594321341309</v>
      </c>
      <c r="AJ330" s="8">
        <f t="shared" si="57"/>
        <v>0.1378276490385133</v>
      </c>
      <c r="AK330" s="8">
        <f t="shared" si="58"/>
        <v>1.2163045016364058</v>
      </c>
      <c r="AL330" s="8">
        <f t="shared" si="59"/>
        <v>7.2069370922448082</v>
      </c>
    </row>
    <row r="331" spans="1:38">
      <c r="A331" t="s">
        <v>992</v>
      </c>
      <c r="B331" t="s">
        <v>993</v>
      </c>
      <c r="C331" t="s">
        <v>65</v>
      </c>
      <c r="D331">
        <v>18</v>
      </c>
      <c r="E331" t="s">
        <v>994</v>
      </c>
      <c r="F331">
        <v>-24.315999999999999</v>
      </c>
      <c r="G331">
        <v>47.526000000000003</v>
      </c>
      <c r="H331">
        <v>4716.915</v>
      </c>
      <c r="I331">
        <v>121.28</v>
      </c>
      <c r="J331">
        <v>1828.316</v>
      </c>
      <c r="K331">
        <v>10</v>
      </c>
      <c r="L331">
        <v>1404.4110000000001</v>
      </c>
      <c r="M331">
        <v>423.90499999999997</v>
      </c>
      <c r="N331">
        <v>16.867999999999999</v>
      </c>
      <c r="O331">
        <v>625.03399999999999</v>
      </c>
      <c r="P331">
        <v>791.85400000000004</v>
      </c>
      <c r="Q331">
        <v>21.242999999999999</v>
      </c>
      <c r="R331">
        <v>2178.8389999999999</v>
      </c>
      <c r="S331">
        <v>2196.2649999999999</v>
      </c>
      <c r="T331">
        <v>2562.116</v>
      </c>
      <c r="U331">
        <v>2569.6129999999998</v>
      </c>
      <c r="V331">
        <v>2328.1120000000001</v>
      </c>
      <c r="W331">
        <v>2125.1950000000002</v>
      </c>
      <c r="X331">
        <v>4.7300000000000004</v>
      </c>
      <c r="Y331">
        <v>3</v>
      </c>
      <c r="Z331" t="s">
        <v>62</v>
      </c>
      <c r="AA331" t="s">
        <v>677</v>
      </c>
      <c r="AB331" t="s">
        <v>34</v>
      </c>
      <c r="AC331" s="7">
        <f t="shared" si="50"/>
        <v>-9.4767280189581339E-3</v>
      </c>
      <c r="AD331" s="8">
        <f t="shared" si="51"/>
        <v>1.0075653260658715E-2</v>
      </c>
      <c r="AE331" s="9">
        <f t="shared" si="52"/>
        <v>9.7108548733927241E-3</v>
      </c>
      <c r="AF331" s="8">
        <f t="shared" si="53"/>
        <v>0.1654511349212916</v>
      </c>
      <c r="AG331" s="8">
        <f t="shared" si="54"/>
        <v>1.1665787143172615</v>
      </c>
      <c r="AH331" s="8">
        <f t="shared" si="55"/>
        <v>0.54814497079757518</v>
      </c>
      <c r="AI331" s="8">
        <f t="shared" si="56"/>
        <v>1.3018382795349794</v>
      </c>
      <c r="AJ331" s="8">
        <f t="shared" si="57"/>
        <v>4.733587394169507E-2</v>
      </c>
      <c r="AK331" s="8">
        <f t="shared" si="58"/>
        <v>0.83246602755132015</v>
      </c>
      <c r="AL331" s="8">
        <f t="shared" si="59"/>
        <v>11.127292671707105</v>
      </c>
    </row>
    <row r="332" spans="1:38">
      <c r="A332" t="s">
        <v>995</v>
      </c>
      <c r="B332" t="s">
        <v>996</v>
      </c>
      <c r="C332" t="s">
        <v>30</v>
      </c>
      <c r="D332">
        <v>17</v>
      </c>
      <c r="E332" t="s">
        <v>997</v>
      </c>
      <c r="F332">
        <v>178.06200000000001</v>
      </c>
      <c r="G332">
        <v>288.827</v>
      </c>
      <c r="H332">
        <v>4669.3069999999998</v>
      </c>
      <c r="I332">
        <v>936.88099999999997</v>
      </c>
      <c r="J332">
        <v>2462.9769999999999</v>
      </c>
      <c r="K332">
        <v>442.83800000000002</v>
      </c>
      <c r="L332">
        <v>1512.8920000000001</v>
      </c>
      <c r="M332">
        <v>950.08500000000004</v>
      </c>
      <c r="N332">
        <v>192.464</v>
      </c>
      <c r="O332">
        <v>27.992999999999999</v>
      </c>
      <c r="P332">
        <v>0</v>
      </c>
      <c r="Q332">
        <v>7.8E-2</v>
      </c>
      <c r="R332">
        <v>1196.3119999999999</v>
      </c>
      <c r="S332">
        <v>1512.8920000000001</v>
      </c>
      <c r="T332">
        <v>2511.8629999999998</v>
      </c>
      <c r="U332">
        <v>2016.9290000000001</v>
      </c>
      <c r="V332">
        <v>2552.5239999999999</v>
      </c>
      <c r="W332">
        <v>1643.1790000000001</v>
      </c>
      <c r="X332">
        <v>37.299999999999997</v>
      </c>
      <c r="Y332">
        <v>3</v>
      </c>
      <c r="Z332" t="s">
        <v>32</v>
      </c>
      <c r="AA332" t="s">
        <v>677</v>
      </c>
      <c r="AB332" t="s">
        <v>34</v>
      </c>
      <c r="AC332" s="7">
        <f t="shared" si="50"/>
        <v>7.8635539013494127E-2</v>
      </c>
      <c r="AD332" s="8">
        <f t="shared" si="51"/>
        <v>6.1856502474564215E-2</v>
      </c>
      <c r="AE332" s="9">
        <f t="shared" si="52"/>
        <v>5.7581488880128637E-5</v>
      </c>
      <c r="AF332" s="8">
        <f t="shared" si="53"/>
        <v>0.37823917944569435</v>
      </c>
      <c r="AG332" s="8">
        <f t="shared" si="54"/>
        <v>1.6603055604762269</v>
      </c>
      <c r="AH332" s="8">
        <f t="shared" si="55"/>
        <v>0.60229877186773328</v>
      </c>
      <c r="AI332" s="8">
        <f t="shared" si="56"/>
        <v>1.6279926128236515</v>
      </c>
      <c r="AJ332" s="8">
        <f t="shared" si="57"/>
        <v>0.37298252333029308</v>
      </c>
      <c r="AK332" s="8">
        <f t="shared" si="58"/>
        <v>1.6279926128236515</v>
      </c>
      <c r="AL332" s="8">
        <f t="shared" si="59"/>
        <v>4.9146202708178741</v>
      </c>
    </row>
    <row r="333" spans="1:38">
      <c r="A333" t="s">
        <v>998</v>
      </c>
      <c r="B333" t="s">
        <v>999</v>
      </c>
      <c r="C333" t="s">
        <v>65</v>
      </c>
      <c r="D333">
        <v>53</v>
      </c>
      <c r="E333" t="s">
        <v>1000</v>
      </c>
      <c r="F333">
        <v>84.69</v>
      </c>
      <c r="G333">
        <v>150.80000000000001</v>
      </c>
      <c r="H333">
        <v>4624.5969999999998</v>
      </c>
      <c r="I333">
        <v>1000.86</v>
      </c>
      <c r="J333">
        <v>2669.3049999999998</v>
      </c>
      <c r="K333">
        <v>3.766</v>
      </c>
      <c r="L333">
        <v>1220.835</v>
      </c>
      <c r="M333">
        <v>1448.47</v>
      </c>
      <c r="N333">
        <v>94.171000000000006</v>
      </c>
      <c r="O333">
        <v>24.535</v>
      </c>
      <c r="P333">
        <v>0</v>
      </c>
      <c r="Q333">
        <v>2.8170000000000002</v>
      </c>
      <c r="R333">
        <v>1073.1379999999999</v>
      </c>
      <c r="S333">
        <v>1220.835</v>
      </c>
      <c r="T333">
        <v>2715.9180000000001</v>
      </c>
      <c r="U333">
        <v>2389.4209999999998</v>
      </c>
      <c r="V333">
        <v>1781.9780000000001</v>
      </c>
      <c r="W333">
        <v>1601.471</v>
      </c>
      <c r="X333">
        <v>36.85</v>
      </c>
      <c r="Y333">
        <v>3</v>
      </c>
      <c r="Z333" t="s">
        <v>62</v>
      </c>
      <c r="AA333" t="s">
        <v>677</v>
      </c>
      <c r="AB333" t="s">
        <v>34</v>
      </c>
      <c r="AC333" s="7">
        <f t="shared" si="50"/>
        <v>3.3177032906140019E-2</v>
      </c>
      <c r="AD333" s="8">
        <f t="shared" si="51"/>
        <v>3.2608246729390694E-2</v>
      </c>
      <c r="AE333" s="9">
        <f t="shared" si="52"/>
        <v>2.456001007858419E-3</v>
      </c>
      <c r="AF333" s="8">
        <f t="shared" si="53"/>
        <v>0.53332611662060492</v>
      </c>
      <c r="AG333" s="8">
        <f t="shared" si="54"/>
        <v>2.2246396933246508</v>
      </c>
      <c r="AH333" s="8">
        <f t="shared" si="55"/>
        <v>0.44951099407272238</v>
      </c>
      <c r="AI333" s="8">
        <f t="shared" si="56"/>
        <v>2.1864584485208893</v>
      </c>
      <c r="AJ333" s="8">
        <f t="shared" si="57"/>
        <v>0.36851628068299558</v>
      </c>
      <c r="AK333" s="8">
        <f t="shared" si="58"/>
        <v>2.1864584485208893</v>
      </c>
      <c r="AL333" s="8">
        <f t="shared" si="59"/>
        <v>3.1927461390294583</v>
      </c>
    </row>
    <row r="334" spans="1:38">
      <c r="A334" t="s">
        <v>1001</v>
      </c>
      <c r="B334" t="s">
        <v>1002</v>
      </c>
      <c r="C334" t="s">
        <v>131</v>
      </c>
      <c r="D334">
        <v>20</v>
      </c>
      <c r="E334" t="s">
        <v>1003</v>
      </c>
      <c r="F334">
        <v>46.082000000000001</v>
      </c>
      <c r="G334">
        <v>106.286</v>
      </c>
      <c r="H334">
        <v>4592.9440000000004</v>
      </c>
      <c r="I334">
        <v>679.63300000000004</v>
      </c>
      <c r="J334">
        <v>2570.1579999999999</v>
      </c>
      <c r="K334">
        <v>424.19200000000001</v>
      </c>
      <c r="L334">
        <v>1459.9839999999999</v>
      </c>
      <c r="M334">
        <v>1110.174</v>
      </c>
      <c r="N334">
        <v>66.421999999999997</v>
      </c>
      <c r="O334">
        <v>153.79300000000001</v>
      </c>
      <c r="P334">
        <v>34.677999999999997</v>
      </c>
      <c r="Q334">
        <v>1.4410000000000001</v>
      </c>
      <c r="R334">
        <v>1459.653</v>
      </c>
      <c r="S334">
        <v>1494.662</v>
      </c>
      <c r="T334">
        <v>2734.1959999999999</v>
      </c>
      <c r="U334">
        <v>2617.6529999999998</v>
      </c>
      <c r="V334">
        <v>2529.2689999999998</v>
      </c>
      <c r="W334">
        <v>1824.8140000000001</v>
      </c>
      <c r="X334">
        <v>24.86</v>
      </c>
      <c r="Y334">
        <v>3</v>
      </c>
      <c r="Z334" t="s">
        <v>32</v>
      </c>
      <c r="AA334" t="s">
        <v>677</v>
      </c>
      <c r="AB334" t="s">
        <v>34</v>
      </c>
      <c r="AC334" s="7">
        <f t="shared" si="50"/>
        <v>1.7220964193870193E-2</v>
      </c>
      <c r="AD334" s="8">
        <f t="shared" si="51"/>
        <v>2.314114868372007E-2</v>
      </c>
      <c r="AE334" s="9">
        <f t="shared" si="52"/>
        <v>9.7552224458123118E-4</v>
      </c>
      <c r="AF334" s="8">
        <f t="shared" si="53"/>
        <v>0.40603307151352719</v>
      </c>
      <c r="AG334" s="8">
        <f t="shared" si="54"/>
        <v>1.8293072279886688</v>
      </c>
      <c r="AH334" s="8">
        <f t="shared" si="55"/>
        <v>0.53397196104448985</v>
      </c>
      <c r="AI334" s="8">
        <f t="shared" si="56"/>
        <v>1.7604014838518778</v>
      </c>
      <c r="AJ334" s="8">
        <f t="shared" si="57"/>
        <v>0.24856776909921602</v>
      </c>
      <c r="AK334" s="8">
        <f t="shared" si="58"/>
        <v>1.7195580004041047</v>
      </c>
      <c r="AL334" s="8">
        <f t="shared" si="59"/>
        <v>4.1371388629169843</v>
      </c>
    </row>
    <row r="335" spans="1:38">
      <c r="A335" t="s">
        <v>1004</v>
      </c>
      <c r="B335" t="s">
        <v>1005</v>
      </c>
      <c r="C335" t="s">
        <v>86</v>
      </c>
      <c r="D335">
        <v>60</v>
      </c>
      <c r="E335" t="s">
        <v>1006</v>
      </c>
      <c r="F335">
        <v>82.573999999999998</v>
      </c>
      <c r="G335">
        <v>293.565</v>
      </c>
      <c r="H335">
        <v>4431.4970000000003</v>
      </c>
      <c r="I335">
        <v>271.30500000000001</v>
      </c>
      <c r="J335">
        <v>1726.7570000000001</v>
      </c>
      <c r="K335">
        <v>364.06700000000001</v>
      </c>
      <c r="L335">
        <v>1453.153</v>
      </c>
      <c r="M335">
        <v>273.60399999999998</v>
      </c>
      <c r="N335">
        <v>164.31800000000001</v>
      </c>
      <c r="O335">
        <v>914.99699999999996</v>
      </c>
      <c r="P335">
        <v>371.27100000000002</v>
      </c>
      <c r="Q335">
        <v>71.888999999999996</v>
      </c>
      <c r="R335">
        <v>1910.4839999999999</v>
      </c>
      <c r="S335">
        <v>1824.424</v>
      </c>
      <c r="T335">
        <v>2664.2840000000001</v>
      </c>
      <c r="U335">
        <v>2680.9659999999999</v>
      </c>
      <c r="V335">
        <v>2375.0680000000002</v>
      </c>
      <c r="W335">
        <v>2035.4649999999999</v>
      </c>
      <c r="X335">
        <v>10.18</v>
      </c>
      <c r="Y335">
        <v>3</v>
      </c>
      <c r="Z335" t="s">
        <v>57</v>
      </c>
      <c r="AA335" t="s">
        <v>677</v>
      </c>
      <c r="AB335" t="s">
        <v>34</v>
      </c>
      <c r="AC335" s="7">
        <f t="shared" si="50"/>
        <v>3.0896216266778916E-2</v>
      </c>
      <c r="AD335" s="8">
        <f t="shared" si="51"/>
        <v>6.6245108594228982E-2</v>
      </c>
      <c r="AE335" s="9">
        <f t="shared" si="52"/>
        <v>3.8495727337862135E-2</v>
      </c>
      <c r="AF335" s="8">
        <f t="shared" si="53"/>
        <v>0.10269325642461538</v>
      </c>
      <c r="AG335" s="8">
        <f t="shared" si="54"/>
        <v>1.4603425519506432</v>
      </c>
      <c r="AH335" s="8">
        <f t="shared" si="55"/>
        <v>0.54541970750865898</v>
      </c>
      <c r="AI335" s="8">
        <f t="shared" si="56"/>
        <v>1.1882829956652878</v>
      </c>
      <c r="AJ335" s="8">
        <f t="shared" si="57"/>
        <v>0.10183036042704156</v>
      </c>
      <c r="AK335" s="8">
        <f t="shared" si="58"/>
        <v>0.94646693970261309</v>
      </c>
      <c r="AL335" s="8">
        <f t="shared" si="59"/>
        <v>16.196755164398184</v>
      </c>
    </row>
    <row r="336" spans="1:38">
      <c r="A336" t="s">
        <v>1007</v>
      </c>
      <c r="B336" t="s">
        <v>1008</v>
      </c>
      <c r="C336" t="s">
        <v>65</v>
      </c>
      <c r="D336">
        <v>15</v>
      </c>
      <c r="E336" t="s">
        <v>1009</v>
      </c>
      <c r="F336">
        <v>176.81299999999999</v>
      </c>
      <c r="G336">
        <v>327.84500000000003</v>
      </c>
      <c r="H336">
        <v>4268.7749999999996</v>
      </c>
      <c r="I336">
        <v>286.18400000000003</v>
      </c>
      <c r="J336">
        <v>2479.42</v>
      </c>
      <c r="K336">
        <v>22.904</v>
      </c>
      <c r="L336">
        <v>1545.0170000000001</v>
      </c>
      <c r="M336">
        <v>934.40300000000002</v>
      </c>
      <c r="N336">
        <v>221.96299999999999</v>
      </c>
      <c r="O336">
        <v>1069.7429999999999</v>
      </c>
      <c r="P336">
        <v>1328.9580000000001</v>
      </c>
      <c r="Q336">
        <v>54.856000000000002</v>
      </c>
      <c r="R336">
        <v>501.17700000000002</v>
      </c>
      <c r="S336">
        <v>2873.9749999999999</v>
      </c>
      <c r="T336">
        <v>3549.163</v>
      </c>
      <c r="U336">
        <v>1012.708</v>
      </c>
      <c r="V336">
        <v>1453.3330000000001</v>
      </c>
      <c r="W336">
        <v>510.80799999999999</v>
      </c>
      <c r="X336">
        <v>8.06</v>
      </c>
      <c r="Y336">
        <v>3</v>
      </c>
      <c r="Z336" t="s">
        <v>62</v>
      </c>
      <c r="AA336" t="s">
        <v>677</v>
      </c>
      <c r="AB336" t="s">
        <v>34</v>
      </c>
      <c r="AC336" s="7">
        <f t="shared" si="50"/>
        <v>7.7517755324514867E-2</v>
      </c>
      <c r="AD336" s="8">
        <f t="shared" si="51"/>
        <v>7.6800721518468423E-2</v>
      </c>
      <c r="AE336" s="9">
        <f t="shared" si="52"/>
        <v>3.2505795294552664E-2</v>
      </c>
      <c r="AF336" s="8">
        <f t="shared" si="53"/>
        <v>0.2632741860545712</v>
      </c>
      <c r="AG336" s="8">
        <f t="shared" si="54"/>
        <v>1.2349317582790387</v>
      </c>
      <c r="AH336" s="8">
        <f t="shared" si="55"/>
        <v>0.43531869344969504</v>
      </c>
      <c r="AI336" s="8">
        <f t="shared" si="56"/>
        <v>1.6047849311690421</v>
      </c>
      <c r="AJ336" s="8">
        <f t="shared" si="57"/>
        <v>8.0634222773087627E-2</v>
      </c>
      <c r="AK336" s="8">
        <f t="shared" si="58"/>
        <v>0.86271453300742007</v>
      </c>
      <c r="AL336" s="8">
        <f t="shared" si="59"/>
        <v>4.5684517280017287</v>
      </c>
    </row>
    <row r="337" spans="1:38">
      <c r="A337" t="s">
        <v>1010</v>
      </c>
      <c r="B337" t="s">
        <v>1011</v>
      </c>
      <c r="C337" t="s">
        <v>120</v>
      </c>
      <c r="D337">
        <v>6</v>
      </c>
      <c r="E337" t="s">
        <v>1012</v>
      </c>
      <c r="F337">
        <v>10.423999999999999</v>
      </c>
      <c r="G337">
        <v>82.771000000000001</v>
      </c>
      <c r="H337">
        <v>4135.7280000000001</v>
      </c>
      <c r="I337">
        <v>173.19499999999999</v>
      </c>
      <c r="J337">
        <v>1296.348</v>
      </c>
      <c r="K337">
        <v>678.5</v>
      </c>
      <c r="L337">
        <v>1013.095</v>
      </c>
      <c r="M337">
        <v>283.25299999999999</v>
      </c>
      <c r="N337">
        <v>27.26</v>
      </c>
      <c r="O337">
        <v>84.278000000000006</v>
      </c>
      <c r="P337">
        <v>57.784999999999997</v>
      </c>
      <c r="Q337">
        <v>49.835999999999999</v>
      </c>
      <c r="R337">
        <v>3457.683</v>
      </c>
      <c r="S337">
        <v>1070.8800000000001</v>
      </c>
      <c r="T337">
        <v>1396.6679999999999</v>
      </c>
      <c r="U337">
        <v>3727.0210000000002</v>
      </c>
      <c r="V337">
        <v>2002.539</v>
      </c>
      <c r="W337">
        <v>2616.741</v>
      </c>
      <c r="X337">
        <v>12.4</v>
      </c>
      <c r="Y337">
        <v>3</v>
      </c>
      <c r="Z337" t="s">
        <v>44</v>
      </c>
      <c r="AA337" t="s">
        <v>677</v>
      </c>
      <c r="AB337" t="s">
        <v>34</v>
      </c>
      <c r="AC337" s="7">
        <f t="shared" si="50"/>
        <v>4.0689432945676439E-3</v>
      </c>
      <c r="AD337" s="8">
        <f t="shared" si="51"/>
        <v>2.0013646932293419E-2</v>
      </c>
      <c r="AE337" s="9">
        <f t="shared" si="52"/>
        <v>2.2009630869659978E-2</v>
      </c>
      <c r="AF337" s="8">
        <f t="shared" si="53"/>
        <v>0.20280625030429567</v>
      </c>
      <c r="AG337" s="8">
        <f t="shared" si="54"/>
        <v>1.3042245629762437</v>
      </c>
      <c r="AH337" s="8">
        <f t="shared" si="55"/>
        <v>0.72536565597550751</v>
      </c>
      <c r="AI337" s="8">
        <f t="shared" si="56"/>
        <v>1.2795917460850166</v>
      </c>
      <c r="AJ337" s="8">
        <f t="shared" si="57"/>
        <v>0.12400584820444085</v>
      </c>
      <c r="AK337" s="8">
        <f t="shared" si="58"/>
        <v>1.2105445988346031</v>
      </c>
      <c r="AL337" s="8">
        <f t="shared" si="59"/>
        <v>14.600826822663839</v>
      </c>
    </row>
    <row r="338" spans="1:38">
      <c r="A338" t="s">
        <v>1013</v>
      </c>
      <c r="B338" t="s">
        <v>1014</v>
      </c>
      <c r="C338" t="s">
        <v>168</v>
      </c>
      <c r="D338">
        <v>14</v>
      </c>
      <c r="E338" t="s">
        <v>1015</v>
      </c>
      <c r="F338">
        <v>164.14</v>
      </c>
      <c r="G338">
        <v>237.31200000000001</v>
      </c>
      <c r="H338">
        <v>4083.5149999999999</v>
      </c>
      <c r="I338">
        <v>471.01400000000001</v>
      </c>
      <c r="J338">
        <v>2814.163</v>
      </c>
      <c r="K338">
        <v>1165.934</v>
      </c>
      <c r="L338">
        <v>2133.4639999999999</v>
      </c>
      <c r="M338">
        <v>680.69899999999996</v>
      </c>
      <c r="N338">
        <v>219.72399999999999</v>
      </c>
      <c r="O338">
        <v>158.75200000000001</v>
      </c>
      <c r="P338">
        <v>234.934</v>
      </c>
      <c r="Q338">
        <v>4.3250000000000002</v>
      </c>
      <c r="R338">
        <v>1919.6780000000001</v>
      </c>
      <c r="S338">
        <v>2368.3980000000001</v>
      </c>
      <c r="T338">
        <v>2993.1370000000002</v>
      </c>
      <c r="U338">
        <v>2543.33</v>
      </c>
      <c r="V338">
        <v>1686.0309999999999</v>
      </c>
      <c r="W338">
        <v>2363.9859999999999</v>
      </c>
      <c r="X338">
        <v>15.74</v>
      </c>
      <c r="Y338">
        <v>3</v>
      </c>
      <c r="Z338" t="s">
        <v>44</v>
      </c>
      <c r="AA338" t="s">
        <v>677</v>
      </c>
      <c r="AB338" t="s">
        <v>34</v>
      </c>
      <c r="AC338" s="7">
        <f t="shared" si="50"/>
        <v>5.9294131076731774E-2</v>
      </c>
      <c r="AD338" s="8">
        <f t="shared" si="51"/>
        <v>5.8114638981367775E-2</v>
      </c>
      <c r="AE338" s="9">
        <f t="shared" si="52"/>
        <v>2.0172217096898469E-3</v>
      </c>
      <c r="AF338" s="8">
        <f t="shared" si="53"/>
        <v>0.22741992765449759</v>
      </c>
      <c r="AG338" s="8">
        <f t="shared" si="54"/>
        <v>1.2637812563597841</v>
      </c>
      <c r="AH338" s="8">
        <f t="shared" si="55"/>
        <v>0.71278528179632261</v>
      </c>
      <c r="AI338" s="8">
        <f t="shared" si="56"/>
        <v>1.3190581139405211</v>
      </c>
      <c r="AJ338" s="8">
        <f t="shared" si="57"/>
        <v>0.15736466456430159</v>
      </c>
      <c r="AK338" s="8">
        <f t="shared" si="58"/>
        <v>1.1882137208357717</v>
      </c>
      <c r="AL338" s="8">
        <f t="shared" si="59"/>
        <v>5.9990024959637083</v>
      </c>
    </row>
    <row r="339" spans="1:38">
      <c r="A339" t="s">
        <v>1016</v>
      </c>
      <c r="B339" t="s">
        <v>1017</v>
      </c>
      <c r="C339" t="s">
        <v>168</v>
      </c>
      <c r="D339">
        <v>15</v>
      </c>
      <c r="E339" t="s">
        <v>1018</v>
      </c>
      <c r="F339">
        <v>253.85599999999999</v>
      </c>
      <c r="G339">
        <v>489.483</v>
      </c>
      <c r="H339">
        <v>4047.8649999999998</v>
      </c>
      <c r="I339">
        <v>1348.2829999999999</v>
      </c>
      <c r="J339">
        <v>2242.5219999999999</v>
      </c>
      <c r="K339">
        <v>88.403999999999996</v>
      </c>
      <c r="L339">
        <v>1749.8820000000001</v>
      </c>
      <c r="M339">
        <v>492.64</v>
      </c>
      <c r="N339">
        <v>487.589</v>
      </c>
      <c r="O339">
        <v>1447.4490000000001</v>
      </c>
      <c r="P339">
        <v>456.37</v>
      </c>
      <c r="Q339">
        <v>13.929</v>
      </c>
      <c r="R339">
        <v>1715.37</v>
      </c>
      <c r="S339">
        <v>2206.252</v>
      </c>
      <c r="T339">
        <v>3697.9349999999999</v>
      </c>
      <c r="U339">
        <v>2968.47</v>
      </c>
      <c r="V339">
        <v>1294.087</v>
      </c>
      <c r="W339">
        <v>1046.1220000000001</v>
      </c>
      <c r="X339">
        <v>36.46</v>
      </c>
      <c r="Y339">
        <v>3</v>
      </c>
      <c r="Z339" t="s">
        <v>44</v>
      </c>
      <c r="AA339" t="s">
        <v>677</v>
      </c>
      <c r="AB339" t="s">
        <v>34</v>
      </c>
      <c r="AC339" s="7">
        <f t="shared" si="50"/>
        <v>7.6159789271728923E-2</v>
      </c>
      <c r="AD339" s="8">
        <f t="shared" si="51"/>
        <v>0.12092374622177371</v>
      </c>
      <c r="AE339" s="9">
        <f t="shared" si="52"/>
        <v>7.1036933187339328E-3</v>
      </c>
      <c r="AF339" s="8">
        <f t="shared" si="53"/>
        <v>0.13322029727401916</v>
      </c>
      <c r="AG339" s="8">
        <f t="shared" si="54"/>
        <v>1.6761163275999296</v>
      </c>
      <c r="AH339" s="8">
        <f t="shared" si="55"/>
        <v>0.47320518072924483</v>
      </c>
      <c r="AI339" s="8">
        <f t="shared" si="56"/>
        <v>1.2815275544293843</v>
      </c>
      <c r="AJ339" s="8">
        <f t="shared" si="57"/>
        <v>0.36460429942657185</v>
      </c>
      <c r="AK339" s="8">
        <f t="shared" si="58"/>
        <v>1.0164396451538626</v>
      </c>
      <c r="AL339" s="8">
        <f t="shared" si="59"/>
        <v>8.2166795225722637</v>
      </c>
    </row>
    <row r="340" spans="1:38">
      <c r="A340" t="s">
        <v>1019</v>
      </c>
      <c r="B340" t="s">
        <v>1020</v>
      </c>
      <c r="C340" t="s">
        <v>42</v>
      </c>
      <c r="D340">
        <v>27</v>
      </c>
      <c r="E340" t="s">
        <v>1021</v>
      </c>
      <c r="F340">
        <v>54.472999999999999</v>
      </c>
      <c r="G340">
        <v>174.40700000000001</v>
      </c>
      <c r="H340">
        <v>3912.7660000000001</v>
      </c>
      <c r="I340">
        <v>241.441</v>
      </c>
      <c r="J340">
        <v>2096.8180000000002</v>
      </c>
      <c r="K340">
        <v>266.25900000000001</v>
      </c>
      <c r="L340">
        <v>1257.4349999999999</v>
      </c>
      <c r="M340">
        <v>839.38300000000004</v>
      </c>
      <c r="N340">
        <v>97.828999999999994</v>
      </c>
      <c r="O340">
        <v>351.084</v>
      </c>
      <c r="P340">
        <v>552.19200000000001</v>
      </c>
      <c r="Q340">
        <v>29.713000000000001</v>
      </c>
      <c r="R340">
        <v>1747.7080000000001</v>
      </c>
      <c r="S340">
        <v>1809.627</v>
      </c>
      <c r="T340">
        <v>2477.3119999999999</v>
      </c>
      <c r="U340">
        <v>2274.9870000000001</v>
      </c>
      <c r="V340">
        <v>1985.7190000000001</v>
      </c>
      <c r="W340">
        <v>1784.93</v>
      </c>
      <c r="X340">
        <v>9.75</v>
      </c>
      <c r="Y340">
        <v>3</v>
      </c>
      <c r="Z340" t="s">
        <v>44</v>
      </c>
      <c r="AA340" t="s">
        <v>677</v>
      </c>
      <c r="AB340" t="s">
        <v>34</v>
      </c>
      <c r="AC340" s="7">
        <f t="shared" si="50"/>
        <v>2.2924904346296394E-2</v>
      </c>
      <c r="AD340" s="8">
        <f t="shared" si="51"/>
        <v>4.4573838558196431E-2</v>
      </c>
      <c r="AE340" s="9">
        <f t="shared" si="52"/>
        <v>1.6705202068402331E-2</v>
      </c>
      <c r="AF340" s="8">
        <f t="shared" si="53"/>
        <v>0.33882813307326654</v>
      </c>
      <c r="AG340" s="8">
        <f t="shared" si="54"/>
        <v>1.3689627752017404</v>
      </c>
      <c r="AH340" s="8">
        <f t="shared" si="55"/>
        <v>0.50758039358788876</v>
      </c>
      <c r="AI340" s="8">
        <f t="shared" si="56"/>
        <v>1.6675358964876914</v>
      </c>
      <c r="AJ340" s="8">
        <f t="shared" si="57"/>
        <v>9.7460876950501193E-2</v>
      </c>
      <c r="AK340" s="8">
        <f t="shared" si="58"/>
        <v>1.1587017656124716</v>
      </c>
      <c r="AL340" s="8">
        <f t="shared" si="59"/>
        <v>4.6614787290188149</v>
      </c>
    </row>
    <row r="341" spans="1:38">
      <c r="A341" t="s">
        <v>1022</v>
      </c>
      <c r="B341" t="s">
        <v>1023</v>
      </c>
      <c r="C341" t="s">
        <v>86</v>
      </c>
      <c r="D341">
        <v>38</v>
      </c>
      <c r="E341" t="s">
        <v>1024</v>
      </c>
      <c r="F341">
        <v>43.094999999999999</v>
      </c>
      <c r="G341">
        <v>156.19300000000001</v>
      </c>
      <c r="H341">
        <v>3886.817</v>
      </c>
      <c r="I341">
        <v>345.05399999999997</v>
      </c>
      <c r="J341">
        <v>2645.6930000000002</v>
      </c>
      <c r="K341">
        <v>542.21</v>
      </c>
      <c r="L341">
        <v>2307.8449999999998</v>
      </c>
      <c r="M341">
        <v>337.84800000000001</v>
      </c>
      <c r="N341">
        <v>100.57</v>
      </c>
      <c r="O341">
        <v>215.17400000000001</v>
      </c>
      <c r="P341">
        <v>27.373999999999999</v>
      </c>
      <c r="Q341">
        <v>18.736999999999998</v>
      </c>
      <c r="R341">
        <v>2790.92</v>
      </c>
      <c r="S341">
        <v>2335.2190000000001</v>
      </c>
      <c r="T341">
        <v>2869.1410000000001</v>
      </c>
      <c r="U341">
        <v>3225.1640000000002</v>
      </c>
      <c r="V341">
        <v>1784.9269999999999</v>
      </c>
      <c r="W341">
        <v>1479.143</v>
      </c>
      <c r="X341">
        <v>12.03</v>
      </c>
      <c r="Y341">
        <v>3</v>
      </c>
      <c r="Z341" t="s">
        <v>57</v>
      </c>
      <c r="AA341" t="s">
        <v>677</v>
      </c>
      <c r="AB341" t="s">
        <v>34</v>
      </c>
      <c r="AC341" s="7">
        <f t="shared" si="50"/>
        <v>1.4142711925313878E-2</v>
      </c>
      <c r="AD341" s="8">
        <f t="shared" si="51"/>
        <v>4.0185323878124443E-2</v>
      </c>
      <c r="AE341" s="9">
        <f t="shared" si="52"/>
        <v>7.3103753136619974E-3</v>
      </c>
      <c r="AF341" s="8">
        <f t="shared" si="53"/>
        <v>0.1177523168084106</v>
      </c>
      <c r="AG341" s="8">
        <f t="shared" si="54"/>
        <v>1.2286389413583909</v>
      </c>
      <c r="AH341" s="8">
        <f t="shared" si="55"/>
        <v>0.8043679275434702</v>
      </c>
      <c r="AI341" s="8">
        <f t="shared" si="56"/>
        <v>1.1463911137879712</v>
      </c>
      <c r="AJ341" s="8">
        <f t="shared" si="57"/>
        <v>0.12026386991786042</v>
      </c>
      <c r="AK341" s="8">
        <f t="shared" si="58"/>
        <v>1.1329528408256357</v>
      </c>
      <c r="AL341" s="8">
        <f t="shared" si="59"/>
        <v>11.504632260661598</v>
      </c>
    </row>
    <row r="342" spans="1:38">
      <c r="A342" t="s">
        <v>1025</v>
      </c>
      <c r="B342" t="s">
        <v>1026</v>
      </c>
      <c r="C342" t="s">
        <v>69</v>
      </c>
      <c r="D342">
        <v>5</v>
      </c>
      <c r="E342" t="s">
        <v>1027</v>
      </c>
      <c r="F342">
        <v>64.474000000000004</v>
      </c>
      <c r="G342">
        <v>139.65899999999999</v>
      </c>
      <c r="H342">
        <v>3878.1089999999999</v>
      </c>
      <c r="I342">
        <v>79.712000000000003</v>
      </c>
      <c r="J342">
        <v>1563.2380000000001</v>
      </c>
      <c r="K342">
        <v>8.8559999999999999</v>
      </c>
      <c r="L342">
        <v>1111.2049999999999</v>
      </c>
      <c r="M342">
        <v>452.03300000000002</v>
      </c>
      <c r="N342">
        <v>102.65300000000001</v>
      </c>
      <c r="O342">
        <v>49.226999999999997</v>
      </c>
      <c r="P342">
        <v>403.39600000000002</v>
      </c>
      <c r="Q342">
        <v>0.66</v>
      </c>
      <c r="R342">
        <v>954.59799999999996</v>
      </c>
      <c r="S342">
        <v>1514.6010000000001</v>
      </c>
      <c r="T342">
        <v>1625.364</v>
      </c>
      <c r="U342">
        <v>996.91700000000003</v>
      </c>
      <c r="V342">
        <v>819.53800000000001</v>
      </c>
      <c r="W342">
        <v>295.93099999999998</v>
      </c>
      <c r="X342">
        <v>4.9000000000000004</v>
      </c>
      <c r="Y342">
        <v>2</v>
      </c>
      <c r="Z342" t="s">
        <v>39</v>
      </c>
      <c r="AA342" t="s">
        <v>677</v>
      </c>
      <c r="AB342" t="s">
        <v>34</v>
      </c>
      <c r="AC342" s="7">
        <f t="shared" si="50"/>
        <v>4.9173982498443153E-2</v>
      </c>
      <c r="AD342" s="8">
        <f t="shared" si="51"/>
        <v>3.6012138905843025E-2</v>
      </c>
      <c r="AE342" s="9">
        <f t="shared" si="52"/>
        <v>5.3458631726320961E-4</v>
      </c>
      <c r="AF342" s="8">
        <f t="shared" si="53"/>
        <v>0.27811185679023281</v>
      </c>
      <c r="AG342" s="8">
        <f t="shared" si="54"/>
        <v>1.0731301511091038</v>
      </c>
      <c r="AH342" s="8">
        <f t="shared" si="55"/>
        <v>0.68366532050666795</v>
      </c>
      <c r="AI342" s="8">
        <f t="shared" si="56"/>
        <v>1.4067953257949706</v>
      </c>
      <c r="AJ342" s="8">
        <f t="shared" si="57"/>
        <v>4.9042552929682216E-2</v>
      </c>
      <c r="AK342" s="8">
        <f t="shared" si="58"/>
        <v>1.0321120876059107</v>
      </c>
      <c r="AL342" s="8">
        <f t="shared" si="59"/>
        <v>8.5792608061800788</v>
      </c>
    </row>
    <row r="343" spans="1:38">
      <c r="A343" t="s">
        <v>1028</v>
      </c>
      <c r="B343" t="s">
        <v>1029</v>
      </c>
      <c r="C343" t="s">
        <v>65</v>
      </c>
      <c r="D343">
        <v>0</v>
      </c>
      <c r="E343" t="s">
        <v>1030</v>
      </c>
      <c r="F343">
        <v>52.192999999999998</v>
      </c>
      <c r="G343">
        <v>104.36499999999999</v>
      </c>
      <c r="H343">
        <v>3837.8780000000002</v>
      </c>
      <c r="I343">
        <v>352.017</v>
      </c>
      <c r="J343">
        <v>1177.914</v>
      </c>
      <c r="K343">
        <v>0</v>
      </c>
      <c r="L343">
        <v>871.08199999999999</v>
      </c>
      <c r="M343">
        <v>306.83199999999999</v>
      </c>
      <c r="N343">
        <v>72.519000000000005</v>
      </c>
      <c r="O343">
        <v>100.19199999999999</v>
      </c>
      <c r="P343">
        <v>55.984000000000002</v>
      </c>
      <c r="Q343">
        <v>2.7669999999999999</v>
      </c>
      <c r="R343">
        <v>909.00599999999997</v>
      </c>
      <c r="S343">
        <v>927.06600000000003</v>
      </c>
      <c r="T343">
        <v>1279.135</v>
      </c>
      <c r="U343">
        <v>1208.9179999999999</v>
      </c>
      <c r="V343">
        <v>382.81400000000002</v>
      </c>
      <c r="W343">
        <v>253.43299999999999</v>
      </c>
      <c r="X343">
        <v>27.52</v>
      </c>
      <c r="Y343">
        <v>2</v>
      </c>
      <c r="Z343" t="s">
        <v>62</v>
      </c>
      <c r="AA343" t="s">
        <v>677</v>
      </c>
      <c r="AB343" t="s">
        <v>34</v>
      </c>
      <c r="AC343" s="7">
        <f t="shared" si="50"/>
        <v>4.195489404767503E-2</v>
      </c>
      <c r="AD343" s="8">
        <f t="shared" si="51"/>
        <v>2.7193412609780716E-2</v>
      </c>
      <c r="AE343" s="9">
        <f t="shared" si="52"/>
        <v>3.0140430222779934E-3</v>
      </c>
      <c r="AF343" s="8">
        <f t="shared" si="53"/>
        <v>0.23987460275889566</v>
      </c>
      <c r="AG343" s="8">
        <f t="shared" si="54"/>
        <v>1.3797669205860208</v>
      </c>
      <c r="AH343" s="8">
        <f t="shared" si="55"/>
        <v>0.68099301481079011</v>
      </c>
      <c r="AI343" s="8">
        <f t="shared" si="56"/>
        <v>1.3522423836102686</v>
      </c>
      <c r="AJ343" s="8">
        <f t="shared" si="57"/>
        <v>0.27519925574704779</v>
      </c>
      <c r="AK343" s="8">
        <f t="shared" si="58"/>
        <v>1.2705826769615107</v>
      </c>
      <c r="AL343" s="8">
        <f t="shared" si="59"/>
        <v>12.508076080721699</v>
      </c>
    </row>
    <row r="344" spans="1:38">
      <c r="A344" t="s">
        <v>1031</v>
      </c>
      <c r="B344" t="s">
        <v>1032</v>
      </c>
      <c r="C344" t="s">
        <v>42</v>
      </c>
      <c r="D344">
        <v>62</v>
      </c>
      <c r="E344" t="s">
        <v>1033</v>
      </c>
      <c r="F344">
        <v>30.405999999999999</v>
      </c>
      <c r="G344">
        <v>216.142</v>
      </c>
      <c r="H344">
        <v>3819.7660000000001</v>
      </c>
      <c r="I344">
        <v>766.35</v>
      </c>
      <c r="J344">
        <v>1931.5429999999999</v>
      </c>
      <c r="K344">
        <v>0</v>
      </c>
      <c r="L344">
        <v>1053.442</v>
      </c>
      <c r="M344">
        <v>878.101</v>
      </c>
      <c r="N344">
        <v>110.27</v>
      </c>
      <c r="O344">
        <v>334.142</v>
      </c>
      <c r="P344">
        <v>20.957999999999998</v>
      </c>
      <c r="Q344">
        <v>22.489000000000001</v>
      </c>
      <c r="R344">
        <v>855.01</v>
      </c>
      <c r="S344">
        <v>1074.4000000000001</v>
      </c>
      <c r="T344">
        <v>2364.4630000000002</v>
      </c>
      <c r="U344">
        <v>2066.1950000000002</v>
      </c>
      <c r="V344">
        <v>1947.1410000000001</v>
      </c>
      <c r="W344">
        <v>1600.1320000000001</v>
      </c>
      <c r="X344">
        <v>32.409999999999997</v>
      </c>
      <c r="Y344">
        <v>3</v>
      </c>
      <c r="Z344" t="s">
        <v>44</v>
      </c>
      <c r="AA344" t="s">
        <v>677</v>
      </c>
      <c r="AB344" t="s">
        <v>34</v>
      </c>
      <c r="AC344" s="7">
        <f t="shared" si="50"/>
        <v>1.3725275117149641E-2</v>
      </c>
      <c r="AD344" s="8">
        <f t="shared" si="51"/>
        <v>5.6585141602914939E-2</v>
      </c>
      <c r="AE344" s="9">
        <f t="shared" si="52"/>
        <v>2.3311789614441719E-2</v>
      </c>
      <c r="AF344" s="8">
        <f t="shared" si="53"/>
        <v>0.37137438818031832</v>
      </c>
      <c r="AG344" s="8">
        <f t="shared" si="54"/>
        <v>2.2007287788533136</v>
      </c>
      <c r="AH344" s="8">
        <f t="shared" si="55"/>
        <v>0.44553118403629066</v>
      </c>
      <c r="AI344" s="8">
        <f t="shared" si="56"/>
        <v>1.833554196624019</v>
      </c>
      <c r="AJ344" s="8">
        <f t="shared" si="57"/>
        <v>0.32411164818396393</v>
      </c>
      <c r="AK344" s="8">
        <f t="shared" si="58"/>
        <v>1.7977876023827251</v>
      </c>
      <c r="AL344" s="8">
        <f t="shared" si="59"/>
        <v>4.3500303495839319</v>
      </c>
    </row>
    <row r="345" spans="1:38">
      <c r="A345" t="s">
        <v>1034</v>
      </c>
      <c r="B345" t="s">
        <v>1035</v>
      </c>
      <c r="C345" t="s">
        <v>69</v>
      </c>
      <c r="D345">
        <v>90</v>
      </c>
      <c r="E345" t="s">
        <v>1036</v>
      </c>
      <c r="F345">
        <v>72.346000000000004</v>
      </c>
      <c r="G345">
        <v>180.53</v>
      </c>
      <c r="H345">
        <v>3729.6689999999999</v>
      </c>
      <c r="I345">
        <v>1045.3320000000001</v>
      </c>
      <c r="J345">
        <v>702.49099999999999</v>
      </c>
      <c r="K345">
        <v>0</v>
      </c>
      <c r="L345">
        <v>617.82600000000002</v>
      </c>
      <c r="M345">
        <v>84.665000000000006</v>
      </c>
      <c r="N345">
        <v>176.11500000000001</v>
      </c>
      <c r="O345">
        <v>968.27499999999998</v>
      </c>
      <c r="P345">
        <v>0</v>
      </c>
      <c r="Q345">
        <v>0</v>
      </c>
      <c r="R345">
        <v>761.80600000000004</v>
      </c>
      <c r="S345">
        <v>617.82600000000002</v>
      </c>
      <c r="T345">
        <v>1671.5920000000001</v>
      </c>
      <c r="U345">
        <v>735.82500000000005</v>
      </c>
      <c r="V345">
        <v>10.855</v>
      </c>
      <c r="W345">
        <v>121.58499999999999</v>
      </c>
      <c r="X345">
        <v>62.54</v>
      </c>
      <c r="Y345">
        <v>2</v>
      </c>
      <c r="Z345" t="s">
        <v>39</v>
      </c>
      <c r="AA345" t="s">
        <v>677</v>
      </c>
      <c r="AB345" t="s">
        <v>34</v>
      </c>
      <c r="AC345" s="7">
        <f t="shared" si="50"/>
        <v>6.0102591283520877E-2</v>
      </c>
      <c r="AD345" s="8">
        <f t="shared" si="51"/>
        <v>4.8403759153962458E-2</v>
      </c>
      <c r="AE345" s="9">
        <f t="shared" si="52"/>
        <v>0</v>
      </c>
      <c r="AF345" s="8">
        <f t="shared" si="53"/>
        <v>5.0649321126207833E-2</v>
      </c>
      <c r="AG345" s="8">
        <f t="shared" si="54"/>
        <v>2.705603195721773</v>
      </c>
      <c r="AH345" s="8">
        <f t="shared" si="55"/>
        <v>0.36960334818544238</v>
      </c>
      <c r="AI345" s="8">
        <f t="shared" si="56"/>
        <v>1.1370369651002061</v>
      </c>
      <c r="AJ345" s="8">
        <f t="shared" si="57"/>
        <v>0.6253511622453326</v>
      </c>
      <c r="AK345" s="8">
        <f t="shared" si="58"/>
        <v>1.1370369651002061</v>
      </c>
      <c r="AL345" s="8">
        <f t="shared" si="59"/>
        <v>44.052075828264329</v>
      </c>
    </row>
    <row r="346" spans="1:38">
      <c r="A346" t="s">
        <v>1037</v>
      </c>
      <c r="B346" t="s">
        <v>1038</v>
      </c>
      <c r="C346" t="s">
        <v>193</v>
      </c>
      <c r="D346">
        <v>3</v>
      </c>
      <c r="E346" t="s">
        <v>1039</v>
      </c>
      <c r="F346">
        <v>6.1890000000000001</v>
      </c>
      <c r="G346">
        <v>24.568999999999999</v>
      </c>
      <c r="H346">
        <v>3659.8609999999999</v>
      </c>
      <c r="I346">
        <v>34.639000000000003</v>
      </c>
      <c r="J346">
        <v>927.779</v>
      </c>
      <c r="K346">
        <v>0</v>
      </c>
      <c r="L346">
        <v>913.49699999999996</v>
      </c>
      <c r="M346">
        <v>14.282</v>
      </c>
      <c r="N346">
        <v>10.361000000000001</v>
      </c>
      <c r="O346">
        <v>24.265000000000001</v>
      </c>
      <c r="P346">
        <v>0</v>
      </c>
      <c r="Q346">
        <v>9.3360000000000003</v>
      </c>
      <c r="R346">
        <v>1423.0219999999999</v>
      </c>
      <c r="S346">
        <v>913.49699999999996</v>
      </c>
      <c r="T346">
        <v>952.10500000000002</v>
      </c>
      <c r="U346">
        <v>1456.2940000000001</v>
      </c>
      <c r="V346">
        <v>122.33199999999999</v>
      </c>
      <c r="W346">
        <v>121.16500000000001</v>
      </c>
      <c r="X346">
        <v>3.64</v>
      </c>
      <c r="Y346">
        <v>2</v>
      </c>
      <c r="Z346" t="s">
        <v>32</v>
      </c>
      <c r="AA346" t="s">
        <v>677</v>
      </c>
      <c r="AB346" t="s">
        <v>34</v>
      </c>
      <c r="AC346" s="7">
        <f t="shared" si="50"/>
        <v>5.1395138430135531E-3</v>
      </c>
      <c r="AD346" s="8">
        <f t="shared" si="51"/>
        <v>6.7130964809865726E-3</v>
      </c>
      <c r="AE346" s="9">
        <f t="shared" si="52"/>
        <v>7.9913752038823574E-3</v>
      </c>
      <c r="AF346" s="8">
        <f t="shared" si="53"/>
        <v>1.5000446379338414E-2</v>
      </c>
      <c r="AG346" s="8">
        <f t="shared" si="54"/>
        <v>1.0422639592686129</v>
      </c>
      <c r="AH346" s="8">
        <f t="shared" si="55"/>
        <v>0.95944985059420962</v>
      </c>
      <c r="AI346" s="8">
        <f t="shared" si="56"/>
        <v>1.0156344246341258</v>
      </c>
      <c r="AJ346" s="8">
        <f t="shared" si="57"/>
        <v>3.6381491537172898E-2</v>
      </c>
      <c r="AK346" s="8">
        <f t="shared" si="58"/>
        <v>1.0156344246341258</v>
      </c>
      <c r="AL346" s="8">
        <f t="shared" si="59"/>
        <v>256.25689679316622</v>
      </c>
    </row>
    <row r="347" spans="1:38">
      <c r="A347" t="s">
        <v>1040</v>
      </c>
      <c r="B347" t="s">
        <v>1041</v>
      </c>
      <c r="C347" t="s">
        <v>131</v>
      </c>
      <c r="D347">
        <v>11</v>
      </c>
      <c r="E347" t="s">
        <v>1042</v>
      </c>
      <c r="F347">
        <v>46.866</v>
      </c>
      <c r="G347">
        <v>122.64400000000001</v>
      </c>
      <c r="H347">
        <v>3608.0810000000001</v>
      </c>
      <c r="I347">
        <v>169.15899999999999</v>
      </c>
      <c r="J347">
        <v>959.31200000000001</v>
      </c>
      <c r="K347">
        <v>0</v>
      </c>
      <c r="L347">
        <v>628.66899999999998</v>
      </c>
      <c r="M347">
        <v>330.64299999999997</v>
      </c>
      <c r="N347">
        <v>77.641999999999996</v>
      </c>
      <c r="O347">
        <v>77.076999999999998</v>
      </c>
      <c r="P347">
        <v>206.73500000000001</v>
      </c>
      <c r="Q347">
        <v>4.0640000000000001</v>
      </c>
      <c r="R347">
        <v>832.44200000000001</v>
      </c>
      <c r="S347">
        <v>835.404</v>
      </c>
      <c r="T347">
        <v>1042.627</v>
      </c>
      <c r="U347">
        <v>999.74300000000005</v>
      </c>
      <c r="V347">
        <v>856.50300000000004</v>
      </c>
      <c r="W347">
        <v>577.774</v>
      </c>
      <c r="X347">
        <v>16.22</v>
      </c>
      <c r="Y347">
        <v>2</v>
      </c>
      <c r="Z347" t="s">
        <v>32</v>
      </c>
      <c r="AA347" t="s">
        <v>677</v>
      </c>
      <c r="AB347" t="s">
        <v>34</v>
      </c>
      <c r="AC347" s="7">
        <f t="shared" si="50"/>
        <v>4.5893741094904454E-2</v>
      </c>
      <c r="AD347" s="8">
        <f t="shared" si="51"/>
        <v>3.399147635543659E-2</v>
      </c>
      <c r="AE347" s="9">
        <f t="shared" si="52"/>
        <v>4.8733516163962385E-3</v>
      </c>
      <c r="AF347" s="8">
        <f t="shared" si="53"/>
        <v>0.31712491619725941</v>
      </c>
      <c r="AG347" s="8">
        <f t="shared" si="54"/>
        <v>1.2480512422731995</v>
      </c>
      <c r="AH347" s="8">
        <f t="shared" si="55"/>
        <v>0.60296635325960291</v>
      </c>
      <c r="AI347" s="8">
        <f t="shared" si="56"/>
        <v>1.5259413141096507</v>
      </c>
      <c r="AJ347" s="8">
        <f t="shared" si="57"/>
        <v>0.16224306487363169</v>
      </c>
      <c r="AK347" s="8">
        <f t="shared" si="58"/>
        <v>1.1483210518503622</v>
      </c>
      <c r="AL347" s="8">
        <f t="shared" si="59"/>
        <v>10.912316304896823</v>
      </c>
    </row>
    <row r="348" spans="1:38">
      <c r="A348" t="s">
        <v>1043</v>
      </c>
      <c r="B348" t="s">
        <v>1044</v>
      </c>
      <c r="C348" t="s">
        <v>69</v>
      </c>
      <c r="D348">
        <v>2</v>
      </c>
      <c r="E348" t="s">
        <v>1045</v>
      </c>
      <c r="F348">
        <v>30.556999999999999</v>
      </c>
      <c r="G348">
        <v>67.644000000000005</v>
      </c>
      <c r="H348">
        <v>3503.3420000000001</v>
      </c>
      <c r="I348">
        <v>200.988</v>
      </c>
      <c r="J348">
        <v>1225.7</v>
      </c>
      <c r="K348">
        <v>0</v>
      </c>
      <c r="L348">
        <v>1022.976</v>
      </c>
      <c r="M348">
        <v>202.72399999999999</v>
      </c>
      <c r="N348">
        <v>36.715000000000003</v>
      </c>
      <c r="O348">
        <v>37.609000000000002</v>
      </c>
      <c r="P348">
        <v>0</v>
      </c>
      <c r="Q348">
        <v>0.36399999999999999</v>
      </c>
      <c r="R348">
        <v>834.702</v>
      </c>
      <c r="S348">
        <v>1022.976</v>
      </c>
      <c r="T348">
        <v>1273.0930000000001</v>
      </c>
      <c r="U348">
        <v>1047.4490000000001</v>
      </c>
      <c r="V348">
        <v>649.46</v>
      </c>
      <c r="W348">
        <v>700.51300000000003</v>
      </c>
      <c r="X348">
        <v>15.79</v>
      </c>
      <c r="Y348">
        <v>2</v>
      </c>
      <c r="Z348" t="s">
        <v>39</v>
      </c>
      <c r="AA348" t="s">
        <v>677</v>
      </c>
      <c r="AB348" t="s">
        <v>34</v>
      </c>
      <c r="AC348" s="7">
        <f t="shared" si="50"/>
        <v>2.6336088724099795E-2</v>
      </c>
      <c r="AD348" s="8">
        <f t="shared" si="51"/>
        <v>1.930842035975934E-2</v>
      </c>
      <c r="AE348" s="9">
        <f t="shared" si="52"/>
        <v>3.9188707623172584E-4</v>
      </c>
      <c r="AF348" s="8">
        <f t="shared" si="53"/>
        <v>0.15923738485719424</v>
      </c>
      <c r="AG348" s="8">
        <f t="shared" si="54"/>
        <v>1.2444993821946948</v>
      </c>
      <c r="AH348" s="8">
        <f t="shared" si="55"/>
        <v>0.80353595534654576</v>
      </c>
      <c r="AI348" s="8">
        <f t="shared" si="56"/>
        <v>1.1981708270770772</v>
      </c>
      <c r="AJ348" s="8">
        <f t="shared" si="57"/>
        <v>0.15787377669973834</v>
      </c>
      <c r="AK348" s="8">
        <f t="shared" si="58"/>
        <v>1.1981708270770772</v>
      </c>
      <c r="AL348" s="8">
        <f t="shared" si="59"/>
        <v>17.28133817406918</v>
      </c>
    </row>
    <row r="349" spans="1:38">
      <c r="A349" t="s">
        <v>1046</v>
      </c>
      <c r="B349" t="s">
        <v>1047</v>
      </c>
      <c r="C349" t="s">
        <v>65</v>
      </c>
      <c r="D349">
        <v>17</v>
      </c>
      <c r="E349" t="s">
        <v>1048</v>
      </c>
      <c r="F349">
        <v>93.477000000000004</v>
      </c>
      <c r="G349">
        <v>289.91899999999998</v>
      </c>
      <c r="H349">
        <v>3478.33</v>
      </c>
      <c r="I349">
        <v>232.71899999999999</v>
      </c>
      <c r="J349">
        <v>504.976</v>
      </c>
      <c r="K349">
        <v>0</v>
      </c>
      <c r="L349">
        <v>672.07100000000003</v>
      </c>
      <c r="M349">
        <v>-167.095</v>
      </c>
      <c r="N349">
        <v>191.172</v>
      </c>
      <c r="O349">
        <v>872.92100000000005</v>
      </c>
      <c r="P349">
        <v>380.43400000000003</v>
      </c>
      <c r="Q349">
        <v>36.137999999999998</v>
      </c>
      <c r="R349">
        <v>637.67999999999995</v>
      </c>
      <c r="S349">
        <v>1052.5050000000001</v>
      </c>
      <c r="T349">
        <v>1377.8969999999999</v>
      </c>
      <c r="U349">
        <v>843.51300000000003</v>
      </c>
      <c r="V349">
        <v>776.47199999999998</v>
      </c>
      <c r="W349">
        <v>536.60900000000004</v>
      </c>
      <c r="X349">
        <v>16.89</v>
      </c>
      <c r="Y349">
        <v>2</v>
      </c>
      <c r="Z349" t="s">
        <v>62</v>
      </c>
      <c r="AA349" t="s">
        <v>677</v>
      </c>
      <c r="AB349" t="s">
        <v>34</v>
      </c>
      <c r="AC349" s="7">
        <f t="shared" si="50"/>
        <v>8.4160060502113526E-2</v>
      </c>
      <c r="AD349" s="8">
        <f t="shared" si="51"/>
        <v>8.3350055917638638E-2</v>
      </c>
      <c r="AE349" s="9">
        <f t="shared" si="52"/>
        <v>4.276218283797336E-2</v>
      </c>
      <c r="AF349" s="8">
        <f t="shared" si="53"/>
        <v>-0.12126813542666832</v>
      </c>
      <c r="AG349" s="8">
        <f t="shared" si="54"/>
        <v>1.3091595764390667</v>
      </c>
      <c r="AH349" s="8">
        <f t="shared" si="55"/>
        <v>0.48775126152390202</v>
      </c>
      <c r="AI349" s="8">
        <f t="shared" si="56"/>
        <v>0.75137299481751185</v>
      </c>
      <c r="AJ349" s="8">
        <f t="shared" si="57"/>
        <v>0.16889433680456523</v>
      </c>
      <c r="AK349" s="8">
        <f t="shared" si="58"/>
        <v>0.47978489413351949</v>
      </c>
      <c r="AL349" s="8">
        <f t="shared" si="59"/>
        <v>-20.8164816421796</v>
      </c>
    </row>
    <row r="350" spans="1:38">
      <c r="A350" t="s">
        <v>1049</v>
      </c>
      <c r="B350" t="s">
        <v>1050</v>
      </c>
      <c r="C350" t="s">
        <v>65</v>
      </c>
      <c r="D350">
        <v>1</v>
      </c>
      <c r="E350" t="s">
        <v>1051</v>
      </c>
      <c r="F350">
        <v>75.787000000000006</v>
      </c>
      <c r="G350">
        <v>151.04</v>
      </c>
      <c r="H350">
        <v>3462.2559999999999</v>
      </c>
      <c r="I350">
        <v>229.49799999999999</v>
      </c>
      <c r="J350">
        <v>993.84400000000005</v>
      </c>
      <c r="K350">
        <v>472.53</v>
      </c>
      <c r="L350">
        <v>865.70100000000002</v>
      </c>
      <c r="M350">
        <v>128.143</v>
      </c>
      <c r="N350">
        <v>91.894000000000005</v>
      </c>
      <c r="O350">
        <v>459.02499999999998</v>
      </c>
      <c r="P350">
        <v>355.19600000000003</v>
      </c>
      <c r="Q350">
        <v>14.82</v>
      </c>
      <c r="R350">
        <v>492.26900000000001</v>
      </c>
      <c r="S350">
        <v>1220.8969999999999</v>
      </c>
      <c r="T350">
        <v>1452.8689999999999</v>
      </c>
      <c r="U350">
        <v>647.87</v>
      </c>
      <c r="V350">
        <v>483.31900000000002</v>
      </c>
      <c r="W350">
        <v>311.33800000000002</v>
      </c>
      <c r="X350">
        <v>15.8</v>
      </c>
      <c r="Y350">
        <v>2</v>
      </c>
      <c r="Z350" t="s">
        <v>62</v>
      </c>
      <c r="AA350" t="s">
        <v>677</v>
      </c>
      <c r="AB350" t="s">
        <v>34</v>
      </c>
      <c r="AC350" s="7">
        <f t="shared" si="50"/>
        <v>7.2152704357847416E-2</v>
      </c>
      <c r="AD350" s="8">
        <f t="shared" si="51"/>
        <v>4.3624734854961621E-2</v>
      </c>
      <c r="AE350" s="9">
        <f t="shared" si="52"/>
        <v>1.7301300632863365E-2</v>
      </c>
      <c r="AF350" s="8">
        <f t="shared" si="53"/>
        <v>8.8199968476166818E-2</v>
      </c>
      <c r="AG350" s="8">
        <f t="shared" si="54"/>
        <v>1.190001285939764</v>
      </c>
      <c r="AH350" s="8">
        <f t="shared" si="55"/>
        <v>0.5958561990103719</v>
      </c>
      <c r="AI350" s="8">
        <f t="shared" si="56"/>
        <v>1.1480222386251142</v>
      </c>
      <c r="AJ350" s="8">
        <f t="shared" si="57"/>
        <v>0.15796193600386546</v>
      </c>
      <c r="AK350" s="8">
        <f t="shared" si="58"/>
        <v>0.81402771896400772</v>
      </c>
      <c r="AL350" s="8">
        <f t="shared" si="59"/>
        <v>27.01869005720172</v>
      </c>
    </row>
    <row r="351" spans="1:38">
      <c r="A351" t="s">
        <v>1052</v>
      </c>
      <c r="B351" t="s">
        <v>1053</v>
      </c>
      <c r="C351" t="s">
        <v>69</v>
      </c>
      <c r="D351">
        <v>9</v>
      </c>
      <c r="E351" t="s">
        <v>1054</v>
      </c>
      <c r="F351">
        <v>72.132999999999996</v>
      </c>
      <c r="G351">
        <v>131.38900000000001</v>
      </c>
      <c r="H351">
        <v>3322.489</v>
      </c>
      <c r="I351">
        <v>520.399</v>
      </c>
      <c r="J351">
        <v>1099.6010000000001</v>
      </c>
      <c r="K351">
        <v>86.254999999999995</v>
      </c>
      <c r="L351">
        <v>538.49199999999996</v>
      </c>
      <c r="M351">
        <v>561.10900000000004</v>
      </c>
      <c r="N351">
        <v>91.411000000000001</v>
      </c>
      <c r="O351">
        <v>142.48099999999999</v>
      </c>
      <c r="P351">
        <v>70.903999999999996</v>
      </c>
      <c r="Q351">
        <v>1.641</v>
      </c>
      <c r="R351">
        <v>685.88400000000001</v>
      </c>
      <c r="S351">
        <v>609.39599999999996</v>
      </c>
      <c r="T351">
        <v>1262.789</v>
      </c>
      <c r="U351">
        <v>1201.4480000000001</v>
      </c>
      <c r="V351">
        <v>917.26499999999999</v>
      </c>
      <c r="W351">
        <v>340.62400000000002</v>
      </c>
      <c r="X351">
        <v>41.21</v>
      </c>
      <c r="Y351">
        <v>2</v>
      </c>
      <c r="Z351" t="s">
        <v>39</v>
      </c>
      <c r="AA351" t="s">
        <v>677</v>
      </c>
      <c r="AB351" t="s">
        <v>34</v>
      </c>
      <c r="AC351" s="7">
        <f t="shared" si="50"/>
        <v>5.8543881939927038E-2</v>
      </c>
      <c r="AD351" s="8">
        <f t="shared" si="51"/>
        <v>3.9545352896578442E-2</v>
      </c>
      <c r="AE351" s="9">
        <f t="shared" si="52"/>
        <v>2.5338150824532149E-3</v>
      </c>
      <c r="AF351" s="8">
        <f t="shared" si="53"/>
        <v>0.44434105776974619</v>
      </c>
      <c r="AG351" s="8">
        <f t="shared" si="54"/>
        <v>2.0721977170838013</v>
      </c>
      <c r="AH351" s="8">
        <f t="shared" si="55"/>
        <v>0.42643070219965484</v>
      </c>
      <c r="AI351" s="8">
        <f t="shared" si="56"/>
        <v>2.0420006239647019</v>
      </c>
      <c r="AJ351" s="8">
        <f t="shared" si="57"/>
        <v>0.4121028928823422</v>
      </c>
      <c r="AK351" s="8">
        <f t="shared" si="58"/>
        <v>1.8044112531096368</v>
      </c>
      <c r="AL351" s="8">
        <f t="shared" si="59"/>
        <v>5.9212898028725256</v>
      </c>
    </row>
    <row r="352" spans="1:38">
      <c r="A352" t="s">
        <v>1055</v>
      </c>
      <c r="B352" t="s">
        <v>1056</v>
      </c>
      <c r="C352" t="s">
        <v>42</v>
      </c>
      <c r="D352">
        <v>13</v>
      </c>
      <c r="E352" t="s">
        <v>1057</v>
      </c>
      <c r="F352">
        <v>76.394999999999996</v>
      </c>
      <c r="G352">
        <v>130.65799999999999</v>
      </c>
      <c r="H352">
        <v>3299.02</v>
      </c>
      <c r="I352">
        <v>328.77699999999999</v>
      </c>
      <c r="J352">
        <v>1516.674</v>
      </c>
      <c r="K352">
        <v>0</v>
      </c>
      <c r="L352">
        <v>1313.06</v>
      </c>
      <c r="M352">
        <v>203.614</v>
      </c>
      <c r="N352">
        <v>105.848</v>
      </c>
      <c r="O352">
        <v>190.364</v>
      </c>
      <c r="P352">
        <v>9.5269999999999992</v>
      </c>
      <c r="Q352">
        <v>6.6000000000000003E-2</v>
      </c>
      <c r="R352">
        <v>374.798</v>
      </c>
      <c r="S352">
        <v>1322.587</v>
      </c>
      <c r="T352">
        <v>1707.038</v>
      </c>
      <c r="U352">
        <v>652.03899999999999</v>
      </c>
      <c r="V352">
        <v>532.23800000000006</v>
      </c>
      <c r="W352">
        <v>286.41899999999998</v>
      </c>
      <c r="X352">
        <v>19.260000000000002</v>
      </c>
      <c r="Y352">
        <v>2</v>
      </c>
      <c r="Z352" t="s">
        <v>44</v>
      </c>
      <c r="AA352" t="s">
        <v>677</v>
      </c>
      <c r="AB352" t="s">
        <v>34</v>
      </c>
      <c r="AC352" s="7">
        <f t="shared" si="50"/>
        <v>6.4766855850826394E-2</v>
      </c>
      <c r="AD352" s="8">
        <f t="shared" si="51"/>
        <v>3.9605094846348304E-2</v>
      </c>
      <c r="AE352" s="9">
        <f t="shared" si="52"/>
        <v>7.7766682278917283E-5</v>
      </c>
      <c r="AF352" s="8">
        <f t="shared" si="53"/>
        <v>0.11927912559650107</v>
      </c>
      <c r="AG352" s="8">
        <f t="shared" si="54"/>
        <v>1.2906810667275574</v>
      </c>
      <c r="AH352" s="8">
        <f t="shared" si="55"/>
        <v>0.76920373184428226</v>
      </c>
      <c r="AI352" s="8">
        <f t="shared" si="56"/>
        <v>1.15506831370996</v>
      </c>
      <c r="AJ352" s="8">
        <f t="shared" si="57"/>
        <v>0.19260086770183205</v>
      </c>
      <c r="AK352" s="8">
        <f t="shared" si="58"/>
        <v>1.1467480022108187</v>
      </c>
      <c r="AL352" s="8">
        <f t="shared" si="59"/>
        <v>16.202324005225574</v>
      </c>
    </row>
    <row r="353" spans="1:38">
      <c r="A353" t="s">
        <v>1058</v>
      </c>
      <c r="B353" t="s">
        <v>1059</v>
      </c>
      <c r="C353" t="s">
        <v>65</v>
      </c>
      <c r="D353">
        <v>24</v>
      </c>
      <c r="E353" t="s">
        <v>1060</v>
      </c>
      <c r="F353">
        <v>72.224999999999994</v>
      </c>
      <c r="G353">
        <v>268.661</v>
      </c>
      <c r="H353">
        <v>3153.9050000000002</v>
      </c>
      <c r="I353">
        <v>181.24700000000001</v>
      </c>
      <c r="J353">
        <v>1393.1279999999999</v>
      </c>
      <c r="K353">
        <v>0</v>
      </c>
      <c r="L353">
        <v>1213.742</v>
      </c>
      <c r="M353">
        <v>179.386</v>
      </c>
      <c r="N353">
        <v>181.71</v>
      </c>
      <c r="O353">
        <v>644.79899999999998</v>
      </c>
      <c r="P353">
        <v>519.97699999999998</v>
      </c>
      <c r="Q353">
        <v>42.835000000000001</v>
      </c>
      <c r="R353">
        <v>664.57299999999998</v>
      </c>
      <c r="S353">
        <v>1733.7190000000001</v>
      </c>
      <c r="T353">
        <v>2049.7379999999998</v>
      </c>
      <c r="U353">
        <v>845.07799999999997</v>
      </c>
      <c r="V353">
        <v>480.08</v>
      </c>
      <c r="W353">
        <v>157.834</v>
      </c>
      <c r="X353">
        <v>8.84</v>
      </c>
      <c r="Y353">
        <v>2</v>
      </c>
      <c r="Z353" t="s">
        <v>62</v>
      </c>
      <c r="AA353" t="s">
        <v>677</v>
      </c>
      <c r="AB353" t="s">
        <v>34</v>
      </c>
      <c r="AC353" s="7">
        <f t="shared" si="50"/>
        <v>4.9899544565181343E-2</v>
      </c>
      <c r="AD353" s="8">
        <f t="shared" si="51"/>
        <v>8.5183605720527411E-2</v>
      </c>
      <c r="AE353" s="9">
        <f t="shared" si="52"/>
        <v>3.5721254959779715E-2</v>
      </c>
      <c r="AF353" s="8">
        <f t="shared" si="53"/>
        <v>8.7516550895773024E-2</v>
      </c>
      <c r="AG353" s="8">
        <f t="shared" si="54"/>
        <v>1.1822780969695781</v>
      </c>
      <c r="AH353" s="8">
        <f t="shared" si="55"/>
        <v>0.59214494730546052</v>
      </c>
      <c r="AI353" s="8">
        <f t="shared" si="56"/>
        <v>1.1477958248128515</v>
      </c>
      <c r="AJ353" s="8">
        <f t="shared" si="57"/>
        <v>8.8424471810543609E-2</v>
      </c>
      <c r="AK353" s="8">
        <f t="shared" si="58"/>
        <v>0.80354890267684664</v>
      </c>
      <c r="AL353" s="8">
        <f t="shared" si="59"/>
        <v>17.581667465688518</v>
      </c>
    </row>
    <row r="354" spans="1:38">
      <c r="A354" t="s">
        <v>1061</v>
      </c>
      <c r="B354" t="s">
        <v>1062</v>
      </c>
      <c r="C354" t="s">
        <v>65</v>
      </c>
      <c r="D354">
        <v>17</v>
      </c>
      <c r="E354" t="s">
        <v>1063</v>
      </c>
      <c r="F354">
        <v>31.425000000000001</v>
      </c>
      <c r="G354">
        <v>89.942999999999998</v>
      </c>
      <c r="H354">
        <v>3112.2249999999999</v>
      </c>
      <c r="I354">
        <v>89.992000000000004</v>
      </c>
      <c r="J354">
        <v>1792.115</v>
      </c>
      <c r="K354">
        <v>0</v>
      </c>
      <c r="L354">
        <v>1387.69</v>
      </c>
      <c r="M354">
        <v>404.42500000000001</v>
      </c>
      <c r="N354">
        <v>37.795000000000002</v>
      </c>
      <c r="O354">
        <v>30.716000000000001</v>
      </c>
      <c r="P354">
        <v>324.16899999999998</v>
      </c>
      <c r="Q354">
        <v>15.007999999999999</v>
      </c>
      <c r="R354">
        <v>614.99599999999998</v>
      </c>
      <c r="S354">
        <v>1711.8589999999999</v>
      </c>
      <c r="T354">
        <v>1830.979</v>
      </c>
      <c r="U354">
        <v>696.93</v>
      </c>
      <c r="V354">
        <v>940.05600000000004</v>
      </c>
      <c r="W354">
        <v>196.27099999999999</v>
      </c>
      <c r="X354">
        <v>4.91</v>
      </c>
      <c r="Y354">
        <v>2</v>
      </c>
      <c r="Z354" t="s">
        <v>62</v>
      </c>
      <c r="AA354" t="s">
        <v>677</v>
      </c>
      <c r="AB354" t="s">
        <v>34</v>
      </c>
      <c r="AC354" s="7">
        <f t="shared" si="50"/>
        <v>2.4862445602274449E-2</v>
      </c>
      <c r="AD354" s="8">
        <f t="shared" si="51"/>
        <v>2.8899902802657262E-2</v>
      </c>
      <c r="AE354" s="9">
        <f t="shared" si="52"/>
        <v>1.2899815416087378E-2</v>
      </c>
      <c r="AF354" s="8">
        <f t="shared" si="53"/>
        <v>0.22087910347415235</v>
      </c>
      <c r="AG354" s="8">
        <f t="shared" si="54"/>
        <v>1.0695851702739536</v>
      </c>
      <c r="AH354" s="8">
        <f t="shared" si="55"/>
        <v>0.75789509328069848</v>
      </c>
      <c r="AI354" s="8">
        <f t="shared" si="56"/>
        <v>1.2914375689094826</v>
      </c>
      <c r="AJ354" s="8">
        <f t="shared" si="57"/>
        <v>4.9149662557571659E-2</v>
      </c>
      <c r="AK354" s="8">
        <f t="shared" si="58"/>
        <v>1.0468823658957893</v>
      </c>
      <c r="AL354" s="8">
        <f t="shared" si="59"/>
        <v>7.6954317858688253</v>
      </c>
    </row>
    <row r="355" spans="1:38">
      <c r="A355" t="s">
        <v>1064</v>
      </c>
      <c r="B355" t="s">
        <v>1065</v>
      </c>
      <c r="C355" t="s">
        <v>168</v>
      </c>
      <c r="D355">
        <v>29</v>
      </c>
      <c r="E355" t="s">
        <v>1066</v>
      </c>
      <c r="F355">
        <v>30.526</v>
      </c>
      <c r="G355">
        <v>95.233999999999995</v>
      </c>
      <c r="H355">
        <v>3067.8310000000001</v>
      </c>
      <c r="I355">
        <v>106.908</v>
      </c>
      <c r="J355">
        <v>1254.0889999999999</v>
      </c>
      <c r="K355">
        <v>43.2</v>
      </c>
      <c r="L355">
        <v>1067.115</v>
      </c>
      <c r="M355">
        <v>186.97399999999999</v>
      </c>
      <c r="N355">
        <v>52.283999999999999</v>
      </c>
      <c r="O355">
        <v>174.28800000000001</v>
      </c>
      <c r="P355">
        <v>227.898</v>
      </c>
      <c r="Q355">
        <v>14.763</v>
      </c>
      <c r="R355">
        <v>922.54</v>
      </c>
      <c r="S355">
        <v>1295.0129999999999</v>
      </c>
      <c r="T355">
        <v>1435.877</v>
      </c>
      <c r="U355">
        <v>1017.569</v>
      </c>
      <c r="V355">
        <v>632.08500000000004</v>
      </c>
      <c r="W355">
        <v>408.74299999999999</v>
      </c>
      <c r="X355">
        <v>7.45</v>
      </c>
      <c r="Y355">
        <v>2</v>
      </c>
      <c r="Z355" t="s">
        <v>44</v>
      </c>
      <c r="AA355" t="s">
        <v>677</v>
      </c>
      <c r="AB355" t="s">
        <v>34</v>
      </c>
      <c r="AC355" s="7">
        <f t="shared" si="50"/>
        <v>2.4884183307886134E-2</v>
      </c>
      <c r="AD355" s="8">
        <f t="shared" si="51"/>
        <v>3.1042779083984742E-2</v>
      </c>
      <c r="AE355" s="9">
        <f t="shared" si="52"/>
        <v>1.3314676131754235E-2</v>
      </c>
      <c r="AF355" s="8">
        <f t="shared" si="53"/>
        <v>0.13021588896541975</v>
      </c>
      <c r="AG355" s="8">
        <f t="shared" si="54"/>
        <v>1.1087741976335372</v>
      </c>
      <c r="AH355" s="8">
        <f t="shared" si="55"/>
        <v>0.74317995204324605</v>
      </c>
      <c r="AI355" s="8">
        <f t="shared" si="56"/>
        <v>1.175214480163806</v>
      </c>
      <c r="AJ355" s="8">
        <f t="shared" si="57"/>
        <v>7.4454845366281372E-2</v>
      </c>
      <c r="AK355" s="8">
        <f t="shared" si="58"/>
        <v>0.96839877283085185</v>
      </c>
      <c r="AL355" s="8">
        <f t="shared" si="59"/>
        <v>16.407794666638143</v>
      </c>
    </row>
    <row r="356" spans="1:38">
      <c r="A356" t="s">
        <v>1067</v>
      </c>
      <c r="B356" t="s">
        <v>1068</v>
      </c>
      <c r="C356" t="s">
        <v>69</v>
      </c>
      <c r="D356">
        <v>8</v>
      </c>
      <c r="E356" t="s">
        <v>1069</v>
      </c>
      <c r="F356">
        <v>41.401000000000003</v>
      </c>
      <c r="G356">
        <v>171.708</v>
      </c>
      <c r="H356">
        <v>3060.7370000000001</v>
      </c>
      <c r="I356">
        <v>166.78</v>
      </c>
      <c r="J356">
        <v>1093.4259999999999</v>
      </c>
      <c r="K356">
        <v>0</v>
      </c>
      <c r="L356">
        <v>698.73599999999999</v>
      </c>
      <c r="M356">
        <v>394.69</v>
      </c>
      <c r="N356">
        <v>67.802999999999997</v>
      </c>
      <c r="O356">
        <v>125.255</v>
      </c>
      <c r="P356">
        <v>362.24099999999999</v>
      </c>
      <c r="Q356">
        <v>24.879000000000001</v>
      </c>
      <c r="R356">
        <v>853.83100000000002</v>
      </c>
      <c r="S356">
        <v>1060.9770000000001</v>
      </c>
      <c r="T356">
        <v>1264.2550000000001</v>
      </c>
      <c r="U356">
        <v>1392.634</v>
      </c>
      <c r="V356">
        <v>654.346</v>
      </c>
      <c r="W356">
        <v>430.88099999999997</v>
      </c>
      <c r="X356">
        <v>13.19</v>
      </c>
      <c r="Y356">
        <v>2</v>
      </c>
      <c r="Z356" t="s">
        <v>39</v>
      </c>
      <c r="AA356" t="s">
        <v>677</v>
      </c>
      <c r="AB356" t="s">
        <v>34</v>
      </c>
      <c r="AC356" s="7">
        <f t="shared" si="50"/>
        <v>3.1165020443082118E-2</v>
      </c>
      <c r="AD356" s="8">
        <f t="shared" si="51"/>
        <v>5.6100213772042481E-2</v>
      </c>
      <c r="AE356" s="9">
        <f t="shared" si="52"/>
        <v>2.5985895191580566E-2</v>
      </c>
      <c r="AF356" s="8">
        <f t="shared" si="53"/>
        <v>0.31219176511067781</v>
      </c>
      <c r="AG356" s="8">
        <f t="shared" si="54"/>
        <v>1.191595105266184</v>
      </c>
      <c r="AH356" s="8">
        <f t="shared" si="55"/>
        <v>0.55268596920716151</v>
      </c>
      <c r="AI356" s="8">
        <f t="shared" si="56"/>
        <v>1.5648628380389731</v>
      </c>
      <c r="AJ356" s="8">
        <f t="shared" si="57"/>
        <v>0.13191958900696457</v>
      </c>
      <c r="AK356" s="8">
        <f t="shared" si="58"/>
        <v>1.0305840748668442</v>
      </c>
      <c r="AL356" s="8">
        <f t="shared" si="59"/>
        <v>7.7547873014264361</v>
      </c>
    </row>
    <row r="357" spans="1:38">
      <c r="A357" t="s">
        <v>1070</v>
      </c>
      <c r="B357" t="s">
        <v>1071</v>
      </c>
      <c r="C357" t="s">
        <v>69</v>
      </c>
      <c r="D357">
        <v>14</v>
      </c>
      <c r="E357" t="s">
        <v>1072</v>
      </c>
      <c r="F357">
        <v>32.281999999999996</v>
      </c>
      <c r="G357">
        <v>97.225999999999999</v>
      </c>
      <c r="H357">
        <v>3007.4839999999999</v>
      </c>
      <c r="I357">
        <v>267.12299999999999</v>
      </c>
      <c r="J357">
        <v>1203.8430000000001</v>
      </c>
      <c r="K357">
        <v>225</v>
      </c>
      <c r="L357">
        <v>796.346</v>
      </c>
      <c r="M357">
        <v>407.49700000000001</v>
      </c>
      <c r="N357">
        <v>55.692</v>
      </c>
      <c r="O357">
        <v>46.192999999999998</v>
      </c>
      <c r="P357">
        <v>183.93600000000001</v>
      </c>
      <c r="Q357">
        <v>10.682</v>
      </c>
      <c r="R357">
        <v>476.33</v>
      </c>
      <c r="S357">
        <v>980.28200000000004</v>
      </c>
      <c r="T357">
        <v>1341.643</v>
      </c>
      <c r="U357">
        <v>783.57100000000003</v>
      </c>
      <c r="V357">
        <v>511.952</v>
      </c>
      <c r="W357">
        <v>446.13900000000001</v>
      </c>
      <c r="X357">
        <v>19.91</v>
      </c>
      <c r="Y357">
        <v>2</v>
      </c>
      <c r="Z357" t="s">
        <v>39</v>
      </c>
      <c r="AA357" t="s">
        <v>677</v>
      </c>
      <c r="AB357" t="s">
        <v>34</v>
      </c>
      <c r="AC357" s="7">
        <f t="shared" si="50"/>
        <v>3.0379999378886077E-2</v>
      </c>
      <c r="AD357" s="8">
        <f t="shared" si="51"/>
        <v>3.232801903518024E-2</v>
      </c>
      <c r="AE357" s="9">
        <f t="shared" si="52"/>
        <v>1.4666911984797599E-2</v>
      </c>
      <c r="AF357" s="8">
        <f t="shared" si="53"/>
        <v>0.30372982976842572</v>
      </c>
      <c r="AG357" s="8">
        <f t="shared" si="54"/>
        <v>1.3686296392262634</v>
      </c>
      <c r="AH357" s="8">
        <f t="shared" si="55"/>
        <v>0.59356028392053628</v>
      </c>
      <c r="AI357" s="8">
        <f t="shared" si="56"/>
        <v>1.5117084784754367</v>
      </c>
      <c r="AJ357" s="8">
        <f t="shared" si="57"/>
        <v>0.19910140029799284</v>
      </c>
      <c r="AK357" s="8">
        <f t="shared" si="58"/>
        <v>1.228057844579417</v>
      </c>
      <c r="AL357" s="8">
        <f t="shared" si="59"/>
        <v>7.3803831684650438</v>
      </c>
    </row>
    <row r="358" spans="1:38">
      <c r="A358" t="s">
        <v>1073</v>
      </c>
      <c r="B358" t="s">
        <v>1074</v>
      </c>
      <c r="C358" t="s">
        <v>69</v>
      </c>
      <c r="D358">
        <v>23</v>
      </c>
      <c r="E358" t="s">
        <v>1075</v>
      </c>
      <c r="F358">
        <v>71.072999999999993</v>
      </c>
      <c r="G358">
        <v>157.94300000000001</v>
      </c>
      <c r="H358">
        <v>2995.9720000000002</v>
      </c>
      <c r="I358">
        <v>297.84199999999998</v>
      </c>
      <c r="J358">
        <v>1325.0150000000001</v>
      </c>
      <c r="K358">
        <v>220</v>
      </c>
      <c r="L358">
        <v>1043.797</v>
      </c>
      <c r="M358">
        <v>281.21800000000002</v>
      </c>
      <c r="N358">
        <v>96.841999999999999</v>
      </c>
      <c r="O358">
        <v>335.68400000000003</v>
      </c>
      <c r="P358">
        <v>180.38399999999999</v>
      </c>
      <c r="Q358">
        <v>9.4629999999999992</v>
      </c>
      <c r="R358">
        <v>671.101</v>
      </c>
      <c r="S358">
        <v>1224.181</v>
      </c>
      <c r="T358">
        <v>1677.6890000000001</v>
      </c>
      <c r="U358">
        <v>1014.5839999999999</v>
      </c>
      <c r="V358">
        <v>674.72</v>
      </c>
      <c r="W358">
        <v>279.99200000000002</v>
      </c>
      <c r="X358">
        <v>17.75</v>
      </c>
      <c r="Y358">
        <v>2</v>
      </c>
      <c r="Z358" t="s">
        <v>39</v>
      </c>
      <c r="AA358" t="s">
        <v>677</v>
      </c>
      <c r="AB358" t="s">
        <v>34</v>
      </c>
      <c r="AC358" s="7">
        <f t="shared" si="50"/>
        <v>5.2797766051213967E-2</v>
      </c>
      <c r="AD358" s="8">
        <f t="shared" si="51"/>
        <v>5.2718449972162622E-2</v>
      </c>
      <c r="AE358" s="9">
        <f t="shared" si="52"/>
        <v>9.985849071536582E-3</v>
      </c>
      <c r="AF358" s="8">
        <f t="shared" si="53"/>
        <v>0.16762224703148201</v>
      </c>
      <c r="AG358" s="8">
        <f t="shared" si="54"/>
        <v>1.3704582900731184</v>
      </c>
      <c r="AH358" s="8">
        <f t="shared" si="55"/>
        <v>0.6221635833578214</v>
      </c>
      <c r="AI358" s="8">
        <f t="shared" si="56"/>
        <v>1.2694182872723336</v>
      </c>
      <c r="AJ358" s="8">
        <f t="shared" si="57"/>
        <v>0.17753111571930194</v>
      </c>
      <c r="AK358" s="8">
        <f t="shared" si="58"/>
        <v>1.0823685386393025</v>
      </c>
      <c r="AL358" s="8">
        <f t="shared" si="59"/>
        <v>10.653557026932843</v>
      </c>
    </row>
    <row r="359" spans="1:38">
      <c r="A359" t="s">
        <v>1076</v>
      </c>
      <c r="B359" t="s">
        <v>1077</v>
      </c>
      <c r="C359" t="s">
        <v>69</v>
      </c>
      <c r="D359">
        <v>11</v>
      </c>
      <c r="E359" t="s">
        <v>1078</v>
      </c>
      <c r="F359">
        <v>43.875999999999998</v>
      </c>
      <c r="G359">
        <v>101.175</v>
      </c>
      <c r="H359">
        <v>2827.2109999999998</v>
      </c>
      <c r="I359">
        <v>376.47199999999998</v>
      </c>
      <c r="J359">
        <v>996.59699999999998</v>
      </c>
      <c r="K359">
        <v>10.154</v>
      </c>
      <c r="L359">
        <v>852.61500000000001</v>
      </c>
      <c r="M359">
        <v>143.982</v>
      </c>
      <c r="N359">
        <v>59.273000000000003</v>
      </c>
      <c r="O359">
        <v>291.68599999999998</v>
      </c>
      <c r="P359">
        <v>0</v>
      </c>
      <c r="Q359">
        <v>1.853</v>
      </c>
      <c r="R359">
        <v>179.81200000000001</v>
      </c>
      <c r="S359">
        <v>852.61500000000001</v>
      </c>
      <c r="T359">
        <v>1288.3309999999999</v>
      </c>
      <c r="U359">
        <v>545.36699999999996</v>
      </c>
      <c r="V359">
        <v>658.35199999999998</v>
      </c>
      <c r="W359">
        <v>372.59</v>
      </c>
      <c r="X359">
        <v>29.22</v>
      </c>
      <c r="Y359">
        <v>2</v>
      </c>
      <c r="Z359" t="s">
        <v>39</v>
      </c>
      <c r="AA359" t="s">
        <v>677</v>
      </c>
      <c r="AB359" t="s">
        <v>34</v>
      </c>
      <c r="AC359" s="7">
        <f t="shared" si="50"/>
        <v>4.7855208436721863E-2</v>
      </c>
      <c r="AD359" s="8">
        <f t="shared" si="51"/>
        <v>3.5786151086707005E-2</v>
      </c>
      <c r="AE359" s="9">
        <f t="shared" si="52"/>
        <v>3.5896000395185322E-3</v>
      </c>
      <c r="AF359" s="8">
        <f t="shared" si="53"/>
        <v>0.11175854652259397</v>
      </c>
      <c r="AG359" s="8">
        <f t="shared" si="54"/>
        <v>1.511034875060842</v>
      </c>
      <c r="AH359" s="8">
        <f t="shared" si="55"/>
        <v>0.66179809381284782</v>
      </c>
      <c r="AI359" s="8">
        <f t="shared" si="56"/>
        <v>1.168871061381749</v>
      </c>
      <c r="AJ359" s="8">
        <f t="shared" si="57"/>
        <v>0.29221682937071297</v>
      </c>
      <c r="AK359" s="8">
        <f t="shared" si="58"/>
        <v>1.168871061381749</v>
      </c>
      <c r="AL359" s="8">
        <f t="shared" si="59"/>
        <v>19.635864205247877</v>
      </c>
    </row>
    <row r="360" spans="1:38">
      <c r="A360" t="s">
        <v>1079</v>
      </c>
      <c r="B360" t="s">
        <v>1080</v>
      </c>
      <c r="C360" t="s">
        <v>221</v>
      </c>
      <c r="D360">
        <v>3</v>
      </c>
      <c r="E360" t="s">
        <v>1081</v>
      </c>
      <c r="F360">
        <v>29.911999999999999</v>
      </c>
      <c r="G360">
        <v>89.864999999999995</v>
      </c>
      <c r="H360">
        <v>2820.5340000000001</v>
      </c>
      <c r="I360">
        <v>204.46600000000001</v>
      </c>
      <c r="J360">
        <v>1657.049</v>
      </c>
      <c r="K360">
        <v>170.96</v>
      </c>
      <c r="L360">
        <v>1281.894</v>
      </c>
      <c r="M360">
        <v>375.15499999999997</v>
      </c>
      <c r="N360">
        <v>34.026000000000003</v>
      </c>
      <c r="O360">
        <v>12.612</v>
      </c>
      <c r="P360">
        <v>171.393</v>
      </c>
      <c r="Q360">
        <v>35.164999999999999</v>
      </c>
      <c r="R360">
        <v>1072.6369999999999</v>
      </c>
      <c r="S360">
        <v>1453.287</v>
      </c>
      <c r="T360">
        <v>1670.549</v>
      </c>
      <c r="U360">
        <v>1258.806</v>
      </c>
      <c r="V360">
        <v>599.48800000000006</v>
      </c>
      <c r="W360">
        <v>141.43700000000001</v>
      </c>
      <c r="X360">
        <v>12.24</v>
      </c>
      <c r="Y360">
        <v>2</v>
      </c>
      <c r="Z360" t="s">
        <v>62</v>
      </c>
      <c r="AA360" t="s">
        <v>677</v>
      </c>
      <c r="AB360" t="s">
        <v>34</v>
      </c>
      <c r="AC360" s="7">
        <f t="shared" si="50"/>
        <v>2.0422243121779367E-2</v>
      </c>
      <c r="AD360" s="8">
        <f t="shared" si="51"/>
        <v>3.1860988025671728E-2</v>
      </c>
      <c r="AE360" s="9">
        <f t="shared" si="52"/>
        <v>2.7843276361442387E-2</v>
      </c>
      <c r="AF360" s="8">
        <f t="shared" si="53"/>
        <v>0.22456988690544244</v>
      </c>
      <c r="AG360" s="8">
        <f t="shared" si="54"/>
        <v>1.1494969679079219</v>
      </c>
      <c r="AH360" s="8">
        <f t="shared" si="55"/>
        <v>0.76734893738525478</v>
      </c>
      <c r="AI360" s="8">
        <f t="shared" si="56"/>
        <v>1.2926568031366088</v>
      </c>
      <c r="AJ360" s="8">
        <f t="shared" si="57"/>
        <v>0.12239449426505898</v>
      </c>
      <c r="AK360" s="8">
        <f t="shared" si="58"/>
        <v>1.1402076809329471</v>
      </c>
      <c r="AL360" s="8">
        <f t="shared" si="59"/>
        <v>7.5183164292092606</v>
      </c>
    </row>
    <row r="361" spans="1:38">
      <c r="A361" t="s">
        <v>1082</v>
      </c>
      <c r="B361" t="s">
        <v>1083</v>
      </c>
      <c r="C361" t="s">
        <v>69</v>
      </c>
      <c r="D361">
        <v>28</v>
      </c>
      <c r="E361" t="s">
        <v>1084</v>
      </c>
      <c r="F361">
        <v>-6.2160000000000002</v>
      </c>
      <c r="G361">
        <v>86.887</v>
      </c>
      <c r="H361">
        <v>2721.636</v>
      </c>
      <c r="I361">
        <v>509.86200000000002</v>
      </c>
      <c r="J361">
        <v>933.13499999999999</v>
      </c>
      <c r="K361">
        <v>0</v>
      </c>
      <c r="L361">
        <v>512.44500000000005</v>
      </c>
      <c r="M361">
        <v>420.69</v>
      </c>
      <c r="N361">
        <v>26.091000000000001</v>
      </c>
      <c r="O361">
        <v>138.25399999999999</v>
      </c>
      <c r="P361">
        <v>0</v>
      </c>
      <c r="Q361">
        <v>6.2930000000000001</v>
      </c>
      <c r="R361">
        <v>290.65199999999999</v>
      </c>
      <c r="S361">
        <v>512.44500000000005</v>
      </c>
      <c r="T361">
        <v>1096.1079999999999</v>
      </c>
      <c r="U361">
        <v>851.63900000000001</v>
      </c>
      <c r="V361">
        <v>893.08</v>
      </c>
      <c r="W361">
        <v>817.76099999999997</v>
      </c>
      <c r="X361">
        <v>46.52</v>
      </c>
      <c r="Y361">
        <v>2</v>
      </c>
      <c r="Z361" t="s">
        <v>39</v>
      </c>
      <c r="AA361" t="s">
        <v>677</v>
      </c>
      <c r="AB361" t="s">
        <v>34</v>
      </c>
      <c r="AC361" s="7">
        <f t="shared" si="50"/>
        <v>-6.3827591571184563E-3</v>
      </c>
      <c r="AD361" s="8">
        <f t="shared" si="51"/>
        <v>3.1924548323140935E-2</v>
      </c>
      <c r="AE361" s="9">
        <f t="shared" si="52"/>
        <v>1.5671830426461562E-2</v>
      </c>
      <c r="AF361" s="8">
        <f t="shared" si="53"/>
        <v>0.38380342083079405</v>
      </c>
      <c r="AG361" s="8">
        <f t="shared" si="54"/>
        <v>2.138976865809989</v>
      </c>
      <c r="AH361" s="8">
        <f t="shared" si="55"/>
        <v>0.46751323774664549</v>
      </c>
      <c r="AI361" s="8">
        <f t="shared" si="56"/>
        <v>1.8209466381758039</v>
      </c>
      <c r="AJ361" s="8">
        <f t="shared" si="57"/>
        <v>0.46515671813361459</v>
      </c>
      <c r="AK361" s="8">
        <f t="shared" si="58"/>
        <v>1.8209466381758039</v>
      </c>
      <c r="AL361" s="8">
        <f t="shared" si="59"/>
        <v>6.469457320116951</v>
      </c>
    </row>
    <row r="362" spans="1:38">
      <c r="A362" t="s">
        <v>1085</v>
      </c>
      <c r="B362" t="s">
        <v>1086</v>
      </c>
      <c r="C362" t="s">
        <v>69</v>
      </c>
      <c r="D362">
        <v>4</v>
      </c>
      <c r="E362" t="s">
        <v>1087</v>
      </c>
      <c r="F362">
        <v>19.452000000000002</v>
      </c>
      <c r="G362">
        <v>56.649000000000001</v>
      </c>
      <c r="H362">
        <v>2668.7710000000002</v>
      </c>
      <c r="I362">
        <v>60.701000000000001</v>
      </c>
      <c r="J362">
        <v>1140.4860000000001</v>
      </c>
      <c r="K362">
        <v>101</v>
      </c>
      <c r="L362">
        <v>925.51300000000003</v>
      </c>
      <c r="M362">
        <v>214.97300000000001</v>
      </c>
      <c r="N362">
        <v>21.571999999999999</v>
      </c>
      <c r="O362">
        <v>2.8370000000000002</v>
      </c>
      <c r="P362">
        <v>157.64500000000001</v>
      </c>
      <c r="Q362">
        <v>27.704000000000001</v>
      </c>
      <c r="R362">
        <v>766.202</v>
      </c>
      <c r="S362">
        <v>1083.1579999999999</v>
      </c>
      <c r="T362">
        <v>1164.193</v>
      </c>
      <c r="U362">
        <v>821.99300000000005</v>
      </c>
      <c r="V362">
        <v>563.58199999999999</v>
      </c>
      <c r="W362">
        <v>452.47500000000002</v>
      </c>
      <c r="X362">
        <v>5.21</v>
      </c>
      <c r="Y362">
        <v>2</v>
      </c>
      <c r="Z362" t="s">
        <v>39</v>
      </c>
      <c r="AA362" t="s">
        <v>677</v>
      </c>
      <c r="AB362" t="s">
        <v>34</v>
      </c>
      <c r="AC362" s="7">
        <f t="shared" si="50"/>
        <v>1.9587289407940647E-2</v>
      </c>
      <c r="AD362" s="8">
        <f t="shared" si="51"/>
        <v>2.1226624539909943E-2</v>
      </c>
      <c r="AE362" s="9">
        <f t="shared" si="52"/>
        <v>2.9960635030497038E-2</v>
      </c>
      <c r="AF362" s="8">
        <f t="shared" si="53"/>
        <v>0.18465409085950527</v>
      </c>
      <c r="AG362" s="8">
        <f t="shared" si="54"/>
        <v>1.0748136467625222</v>
      </c>
      <c r="AH362" s="8">
        <f t="shared" si="55"/>
        <v>0.79498244706848442</v>
      </c>
      <c r="AI362" s="8">
        <f t="shared" si="56"/>
        <v>1.2322744251026188</v>
      </c>
      <c r="AJ362" s="8">
        <f t="shared" si="57"/>
        <v>5.2139980226646274E-2</v>
      </c>
      <c r="AK362" s="8">
        <f t="shared" si="58"/>
        <v>1.0529267198321945</v>
      </c>
      <c r="AL362" s="8">
        <f t="shared" si="59"/>
        <v>12.414447395719463</v>
      </c>
    </row>
    <row r="363" spans="1:38">
      <c r="A363" t="s">
        <v>1088</v>
      </c>
      <c r="B363" t="s">
        <v>1089</v>
      </c>
      <c r="C363" t="s">
        <v>51</v>
      </c>
      <c r="D363">
        <v>10</v>
      </c>
      <c r="E363" t="s">
        <v>1090</v>
      </c>
      <c r="F363">
        <v>19.919</v>
      </c>
      <c r="G363">
        <v>162.63900000000001</v>
      </c>
      <c r="H363">
        <v>2667.364</v>
      </c>
      <c r="I363">
        <v>109.655</v>
      </c>
      <c r="J363">
        <v>1563.88</v>
      </c>
      <c r="K363">
        <v>0</v>
      </c>
      <c r="L363">
        <v>1299.0050000000001</v>
      </c>
      <c r="M363">
        <v>264.875</v>
      </c>
      <c r="N363">
        <v>28.126000000000001</v>
      </c>
      <c r="O363">
        <v>23.86</v>
      </c>
      <c r="P363">
        <v>114.816</v>
      </c>
      <c r="Q363">
        <v>260.29700000000003</v>
      </c>
      <c r="R363">
        <v>680.01300000000003</v>
      </c>
      <c r="S363">
        <v>1413.8209999999999</v>
      </c>
      <c r="T363">
        <v>1595.3489999999999</v>
      </c>
      <c r="U363">
        <v>823.524</v>
      </c>
      <c r="V363">
        <v>741.43399999999997</v>
      </c>
      <c r="W363">
        <v>183.57300000000001</v>
      </c>
      <c r="X363">
        <v>6.87</v>
      </c>
      <c r="Y363">
        <v>2</v>
      </c>
      <c r="Z363" t="s">
        <v>39</v>
      </c>
      <c r="AA363" t="s">
        <v>677</v>
      </c>
      <c r="AB363" t="s">
        <v>34</v>
      </c>
      <c r="AC363" s="7">
        <f t="shared" si="50"/>
        <v>1.6469653429510355E-2</v>
      </c>
      <c r="AD363" s="8">
        <f t="shared" si="51"/>
        <v>6.0973680382579956E-2</v>
      </c>
      <c r="AE363" s="9">
        <f t="shared" si="52"/>
        <v>0.24863193548294663</v>
      </c>
      <c r="AF363" s="8">
        <f t="shared" si="53"/>
        <v>0.16602950200865141</v>
      </c>
      <c r="AG363" s="8">
        <f t="shared" si="54"/>
        <v>1.1283953201996575</v>
      </c>
      <c r="AH363" s="8">
        <f t="shared" si="55"/>
        <v>0.81424503353184796</v>
      </c>
      <c r="AI363" s="8">
        <f t="shared" si="56"/>
        <v>1.2039060665663335</v>
      </c>
      <c r="AJ363" s="8">
        <f t="shared" si="57"/>
        <v>6.8734176659777893E-2</v>
      </c>
      <c r="AK363" s="8">
        <f t="shared" si="58"/>
        <v>1.1061371984147923</v>
      </c>
      <c r="AL363" s="8">
        <f t="shared" si="59"/>
        <v>10.07027465785748</v>
      </c>
    </row>
    <row r="364" spans="1:38">
      <c r="A364" t="s">
        <v>1091</v>
      </c>
      <c r="B364" t="s">
        <v>1092</v>
      </c>
      <c r="C364" t="s">
        <v>69</v>
      </c>
      <c r="D364">
        <v>9</v>
      </c>
      <c r="E364" t="s">
        <v>1093</v>
      </c>
      <c r="F364">
        <v>51.604999999999997</v>
      </c>
      <c r="G364">
        <v>117.6</v>
      </c>
      <c r="H364">
        <v>2628.163</v>
      </c>
      <c r="I364">
        <v>281.726</v>
      </c>
      <c r="J364">
        <v>639.64700000000005</v>
      </c>
      <c r="K364">
        <v>300.19400000000002</v>
      </c>
      <c r="L364">
        <v>465.79300000000001</v>
      </c>
      <c r="M364">
        <v>173.85400000000001</v>
      </c>
      <c r="N364">
        <v>84.418000000000006</v>
      </c>
      <c r="O364">
        <v>259.04899999999998</v>
      </c>
      <c r="P364">
        <v>153.52099999999999</v>
      </c>
      <c r="Q364">
        <v>8.7530000000000001</v>
      </c>
      <c r="R364">
        <v>541.33600000000001</v>
      </c>
      <c r="S364">
        <v>619.31399999999996</v>
      </c>
      <c r="T364">
        <v>933.75599999999997</v>
      </c>
      <c r="U364">
        <v>793.12699999999995</v>
      </c>
      <c r="V364">
        <v>641.96799999999996</v>
      </c>
      <c r="W364">
        <v>566.84199999999998</v>
      </c>
      <c r="X364">
        <v>30.17</v>
      </c>
      <c r="Y364">
        <v>2</v>
      </c>
      <c r="Z364" t="s">
        <v>39</v>
      </c>
      <c r="AA364" t="s">
        <v>677</v>
      </c>
      <c r="AB364" t="s">
        <v>34</v>
      </c>
      <c r="AC364" s="7">
        <f t="shared" si="50"/>
        <v>5.9766643136796187E-2</v>
      </c>
      <c r="AD364" s="8">
        <f t="shared" si="51"/>
        <v>4.4746083100629601E-2</v>
      </c>
      <c r="AE364" s="9">
        <f t="shared" si="52"/>
        <v>1.5082927669840174E-2</v>
      </c>
      <c r="AF364" s="8">
        <f t="shared" si="53"/>
        <v>0.18618782637005815</v>
      </c>
      <c r="AG364" s="8">
        <f t="shared" si="54"/>
        <v>1.5077262907022932</v>
      </c>
      <c r="AH364" s="8">
        <f t="shared" si="55"/>
        <v>0.4988380262081315</v>
      </c>
      <c r="AI364" s="8">
        <f t="shared" si="56"/>
        <v>1.3732430500243671</v>
      </c>
      <c r="AJ364" s="8">
        <f t="shared" si="57"/>
        <v>0.3017126529842914</v>
      </c>
      <c r="AK364" s="8">
        <f t="shared" si="58"/>
        <v>1.0328314877428899</v>
      </c>
      <c r="AL364" s="8">
        <f t="shared" si="59"/>
        <v>15.117069495093583</v>
      </c>
    </row>
    <row r="365" spans="1:38">
      <c r="A365" t="s">
        <v>1094</v>
      </c>
      <c r="B365" t="s">
        <v>1095</v>
      </c>
      <c r="C365" t="s">
        <v>65</v>
      </c>
      <c r="D365">
        <v>8</v>
      </c>
      <c r="E365" t="s">
        <v>1096</v>
      </c>
      <c r="F365">
        <v>29.779</v>
      </c>
      <c r="G365">
        <v>53.875999999999998</v>
      </c>
      <c r="H365">
        <v>2617.4</v>
      </c>
      <c r="I365">
        <v>217.19900000000001</v>
      </c>
      <c r="J365">
        <v>494.82400000000001</v>
      </c>
      <c r="K365">
        <v>0</v>
      </c>
      <c r="L365">
        <v>283.27199999999999</v>
      </c>
      <c r="M365">
        <v>211.55199999999999</v>
      </c>
      <c r="N365">
        <v>29.867000000000001</v>
      </c>
      <c r="O365">
        <v>0.621</v>
      </c>
      <c r="P365">
        <v>0</v>
      </c>
      <c r="Q365">
        <v>5.2999999999999999E-2</v>
      </c>
      <c r="R365">
        <v>23.311</v>
      </c>
      <c r="S365">
        <v>283.27199999999999</v>
      </c>
      <c r="T365">
        <v>512.18100000000004</v>
      </c>
      <c r="U365">
        <v>216.33199999999999</v>
      </c>
      <c r="V365">
        <v>250.05099999999999</v>
      </c>
      <c r="W365">
        <v>176.72</v>
      </c>
      <c r="X365">
        <v>42.41</v>
      </c>
      <c r="Y365">
        <v>1</v>
      </c>
      <c r="Z365" t="s">
        <v>62</v>
      </c>
      <c r="AA365" t="s">
        <v>677</v>
      </c>
      <c r="AB365" t="s">
        <v>34</v>
      </c>
      <c r="AC365" s="7">
        <f t="shared" si="50"/>
        <v>8.1752830766232035E-2</v>
      </c>
      <c r="AD365" s="8">
        <f t="shared" si="51"/>
        <v>2.0583785435928783E-2</v>
      </c>
      <c r="AE365" s="9">
        <f t="shared" si="52"/>
        <v>3.4574650257842085E-4</v>
      </c>
      <c r="AF365" s="8">
        <f t="shared" si="53"/>
        <v>0.41304148338185132</v>
      </c>
      <c r="AG365" s="8">
        <f t="shared" si="54"/>
        <v>1.8080890451580109</v>
      </c>
      <c r="AH365" s="8">
        <f t="shared" si="55"/>
        <v>0.55307010607578178</v>
      </c>
      <c r="AI365" s="8">
        <f t="shared" si="56"/>
        <v>1.7468157812985401</v>
      </c>
      <c r="AJ365" s="8">
        <f t="shared" si="57"/>
        <v>0.42406688260595377</v>
      </c>
      <c r="AK365" s="8">
        <f t="shared" si="58"/>
        <v>1.7468157812985401</v>
      </c>
      <c r="AL365" s="8">
        <f t="shared" si="59"/>
        <v>12.372371804568145</v>
      </c>
    </row>
    <row r="366" spans="1:38">
      <c r="A366" t="s">
        <v>1097</v>
      </c>
      <c r="B366" t="s">
        <v>1098</v>
      </c>
      <c r="C366" t="s">
        <v>69</v>
      </c>
      <c r="D366">
        <v>0</v>
      </c>
      <c r="E366" t="s">
        <v>1099</v>
      </c>
      <c r="F366">
        <v>19.46</v>
      </c>
      <c r="G366">
        <v>77.841999999999999</v>
      </c>
      <c r="H366">
        <v>2590.3240000000001</v>
      </c>
      <c r="I366">
        <v>132.65299999999999</v>
      </c>
      <c r="J366">
        <v>1140.7070000000001</v>
      </c>
      <c r="K366">
        <v>0</v>
      </c>
      <c r="L366">
        <v>969.04399999999998</v>
      </c>
      <c r="M366">
        <v>171.66300000000001</v>
      </c>
      <c r="N366">
        <v>19.46</v>
      </c>
      <c r="O366">
        <v>1E-3</v>
      </c>
      <c r="P366">
        <v>19.271000000000001</v>
      </c>
      <c r="Q366">
        <v>43.448</v>
      </c>
      <c r="R366">
        <v>1120.847</v>
      </c>
      <c r="S366">
        <v>988.31500000000005</v>
      </c>
      <c r="T366">
        <v>1142.421</v>
      </c>
      <c r="U366">
        <v>1246.6310000000001</v>
      </c>
      <c r="V366">
        <v>361.27100000000002</v>
      </c>
      <c r="W366">
        <v>846.33</v>
      </c>
      <c r="X366">
        <v>11.61</v>
      </c>
      <c r="Y366">
        <v>2</v>
      </c>
      <c r="Z366" t="s">
        <v>39</v>
      </c>
      <c r="AA366" t="s">
        <v>677</v>
      </c>
      <c r="AB366" t="s">
        <v>34</v>
      </c>
      <c r="AC366" s="7">
        <f t="shared" si="50"/>
        <v>1.6290980690248685E-2</v>
      </c>
      <c r="AD366" s="8">
        <f t="shared" si="51"/>
        <v>3.0051066970772766E-2</v>
      </c>
      <c r="AE366" s="9">
        <f t="shared" si="52"/>
        <v>4.1199300954597132E-2</v>
      </c>
      <c r="AF366" s="8">
        <f t="shared" si="53"/>
        <v>0.15026246891469958</v>
      </c>
      <c r="AG366" s="8">
        <f t="shared" si="54"/>
        <v>1.1559280189008565</v>
      </c>
      <c r="AH366" s="8">
        <f t="shared" si="55"/>
        <v>0.84823720852470319</v>
      </c>
      <c r="AI366" s="8">
        <f t="shared" si="56"/>
        <v>1.1771467549461119</v>
      </c>
      <c r="AJ366" s="8">
        <f t="shared" si="57"/>
        <v>0.11611568764929915</v>
      </c>
      <c r="AK366" s="8">
        <f t="shared" si="58"/>
        <v>1.1541937540156733</v>
      </c>
      <c r="AL366" s="8">
        <f t="shared" si="59"/>
        <v>15.08958832130395</v>
      </c>
    </row>
    <row r="367" spans="1:38">
      <c r="A367" t="s">
        <v>1100</v>
      </c>
      <c r="B367" t="s">
        <v>1101</v>
      </c>
      <c r="C367" t="s">
        <v>69</v>
      </c>
      <c r="D367">
        <v>16</v>
      </c>
      <c r="E367" t="s">
        <v>1102</v>
      </c>
      <c r="F367">
        <v>14.441000000000001</v>
      </c>
      <c r="G367">
        <v>87.265000000000001</v>
      </c>
      <c r="H367">
        <v>2548.797</v>
      </c>
      <c r="I367">
        <v>62.737000000000002</v>
      </c>
      <c r="J367">
        <v>1014.836</v>
      </c>
      <c r="K367">
        <v>54.8</v>
      </c>
      <c r="L367">
        <v>926.98500000000001</v>
      </c>
      <c r="M367">
        <v>87.850999999999999</v>
      </c>
      <c r="N367">
        <v>40.829000000000001</v>
      </c>
      <c r="O367">
        <v>239.65199999999999</v>
      </c>
      <c r="P367">
        <v>195.88</v>
      </c>
      <c r="Q367">
        <v>20.439</v>
      </c>
      <c r="R367">
        <v>629.67700000000002</v>
      </c>
      <c r="S367">
        <v>1122.865</v>
      </c>
      <c r="T367">
        <v>1291.0150000000001</v>
      </c>
      <c r="U367">
        <v>692.577</v>
      </c>
      <c r="V367">
        <v>553.19600000000003</v>
      </c>
      <c r="W367">
        <v>339.53699999999998</v>
      </c>
      <c r="X367">
        <v>4.8600000000000003</v>
      </c>
      <c r="Y367">
        <v>2</v>
      </c>
      <c r="Z367" t="s">
        <v>39</v>
      </c>
      <c r="AA367" t="s">
        <v>677</v>
      </c>
      <c r="AB367" t="s">
        <v>34</v>
      </c>
      <c r="AC367" s="7">
        <f t="shared" si="50"/>
        <v>1.4560453964323308E-2</v>
      </c>
      <c r="AD367" s="8">
        <f t="shared" si="51"/>
        <v>3.4237720775722819E-2</v>
      </c>
      <c r="AE367" s="9">
        <f t="shared" si="52"/>
        <v>2.3324975949221189E-2</v>
      </c>
      <c r="AF367" s="8">
        <f t="shared" si="53"/>
        <v>6.804800873731133E-2</v>
      </c>
      <c r="AG367" s="8">
        <f t="shared" si="54"/>
        <v>1.1497508605219684</v>
      </c>
      <c r="AH367" s="8">
        <f t="shared" si="55"/>
        <v>0.71802806319059032</v>
      </c>
      <c r="AI367" s="8">
        <f t="shared" si="56"/>
        <v>1.0947706812947351</v>
      </c>
      <c r="AJ367" s="8">
        <f t="shared" si="57"/>
        <v>4.8595097655720496E-2</v>
      </c>
      <c r="AK367" s="8">
        <f t="shared" si="58"/>
        <v>0.90379164013483371</v>
      </c>
      <c r="AL367" s="8">
        <f t="shared" si="59"/>
        <v>29.012726093043906</v>
      </c>
    </row>
    <row r="368" spans="1:38">
      <c r="A368" t="s">
        <v>1103</v>
      </c>
      <c r="B368" t="s">
        <v>1104</v>
      </c>
      <c r="C368" t="s">
        <v>42</v>
      </c>
      <c r="D368">
        <v>5</v>
      </c>
      <c r="E368" t="s">
        <v>1105</v>
      </c>
      <c r="F368">
        <v>27.184000000000001</v>
      </c>
      <c r="G368">
        <v>75.463999999999999</v>
      </c>
      <c r="H368">
        <v>2495.9899999999998</v>
      </c>
      <c r="I368">
        <v>301.34899999999999</v>
      </c>
      <c r="J368">
        <v>810.33199999999999</v>
      </c>
      <c r="K368">
        <v>174.85499999999999</v>
      </c>
      <c r="L368">
        <v>769.49900000000002</v>
      </c>
      <c r="M368">
        <v>40.832999999999998</v>
      </c>
      <c r="N368">
        <v>55.667999999999999</v>
      </c>
      <c r="O368">
        <v>253.518</v>
      </c>
      <c r="P368">
        <v>0</v>
      </c>
      <c r="Q368">
        <v>0.19900000000000001</v>
      </c>
      <c r="R368">
        <v>305.10899999999998</v>
      </c>
      <c r="S368">
        <v>769.49900000000002</v>
      </c>
      <c r="T368">
        <v>1079.231</v>
      </c>
      <c r="U368">
        <v>611.25099999999998</v>
      </c>
      <c r="V368">
        <v>374.6</v>
      </c>
      <c r="W368">
        <v>360.255</v>
      </c>
      <c r="X368">
        <v>27.92</v>
      </c>
      <c r="Y368">
        <v>2</v>
      </c>
      <c r="Z368" t="s">
        <v>44</v>
      </c>
      <c r="AA368" t="s">
        <v>677</v>
      </c>
      <c r="AB368" t="s">
        <v>34</v>
      </c>
      <c r="AC368" s="7">
        <f t="shared" si="50"/>
        <v>3.2161241586719055E-2</v>
      </c>
      <c r="AD368" s="8">
        <f t="shared" si="51"/>
        <v>3.0234095489164621E-2</v>
      </c>
      <c r="AE368" s="9">
        <f t="shared" si="52"/>
        <v>3.7036761312031924E-4</v>
      </c>
      <c r="AF368" s="8">
        <f t="shared" si="53"/>
        <v>3.7835273449335682E-2</v>
      </c>
      <c r="AG368" s="8">
        <f t="shared" si="54"/>
        <v>1.4025112443291023</v>
      </c>
      <c r="AH368" s="8">
        <f t="shared" si="55"/>
        <v>0.71300676129577456</v>
      </c>
      <c r="AI368" s="8">
        <f t="shared" si="56"/>
        <v>1.0530643964449595</v>
      </c>
      <c r="AJ368" s="8">
        <f t="shared" si="57"/>
        <v>0.27922567087120365</v>
      </c>
      <c r="AK368" s="8">
        <f t="shared" si="58"/>
        <v>1.0530643964449595</v>
      </c>
      <c r="AL368" s="8">
        <f t="shared" si="59"/>
        <v>61.1267847084466</v>
      </c>
    </row>
    <row r="369" spans="1:38">
      <c r="A369" t="s">
        <v>1106</v>
      </c>
      <c r="B369" t="s">
        <v>1107</v>
      </c>
      <c r="C369" t="s">
        <v>65</v>
      </c>
      <c r="D369">
        <v>5</v>
      </c>
      <c r="E369" t="s">
        <v>1108</v>
      </c>
      <c r="F369">
        <v>28.196000000000002</v>
      </c>
      <c r="G369">
        <v>44.843000000000004</v>
      </c>
      <c r="H369">
        <v>2434.6089999999999</v>
      </c>
      <c r="I369">
        <v>136.47499999999999</v>
      </c>
      <c r="J369">
        <v>429.59100000000001</v>
      </c>
      <c r="K369">
        <v>101.79900000000001</v>
      </c>
      <c r="L369">
        <v>198.649</v>
      </c>
      <c r="M369">
        <v>230.94200000000001</v>
      </c>
      <c r="N369">
        <v>29.51</v>
      </c>
      <c r="O369">
        <v>5.8019999999999996</v>
      </c>
      <c r="P369">
        <v>101.14400000000001</v>
      </c>
      <c r="Q369">
        <v>2.1120000000000001</v>
      </c>
      <c r="R369">
        <v>153.77199999999999</v>
      </c>
      <c r="S369">
        <v>299.79300000000001</v>
      </c>
      <c r="T369">
        <v>448.05200000000002</v>
      </c>
      <c r="U369">
        <v>268.86799999999999</v>
      </c>
      <c r="V369">
        <v>211.952</v>
      </c>
      <c r="W369">
        <v>136.184</v>
      </c>
      <c r="X369">
        <v>30.46</v>
      </c>
      <c r="Y369">
        <v>1</v>
      </c>
      <c r="Z369" t="s">
        <v>62</v>
      </c>
      <c r="AA369" t="s">
        <v>677</v>
      </c>
      <c r="AB369" t="s">
        <v>34</v>
      </c>
      <c r="AC369" s="7">
        <f t="shared" si="50"/>
        <v>7.8658706689728283E-2</v>
      </c>
      <c r="AD369" s="8">
        <f t="shared" si="51"/>
        <v>1.8418974052917741E-2</v>
      </c>
      <c r="AE369" s="9">
        <f t="shared" si="52"/>
        <v>9.3128878991985721E-3</v>
      </c>
      <c r="AF369" s="8">
        <f t="shared" si="53"/>
        <v>0.51543570835528019</v>
      </c>
      <c r="AG369" s="8">
        <f t="shared" si="54"/>
        <v>1.4945378978161599</v>
      </c>
      <c r="AH369" s="8">
        <f t="shared" si="55"/>
        <v>0.44336148482765392</v>
      </c>
      <c r="AI369" s="8">
        <f t="shared" si="56"/>
        <v>2.1625631138339485</v>
      </c>
      <c r="AJ369" s="8">
        <f t="shared" si="57"/>
        <v>0.30459634149607634</v>
      </c>
      <c r="AK369" s="8">
        <f t="shared" si="58"/>
        <v>1.4329587415316569</v>
      </c>
      <c r="AL369" s="8">
        <f t="shared" si="59"/>
        <v>10.542079829567596</v>
      </c>
    </row>
    <row r="370" spans="1:38">
      <c r="A370" t="s">
        <v>1109</v>
      </c>
      <c r="B370" t="s">
        <v>1110</v>
      </c>
      <c r="C370" t="s">
        <v>47</v>
      </c>
      <c r="D370">
        <v>8</v>
      </c>
      <c r="E370" t="s">
        <v>1111</v>
      </c>
      <c r="F370">
        <v>28.515999999999998</v>
      </c>
      <c r="G370">
        <v>54.46</v>
      </c>
      <c r="H370">
        <v>2404.7930000000001</v>
      </c>
      <c r="I370">
        <v>87.494</v>
      </c>
      <c r="J370">
        <v>635.029</v>
      </c>
      <c r="K370">
        <v>23.145</v>
      </c>
      <c r="L370">
        <v>419.64699999999999</v>
      </c>
      <c r="M370">
        <v>215.38200000000001</v>
      </c>
      <c r="N370">
        <v>28.515999999999998</v>
      </c>
      <c r="O370">
        <v>26.007999999999999</v>
      </c>
      <c r="P370">
        <v>67.168000000000006</v>
      </c>
      <c r="Q370">
        <v>3.0019999999999998</v>
      </c>
      <c r="R370">
        <v>519.42100000000005</v>
      </c>
      <c r="S370">
        <v>486.815</v>
      </c>
      <c r="T370">
        <v>669.69100000000003</v>
      </c>
      <c r="U370">
        <v>675.30700000000002</v>
      </c>
      <c r="V370">
        <v>676.69299999999998</v>
      </c>
      <c r="W370">
        <v>647.29399999999998</v>
      </c>
      <c r="X370">
        <v>13.06</v>
      </c>
      <c r="Y370">
        <v>2</v>
      </c>
      <c r="Z370" t="s">
        <v>32</v>
      </c>
      <c r="AA370" t="s">
        <v>677</v>
      </c>
      <c r="AB370" t="s">
        <v>34</v>
      </c>
      <c r="AC370" s="7">
        <f t="shared" si="50"/>
        <v>4.2403037030538333E-2</v>
      </c>
      <c r="AD370" s="8">
        <f t="shared" si="51"/>
        <v>2.2646439839104655E-2</v>
      </c>
      <c r="AE370" s="9">
        <f t="shared" si="52"/>
        <v>5.9667910907580321E-3</v>
      </c>
      <c r="AF370" s="8">
        <f t="shared" si="53"/>
        <v>0.32161399809763008</v>
      </c>
      <c r="AG370" s="8">
        <f t="shared" si="54"/>
        <v>1.3756581042079641</v>
      </c>
      <c r="AH370" s="8">
        <f t="shared" si="55"/>
        <v>0.6266278029718183</v>
      </c>
      <c r="AI370" s="8">
        <f t="shared" si="56"/>
        <v>1.5132456564684127</v>
      </c>
      <c r="AJ370" s="8">
        <f t="shared" si="57"/>
        <v>0.13064831392388429</v>
      </c>
      <c r="AK370" s="8">
        <f t="shared" si="58"/>
        <v>1.3044565183899428</v>
      </c>
      <c r="AL370" s="8">
        <f t="shared" si="59"/>
        <v>11.165245935129212</v>
      </c>
    </row>
    <row r="371" spans="1:38">
      <c r="A371" t="s">
        <v>1112</v>
      </c>
      <c r="B371" t="s">
        <v>1113</v>
      </c>
      <c r="C371" t="s">
        <v>131</v>
      </c>
      <c r="D371">
        <v>13</v>
      </c>
      <c r="E371" t="s">
        <v>1114</v>
      </c>
      <c r="F371">
        <v>17.722000000000001</v>
      </c>
      <c r="G371">
        <v>85.245000000000005</v>
      </c>
      <c r="H371">
        <v>2397.1990000000001</v>
      </c>
      <c r="I371">
        <v>103.173</v>
      </c>
      <c r="J371">
        <v>782.27499999999998</v>
      </c>
      <c r="K371">
        <v>41.15</v>
      </c>
      <c r="L371">
        <v>839.59500000000003</v>
      </c>
      <c r="M371">
        <v>-57.32</v>
      </c>
      <c r="N371">
        <v>75.478999999999999</v>
      </c>
      <c r="O371">
        <v>161.72800000000001</v>
      </c>
      <c r="P371">
        <v>0</v>
      </c>
      <c r="Q371">
        <v>1.49</v>
      </c>
      <c r="R371">
        <v>601.50800000000004</v>
      </c>
      <c r="S371">
        <v>839.59500000000003</v>
      </c>
      <c r="T371">
        <v>944.00300000000004</v>
      </c>
      <c r="U371">
        <v>688.19299999999998</v>
      </c>
      <c r="V371">
        <v>321.72199999999998</v>
      </c>
      <c r="W371">
        <v>211.768</v>
      </c>
      <c r="X371">
        <v>10.93</v>
      </c>
      <c r="Y371">
        <v>2</v>
      </c>
      <c r="Z371" t="s">
        <v>32</v>
      </c>
      <c r="AA371" t="s">
        <v>677</v>
      </c>
      <c r="AB371" t="s">
        <v>34</v>
      </c>
      <c r="AC371" s="7">
        <f t="shared" si="50"/>
        <v>2.1715529262417016E-2</v>
      </c>
      <c r="AD371" s="8">
        <f t="shared" si="51"/>
        <v>3.5560251777178281E-2</v>
      </c>
      <c r="AE371" s="9">
        <f t="shared" si="52"/>
        <v>2.0678605207261383E-3</v>
      </c>
      <c r="AF371" s="8">
        <f t="shared" si="53"/>
        <v>-6.0720146016485115E-2</v>
      </c>
      <c r="AG371" s="8">
        <f t="shared" si="54"/>
        <v>1.1243551950642869</v>
      </c>
      <c r="AH371" s="8">
        <f t="shared" si="55"/>
        <v>0.88939865657206596</v>
      </c>
      <c r="AI371" s="8">
        <f t="shared" si="56"/>
        <v>0.9317289883813028</v>
      </c>
      <c r="AJ371" s="8">
        <f t="shared" si="57"/>
        <v>0.10929308487367095</v>
      </c>
      <c r="AK371" s="8">
        <f t="shared" si="58"/>
        <v>0.9317289883813028</v>
      </c>
      <c r="AL371" s="8">
        <f t="shared" si="59"/>
        <v>-41.821336357292395</v>
      </c>
    </row>
    <row r="372" spans="1:38">
      <c r="A372" t="s">
        <v>1115</v>
      </c>
      <c r="B372" t="s">
        <v>1116</v>
      </c>
      <c r="C372" t="s">
        <v>124</v>
      </c>
      <c r="D372">
        <v>5</v>
      </c>
      <c r="E372" t="s">
        <v>1117</v>
      </c>
      <c r="F372">
        <v>13.436999999999999</v>
      </c>
      <c r="G372">
        <v>34.74</v>
      </c>
      <c r="H372">
        <v>2349.91</v>
      </c>
      <c r="I372">
        <v>65.762</v>
      </c>
      <c r="J372">
        <v>794.49900000000002</v>
      </c>
      <c r="K372">
        <v>2.0680000000000001</v>
      </c>
      <c r="L372">
        <v>680.88</v>
      </c>
      <c r="M372">
        <v>113.619</v>
      </c>
      <c r="N372">
        <v>18.177</v>
      </c>
      <c r="O372">
        <v>39.04</v>
      </c>
      <c r="P372">
        <v>43.488</v>
      </c>
      <c r="Q372">
        <v>3.82</v>
      </c>
      <c r="R372">
        <v>473.47800000000001</v>
      </c>
      <c r="S372">
        <v>724.36800000000005</v>
      </c>
      <c r="T372">
        <v>837.00800000000004</v>
      </c>
      <c r="U372">
        <v>568.76199999999994</v>
      </c>
      <c r="V372">
        <v>381.14100000000002</v>
      </c>
      <c r="W372">
        <v>404.89699999999999</v>
      </c>
      <c r="X372">
        <v>7.86</v>
      </c>
      <c r="Y372">
        <v>2</v>
      </c>
      <c r="Z372" t="s">
        <v>62</v>
      </c>
      <c r="AA372" t="s">
        <v>677</v>
      </c>
      <c r="AB372" t="s">
        <v>34</v>
      </c>
      <c r="AC372" s="7">
        <f t="shared" si="50"/>
        <v>1.9116925243816557E-2</v>
      </c>
      <c r="AD372" s="8">
        <f t="shared" si="51"/>
        <v>1.4783544901719643E-2</v>
      </c>
      <c r="AE372" s="9">
        <f t="shared" si="52"/>
        <v>6.3781153837805526E-3</v>
      </c>
      <c r="AF372" s="8">
        <f t="shared" si="53"/>
        <v>0.13574422227744537</v>
      </c>
      <c r="AG372" s="8">
        <f t="shared" si="54"/>
        <v>1.1555010712786871</v>
      </c>
      <c r="AH372" s="8">
        <f t="shared" si="55"/>
        <v>0.81346892741765908</v>
      </c>
      <c r="AI372" s="8">
        <f t="shared" si="56"/>
        <v>1.1668708142403947</v>
      </c>
      <c r="AJ372" s="8">
        <f t="shared" si="57"/>
        <v>7.8567946781870665E-2</v>
      </c>
      <c r="AK372" s="8">
        <f t="shared" si="58"/>
        <v>1.09681681134451</v>
      </c>
      <c r="AL372" s="8">
        <f t="shared" si="59"/>
        <v>20.682368265871023</v>
      </c>
    </row>
    <row r="373" spans="1:38">
      <c r="A373" t="s">
        <v>1118</v>
      </c>
      <c r="B373" t="s">
        <v>1119</v>
      </c>
      <c r="C373" t="s">
        <v>65</v>
      </c>
      <c r="D373">
        <v>38</v>
      </c>
      <c r="E373" t="s">
        <v>1120</v>
      </c>
      <c r="F373">
        <v>47.415999999999997</v>
      </c>
      <c r="G373">
        <v>84.191000000000003</v>
      </c>
      <c r="H373">
        <v>2337.2060000000001</v>
      </c>
      <c r="I373">
        <v>480.154</v>
      </c>
      <c r="J373">
        <v>1052.982</v>
      </c>
      <c r="K373">
        <v>180</v>
      </c>
      <c r="L373">
        <v>1033.569</v>
      </c>
      <c r="M373">
        <v>19.413</v>
      </c>
      <c r="N373">
        <v>59.134</v>
      </c>
      <c r="O373">
        <v>462.13499999999999</v>
      </c>
      <c r="P373">
        <v>50</v>
      </c>
      <c r="Q373">
        <v>5.91</v>
      </c>
      <c r="R373">
        <v>525.83299999999997</v>
      </c>
      <c r="S373">
        <v>1083.569</v>
      </c>
      <c r="T373">
        <v>1573.4559999999999</v>
      </c>
      <c r="U373">
        <v>959.50800000000004</v>
      </c>
      <c r="V373">
        <v>712.98699999999997</v>
      </c>
      <c r="W373">
        <v>455.39100000000002</v>
      </c>
      <c r="X373">
        <v>30.52</v>
      </c>
      <c r="Y373">
        <v>2</v>
      </c>
      <c r="Z373" t="s">
        <v>62</v>
      </c>
      <c r="AA373" t="s">
        <v>677</v>
      </c>
      <c r="AB373" t="s">
        <v>34</v>
      </c>
      <c r="AC373" s="7">
        <f t="shared" si="50"/>
        <v>3.7439142443398327E-2</v>
      </c>
      <c r="AD373" s="8">
        <f t="shared" si="51"/>
        <v>3.6022070797353763E-2</v>
      </c>
      <c r="AE373" s="9">
        <f t="shared" si="52"/>
        <v>7.3443428055886594E-3</v>
      </c>
      <c r="AF373" s="8">
        <f t="shared" si="53"/>
        <v>1.2337809255549568E-2</v>
      </c>
      <c r="AG373" s="8">
        <f t="shared" si="54"/>
        <v>1.4521050343817514</v>
      </c>
      <c r="AH373" s="8">
        <f t="shared" si="55"/>
        <v>0.6568782349172777</v>
      </c>
      <c r="AI373" s="8">
        <f t="shared" si="56"/>
        <v>1.018782490573924</v>
      </c>
      <c r="AJ373" s="8">
        <f t="shared" si="57"/>
        <v>0.30515883507387559</v>
      </c>
      <c r="AK373" s="8">
        <f t="shared" si="58"/>
        <v>0.97177198683240296</v>
      </c>
      <c r="AL373" s="8">
        <f t="shared" si="59"/>
        <v>120.39385978468037</v>
      </c>
    </row>
    <row r="374" spans="1:38">
      <c r="A374" t="s">
        <v>1121</v>
      </c>
      <c r="B374" t="s">
        <v>1122</v>
      </c>
      <c r="C374" t="s">
        <v>42</v>
      </c>
      <c r="D374">
        <v>10</v>
      </c>
      <c r="E374" t="s">
        <v>1123</v>
      </c>
      <c r="F374">
        <v>21.861000000000001</v>
      </c>
      <c r="G374">
        <v>35.914000000000001</v>
      </c>
      <c r="H374">
        <v>2283.5430000000001</v>
      </c>
      <c r="I374">
        <v>572.11099999999999</v>
      </c>
      <c r="J374">
        <v>1088.461</v>
      </c>
      <c r="K374">
        <v>25.231000000000002</v>
      </c>
      <c r="L374">
        <v>493.67399999999998</v>
      </c>
      <c r="M374">
        <v>594.78700000000003</v>
      </c>
      <c r="N374">
        <v>23.001999999999999</v>
      </c>
      <c r="O374">
        <v>12.317</v>
      </c>
      <c r="P374">
        <v>0</v>
      </c>
      <c r="Q374">
        <v>0.40600000000000003</v>
      </c>
      <c r="R374">
        <v>347.95299999999997</v>
      </c>
      <c r="S374">
        <v>493.67399999999998</v>
      </c>
      <c r="T374">
        <v>1101.5239999999999</v>
      </c>
      <c r="U374">
        <v>916.41300000000001</v>
      </c>
      <c r="V374">
        <v>610.03599999999994</v>
      </c>
      <c r="W374">
        <v>665.12699999999995</v>
      </c>
      <c r="X374">
        <v>51.94</v>
      </c>
      <c r="Y374">
        <v>2</v>
      </c>
      <c r="Z374" t="s">
        <v>44</v>
      </c>
      <c r="AA374" t="s">
        <v>677</v>
      </c>
      <c r="AB374" t="s">
        <v>34</v>
      </c>
      <c r="AC374" s="7">
        <f t="shared" si="50"/>
        <v>2.1666682359260971E-2</v>
      </c>
      <c r="AD374" s="8">
        <f t="shared" si="51"/>
        <v>1.5727314966260762E-2</v>
      </c>
      <c r="AE374" s="9">
        <f t="shared" si="52"/>
        <v>9.6479794493285038E-4</v>
      </c>
      <c r="AF374" s="8">
        <f t="shared" si="53"/>
        <v>0.53996735432001486</v>
      </c>
      <c r="AG374" s="8">
        <f t="shared" si="54"/>
        <v>2.2312781309123024</v>
      </c>
      <c r="AH374" s="8">
        <f t="shared" si="55"/>
        <v>0.44817362127379889</v>
      </c>
      <c r="AI374" s="8">
        <f t="shared" si="56"/>
        <v>2.2048173491008236</v>
      </c>
      <c r="AJ374" s="8">
        <f t="shared" si="57"/>
        <v>0.51938132986662122</v>
      </c>
      <c r="AK374" s="8">
        <f t="shared" si="58"/>
        <v>2.2048173491008236</v>
      </c>
      <c r="AL374" s="8">
        <f t="shared" si="59"/>
        <v>3.8392617861520173</v>
      </c>
    </row>
    <row r="375" spans="1:38">
      <c r="A375" t="s">
        <v>1124</v>
      </c>
      <c r="B375" t="s">
        <v>1125</v>
      </c>
      <c r="C375" t="s">
        <v>131</v>
      </c>
      <c r="D375">
        <v>7</v>
      </c>
      <c r="E375" t="s">
        <v>1126</v>
      </c>
      <c r="F375">
        <v>22.686</v>
      </c>
      <c r="G375">
        <v>64.781999999999996</v>
      </c>
      <c r="H375">
        <v>2261.5010000000002</v>
      </c>
      <c r="I375">
        <v>133.13900000000001</v>
      </c>
      <c r="J375">
        <v>657.69100000000003</v>
      </c>
      <c r="K375">
        <v>44.357999999999997</v>
      </c>
      <c r="L375">
        <v>499.346</v>
      </c>
      <c r="M375">
        <v>158.345</v>
      </c>
      <c r="N375">
        <v>36.628999999999998</v>
      </c>
      <c r="O375">
        <v>54.878</v>
      </c>
      <c r="P375">
        <v>74.010000000000005</v>
      </c>
      <c r="Q375">
        <v>5.1630000000000003</v>
      </c>
      <c r="R375">
        <v>490.54300000000001</v>
      </c>
      <c r="S375">
        <v>573.35599999999999</v>
      </c>
      <c r="T375">
        <v>727.23500000000001</v>
      </c>
      <c r="U375">
        <v>662.16</v>
      </c>
      <c r="V375">
        <v>585.00300000000004</v>
      </c>
      <c r="W375">
        <v>240.30799999999999</v>
      </c>
      <c r="X375">
        <v>18.309999999999999</v>
      </c>
      <c r="Y375">
        <v>2</v>
      </c>
      <c r="Z375" t="s">
        <v>32</v>
      </c>
      <c r="AA375" t="s">
        <v>677</v>
      </c>
      <c r="AB375" t="s">
        <v>34</v>
      </c>
      <c r="AC375" s="7">
        <f t="shared" si="50"/>
        <v>3.2655940175400085E-2</v>
      </c>
      <c r="AD375" s="8">
        <f t="shared" si="51"/>
        <v>2.8645576544074042E-2</v>
      </c>
      <c r="AE375" s="9">
        <f t="shared" si="52"/>
        <v>9.7058085400963823E-3</v>
      </c>
      <c r="AF375" s="8">
        <f t="shared" si="53"/>
        <v>0.21773567003788322</v>
      </c>
      <c r="AG375" s="8">
        <f t="shared" si="54"/>
        <v>1.2683829941606961</v>
      </c>
      <c r="AH375" s="8">
        <f t="shared" si="55"/>
        <v>0.68663636926165539</v>
      </c>
      <c r="AI375" s="8">
        <f t="shared" si="56"/>
        <v>1.3171047730431404</v>
      </c>
      <c r="AJ375" s="8">
        <f t="shared" si="57"/>
        <v>0.18307562204789374</v>
      </c>
      <c r="AK375" s="8">
        <f t="shared" si="58"/>
        <v>1.1470901150419635</v>
      </c>
      <c r="AL375" s="8">
        <f t="shared" si="59"/>
        <v>14.282111844390414</v>
      </c>
    </row>
    <row r="376" spans="1:38">
      <c r="A376" t="s">
        <v>1127</v>
      </c>
      <c r="B376" t="s">
        <v>1128</v>
      </c>
      <c r="C376" t="s">
        <v>65</v>
      </c>
      <c r="D376">
        <v>21</v>
      </c>
      <c r="E376" t="s">
        <v>1129</v>
      </c>
      <c r="F376">
        <v>-2.2149999999999999</v>
      </c>
      <c r="G376">
        <v>10.303000000000001</v>
      </c>
      <c r="H376">
        <v>2246.0929999999998</v>
      </c>
      <c r="I376">
        <v>86.227999999999994</v>
      </c>
      <c r="J376">
        <v>807.79499999999996</v>
      </c>
      <c r="K376">
        <v>9.9290000000000003</v>
      </c>
      <c r="L376">
        <v>501.17599999999999</v>
      </c>
      <c r="M376">
        <v>306.61900000000003</v>
      </c>
      <c r="N376">
        <v>-2.2149999999999999</v>
      </c>
      <c r="O376">
        <v>156.893</v>
      </c>
      <c r="P376">
        <v>163.744</v>
      </c>
      <c r="Q376">
        <v>4.5739999999999998</v>
      </c>
      <c r="R376">
        <v>578.46199999999999</v>
      </c>
      <c r="S376">
        <v>664.92</v>
      </c>
      <c r="T376">
        <v>972.471</v>
      </c>
      <c r="U376">
        <v>854.09299999999996</v>
      </c>
      <c r="V376">
        <v>667.31</v>
      </c>
      <c r="W376">
        <v>688.07500000000005</v>
      </c>
      <c r="X376">
        <v>8.8699999999999992</v>
      </c>
      <c r="Y376">
        <v>2</v>
      </c>
      <c r="Z376" t="s">
        <v>62</v>
      </c>
      <c r="AA376" t="s">
        <v>677</v>
      </c>
      <c r="AB376" t="s">
        <v>34</v>
      </c>
      <c r="AC376" s="7">
        <f t="shared" si="50"/>
        <v>-2.4253187952899542E-3</v>
      </c>
      <c r="AD376" s="8">
        <f t="shared" si="51"/>
        <v>4.5870763142933091E-3</v>
      </c>
      <c r="AE376" s="9">
        <f t="shared" si="52"/>
        <v>7.3573527684975331E-3</v>
      </c>
      <c r="AF376" s="8">
        <f t="shared" si="53"/>
        <v>0.31529886238252863</v>
      </c>
      <c r="AG376" s="8">
        <f t="shared" si="54"/>
        <v>1.4625383504782532</v>
      </c>
      <c r="AH376" s="8">
        <f t="shared" si="55"/>
        <v>0.51536344014371638</v>
      </c>
      <c r="AI376" s="8">
        <f t="shared" si="56"/>
        <v>1.6117990486376044</v>
      </c>
      <c r="AJ376" s="8">
        <f t="shared" si="57"/>
        <v>8.8668968020640199E-2</v>
      </c>
      <c r="AK376" s="8">
        <f t="shared" si="58"/>
        <v>1.214875473741202</v>
      </c>
      <c r="AL376" s="8">
        <f t="shared" si="59"/>
        <v>7.3253549192972374</v>
      </c>
    </row>
    <row r="377" spans="1:38">
      <c r="A377" t="s">
        <v>1130</v>
      </c>
      <c r="B377" t="s">
        <v>1131</v>
      </c>
      <c r="C377" t="s">
        <v>65</v>
      </c>
      <c r="D377">
        <v>2</v>
      </c>
      <c r="E377" t="s">
        <v>1132</v>
      </c>
      <c r="F377">
        <v>-47.884</v>
      </c>
      <c r="G377">
        <v>-40.270000000000003</v>
      </c>
      <c r="H377">
        <v>2176.2150000000001</v>
      </c>
      <c r="I377">
        <v>222.41</v>
      </c>
      <c r="J377">
        <v>758.34699999999998</v>
      </c>
      <c r="K377">
        <v>348.3</v>
      </c>
      <c r="L377">
        <v>554.19500000000005</v>
      </c>
      <c r="M377">
        <v>204.15199999999999</v>
      </c>
      <c r="N377">
        <v>-44.406999999999996</v>
      </c>
      <c r="O377">
        <v>16.864999999999998</v>
      </c>
      <c r="P377">
        <v>0</v>
      </c>
      <c r="Q377">
        <v>0.32500000000000001</v>
      </c>
      <c r="R377">
        <v>495.96</v>
      </c>
      <c r="S377">
        <v>554.19500000000005</v>
      </c>
      <c r="T377">
        <v>790.63300000000004</v>
      </c>
      <c r="U377">
        <v>778.05700000000002</v>
      </c>
      <c r="V377">
        <v>614.89800000000002</v>
      </c>
      <c r="W377">
        <v>545.33500000000004</v>
      </c>
      <c r="X377">
        <v>28.13</v>
      </c>
      <c r="Y377">
        <v>2</v>
      </c>
      <c r="Z377" t="s">
        <v>62</v>
      </c>
      <c r="AA377" t="s">
        <v>677</v>
      </c>
      <c r="AB377" t="s">
        <v>34</v>
      </c>
      <c r="AC377" s="7">
        <f t="shared" si="50"/>
        <v>-6.1049665644582418E-2</v>
      </c>
      <c r="AD377" s="8">
        <f t="shared" si="51"/>
        <v>-1.8504605473264362E-2</v>
      </c>
      <c r="AE377" s="9">
        <f t="shared" si="52"/>
        <v>6.1895624931557723E-4</v>
      </c>
      <c r="AF377" s="8">
        <f t="shared" si="53"/>
        <v>0.25821335562770587</v>
      </c>
      <c r="AG377" s="8">
        <f t="shared" si="54"/>
        <v>1.4266332247674554</v>
      </c>
      <c r="AH377" s="8">
        <f t="shared" si="55"/>
        <v>0.70095101013997652</v>
      </c>
      <c r="AI377" s="8">
        <f t="shared" si="56"/>
        <v>1.3683757522171798</v>
      </c>
      <c r="AJ377" s="8">
        <f t="shared" si="57"/>
        <v>0.28130624449017433</v>
      </c>
      <c r="AK377" s="8">
        <f t="shared" si="58"/>
        <v>1.3683757522171798</v>
      </c>
      <c r="AL377" s="8">
        <f t="shared" si="59"/>
        <v>10.659778008542656</v>
      </c>
    </row>
    <row r="378" spans="1:38">
      <c r="A378" t="s">
        <v>1133</v>
      </c>
      <c r="B378" t="s">
        <v>1134</v>
      </c>
      <c r="C378" t="s">
        <v>55</v>
      </c>
      <c r="D378">
        <v>41</v>
      </c>
      <c r="E378" t="s">
        <v>1135</v>
      </c>
      <c r="F378">
        <v>9.077</v>
      </c>
      <c r="G378">
        <v>32.942</v>
      </c>
      <c r="H378">
        <v>2152.087</v>
      </c>
      <c r="I378">
        <v>147.69399999999999</v>
      </c>
      <c r="J378">
        <v>710.51900000000001</v>
      </c>
      <c r="K378">
        <v>0</v>
      </c>
      <c r="L378">
        <v>307.31900000000002</v>
      </c>
      <c r="M378">
        <v>403.2</v>
      </c>
      <c r="N378">
        <v>15.558999999999999</v>
      </c>
      <c r="O378">
        <v>268.601</v>
      </c>
      <c r="P378">
        <v>162.09</v>
      </c>
      <c r="Q378">
        <v>6.9619999999999997</v>
      </c>
      <c r="R378">
        <v>501.76299999999998</v>
      </c>
      <c r="S378">
        <v>469.40899999999999</v>
      </c>
      <c r="T378">
        <v>979.12</v>
      </c>
      <c r="U378">
        <v>944.46199999999999</v>
      </c>
      <c r="V378">
        <v>829.19</v>
      </c>
      <c r="W378">
        <v>790.58500000000004</v>
      </c>
      <c r="X378">
        <v>15.08</v>
      </c>
      <c r="Y378">
        <v>2</v>
      </c>
      <c r="Z378" t="s">
        <v>57</v>
      </c>
      <c r="AA378" t="s">
        <v>677</v>
      </c>
      <c r="AB378" t="s">
        <v>34</v>
      </c>
      <c r="AC378" s="7">
        <f t="shared" si="50"/>
        <v>9.4376013083923641E-3</v>
      </c>
      <c r="AD378" s="8">
        <f t="shared" si="51"/>
        <v>1.5307001993878501E-2</v>
      </c>
      <c r="AE378" s="9">
        <f t="shared" si="52"/>
        <v>1.4337316149971373E-2</v>
      </c>
      <c r="AF378" s="8">
        <f t="shared" si="53"/>
        <v>0.41179834953836097</v>
      </c>
      <c r="AG378" s="8">
        <f t="shared" si="54"/>
        <v>2.085856896650895</v>
      </c>
      <c r="AH378" s="8">
        <f t="shared" si="55"/>
        <v>0.31387266116512791</v>
      </c>
      <c r="AI378" s="8">
        <f t="shared" si="56"/>
        <v>2.3119917740198295</v>
      </c>
      <c r="AJ378" s="8">
        <f t="shared" si="57"/>
        <v>0.15084361467440149</v>
      </c>
      <c r="AK378" s="8">
        <f t="shared" si="58"/>
        <v>1.5136458823754977</v>
      </c>
      <c r="AL378" s="8">
        <f t="shared" si="59"/>
        <v>5.3375173611111109</v>
      </c>
    </row>
    <row r="379" spans="1:38">
      <c r="A379" t="s">
        <v>1136</v>
      </c>
      <c r="B379" t="s">
        <v>1137</v>
      </c>
      <c r="C379" t="s">
        <v>65</v>
      </c>
      <c r="D379">
        <v>7</v>
      </c>
      <c r="E379" t="s">
        <v>1138</v>
      </c>
      <c r="F379">
        <v>55.822000000000003</v>
      </c>
      <c r="G379">
        <v>97.215000000000003</v>
      </c>
      <c r="H379">
        <v>2107.9110000000001</v>
      </c>
      <c r="I379">
        <v>272.72500000000002</v>
      </c>
      <c r="J379">
        <v>859.58199999999999</v>
      </c>
      <c r="K379">
        <v>21.8</v>
      </c>
      <c r="L379">
        <v>539.04700000000003</v>
      </c>
      <c r="M379">
        <v>320.53500000000003</v>
      </c>
      <c r="N379">
        <v>83.75</v>
      </c>
      <c r="O379">
        <v>117.376</v>
      </c>
      <c r="P379">
        <v>0</v>
      </c>
      <c r="Q379">
        <v>0</v>
      </c>
      <c r="R379">
        <v>615.53800000000001</v>
      </c>
      <c r="S379">
        <v>539.04700000000003</v>
      </c>
      <c r="T379">
        <v>979.18499999999995</v>
      </c>
      <c r="U379">
        <v>985.21199999999999</v>
      </c>
      <c r="V379">
        <v>830.43600000000004</v>
      </c>
      <c r="W379">
        <v>793.53</v>
      </c>
      <c r="X379">
        <v>27.85</v>
      </c>
      <c r="Y379">
        <v>2</v>
      </c>
      <c r="Z379" t="s">
        <v>62</v>
      </c>
      <c r="AA379" t="s">
        <v>677</v>
      </c>
      <c r="AB379" t="s">
        <v>34</v>
      </c>
      <c r="AC379" s="7">
        <f t="shared" si="50"/>
        <v>5.6833725565657051E-2</v>
      </c>
      <c r="AD379" s="8">
        <f t="shared" si="51"/>
        <v>4.6119119830011795E-2</v>
      </c>
      <c r="AE379" s="9">
        <f t="shared" si="52"/>
        <v>0</v>
      </c>
      <c r="AF379" s="8">
        <f t="shared" si="53"/>
        <v>0.32734876453377049</v>
      </c>
      <c r="AG379" s="8">
        <f t="shared" si="54"/>
        <v>1.8165113617179947</v>
      </c>
      <c r="AH379" s="8">
        <f t="shared" si="55"/>
        <v>0.5505057777641611</v>
      </c>
      <c r="AI379" s="8">
        <f t="shared" si="56"/>
        <v>1.5946327500199424</v>
      </c>
      <c r="AJ379" s="8">
        <f t="shared" si="57"/>
        <v>0.27852244468614207</v>
      </c>
      <c r="AK379" s="8">
        <f t="shared" si="58"/>
        <v>1.5946327500199424</v>
      </c>
      <c r="AL379" s="8">
        <f t="shared" si="59"/>
        <v>6.5762272450746408</v>
      </c>
    </row>
    <row r="380" spans="1:38">
      <c r="A380" t="s">
        <v>1139</v>
      </c>
      <c r="B380" t="s">
        <v>1140</v>
      </c>
      <c r="C380" t="s">
        <v>42</v>
      </c>
      <c r="D380">
        <v>6</v>
      </c>
      <c r="E380" t="s">
        <v>1141</v>
      </c>
      <c r="F380">
        <v>39.314</v>
      </c>
      <c r="G380">
        <v>94.286000000000001</v>
      </c>
      <c r="H380">
        <v>2013.001</v>
      </c>
      <c r="I380">
        <v>91.331999999999994</v>
      </c>
      <c r="J380">
        <v>442.9</v>
      </c>
      <c r="K380">
        <v>0</v>
      </c>
      <c r="L380">
        <v>279.99200000000002</v>
      </c>
      <c r="M380">
        <v>162.90799999999999</v>
      </c>
      <c r="N380">
        <v>59.898000000000003</v>
      </c>
      <c r="O380">
        <v>198.71799999999999</v>
      </c>
      <c r="P380">
        <v>269.94799999999998</v>
      </c>
      <c r="Q380">
        <v>16.512</v>
      </c>
      <c r="R380">
        <v>580.58199999999999</v>
      </c>
      <c r="S380">
        <v>549.94000000000005</v>
      </c>
      <c r="T380">
        <v>661.4</v>
      </c>
      <c r="U380">
        <v>653.03200000000004</v>
      </c>
      <c r="V380">
        <v>560.94000000000005</v>
      </c>
      <c r="W380">
        <v>661.072</v>
      </c>
      <c r="X380">
        <v>13.81</v>
      </c>
      <c r="Y380">
        <v>2</v>
      </c>
      <c r="Z380" t="s">
        <v>44</v>
      </c>
      <c r="AA380" t="s">
        <v>677</v>
      </c>
      <c r="AB380" t="s">
        <v>34</v>
      </c>
      <c r="AC380" s="7">
        <f t="shared" si="50"/>
        <v>5.9818994059791603E-2</v>
      </c>
      <c r="AD380" s="8">
        <f t="shared" si="51"/>
        <v>4.6838526160692423E-2</v>
      </c>
      <c r="AE380" s="9">
        <f t="shared" si="52"/>
        <v>2.9211284698572874E-2</v>
      </c>
      <c r="AF380" s="8">
        <f t="shared" si="53"/>
        <v>0.24630783187178712</v>
      </c>
      <c r="AG380" s="8">
        <f t="shared" si="54"/>
        <v>1.20267665563516</v>
      </c>
      <c r="AH380" s="8">
        <f t="shared" si="55"/>
        <v>0.42333232537042642</v>
      </c>
      <c r="AI380" s="8">
        <f t="shared" si="56"/>
        <v>1.5818309094545557</v>
      </c>
      <c r="AJ380" s="8">
        <f t="shared" si="57"/>
        <v>0.1380889023283943</v>
      </c>
      <c r="AK380" s="8">
        <f t="shared" si="58"/>
        <v>0.80536058479106798</v>
      </c>
      <c r="AL380" s="8">
        <f t="shared" si="59"/>
        <v>12.356673705404278</v>
      </c>
    </row>
    <row r="381" spans="1:38">
      <c r="A381" t="s">
        <v>1142</v>
      </c>
      <c r="B381" t="s">
        <v>1143</v>
      </c>
      <c r="C381" t="s">
        <v>42</v>
      </c>
      <c r="D381">
        <v>24</v>
      </c>
      <c r="E381" t="s">
        <v>1144</v>
      </c>
      <c r="F381">
        <v>3.44</v>
      </c>
      <c r="G381">
        <v>9.7140000000000004</v>
      </c>
      <c r="H381">
        <v>1954.5889999999999</v>
      </c>
      <c r="I381">
        <v>86.492999999999995</v>
      </c>
      <c r="J381">
        <v>818.32399999999996</v>
      </c>
      <c r="K381">
        <v>195.946</v>
      </c>
      <c r="L381">
        <v>782.58799999999997</v>
      </c>
      <c r="M381">
        <v>35.735999999999997</v>
      </c>
      <c r="N381">
        <v>4.7880000000000003</v>
      </c>
      <c r="O381">
        <v>333.18099999999998</v>
      </c>
      <c r="P381">
        <v>249.43100000000001</v>
      </c>
      <c r="Q381">
        <v>5.0650000000000004</v>
      </c>
      <c r="R381">
        <v>596.40099999999995</v>
      </c>
      <c r="S381">
        <v>1032.019</v>
      </c>
      <c r="T381">
        <v>1279.777</v>
      </c>
      <c r="U381">
        <v>700.36800000000005</v>
      </c>
      <c r="V381">
        <v>542.15300000000002</v>
      </c>
      <c r="W381">
        <v>466.375</v>
      </c>
      <c r="X381">
        <v>6.76</v>
      </c>
      <c r="Y381">
        <v>2</v>
      </c>
      <c r="Z381" t="s">
        <v>44</v>
      </c>
      <c r="AA381" t="s">
        <v>677</v>
      </c>
      <c r="AB381" t="s">
        <v>34</v>
      </c>
      <c r="AC381" s="7">
        <f t="shared" si="50"/>
        <v>3.474493029550866E-3</v>
      </c>
      <c r="AD381" s="8">
        <f t="shared" si="51"/>
        <v>4.9698427648984011E-3</v>
      </c>
      <c r="AE381" s="9">
        <f t="shared" si="52"/>
        <v>6.220753859569399E-3</v>
      </c>
      <c r="AF381" s="8">
        <f t="shared" si="53"/>
        <v>2.7923614817268943E-2</v>
      </c>
      <c r="AG381" s="8">
        <f t="shared" si="54"/>
        <v>1.2400711614805542</v>
      </c>
      <c r="AH381" s="8">
        <f t="shared" si="55"/>
        <v>0.61150341035977351</v>
      </c>
      <c r="AI381" s="8">
        <f t="shared" si="56"/>
        <v>1.0456638742224516</v>
      </c>
      <c r="AJ381" s="8">
        <f t="shared" si="57"/>
        <v>6.7584430725040376E-2</v>
      </c>
      <c r="AK381" s="8">
        <f t="shared" si="58"/>
        <v>0.79293501379335063</v>
      </c>
      <c r="AL381" s="8">
        <f t="shared" si="59"/>
        <v>54.695237295724205</v>
      </c>
    </row>
    <row r="382" spans="1:38">
      <c r="A382" t="s">
        <v>1145</v>
      </c>
      <c r="B382" t="s">
        <v>1146</v>
      </c>
      <c r="C382" t="s">
        <v>55</v>
      </c>
      <c r="D382">
        <v>14</v>
      </c>
      <c r="E382" t="s">
        <v>1147</v>
      </c>
      <c r="F382">
        <v>24.885999999999999</v>
      </c>
      <c r="G382">
        <v>77.403999999999996</v>
      </c>
      <c r="H382">
        <v>1909.386</v>
      </c>
      <c r="I382">
        <v>253.46799999999999</v>
      </c>
      <c r="J382">
        <v>578.26199999999994</v>
      </c>
      <c r="K382">
        <v>217.92</v>
      </c>
      <c r="L382">
        <v>235.143</v>
      </c>
      <c r="M382">
        <v>343.11900000000003</v>
      </c>
      <c r="N382">
        <v>38.771000000000001</v>
      </c>
      <c r="O382">
        <v>94.811999999999998</v>
      </c>
      <c r="P382">
        <v>55.031999999999996</v>
      </c>
      <c r="Q382">
        <v>11.959</v>
      </c>
      <c r="R382">
        <v>287.37099999999998</v>
      </c>
      <c r="S382">
        <v>290.17500000000001</v>
      </c>
      <c r="T382">
        <v>690.101</v>
      </c>
      <c r="U382">
        <v>558.904</v>
      </c>
      <c r="V382">
        <v>443.15800000000002</v>
      </c>
      <c r="W382">
        <v>317.46199999999999</v>
      </c>
      <c r="X382">
        <v>36.729999999999997</v>
      </c>
      <c r="Y382">
        <v>2</v>
      </c>
      <c r="Z382" t="s">
        <v>57</v>
      </c>
      <c r="AA382" t="s">
        <v>677</v>
      </c>
      <c r="AB382" t="s">
        <v>34</v>
      </c>
      <c r="AC382" s="7">
        <f t="shared" si="50"/>
        <v>3.9849320058766777E-2</v>
      </c>
      <c r="AD382" s="8">
        <f t="shared" si="51"/>
        <v>4.0538686258305028E-2</v>
      </c>
      <c r="AE382" s="9">
        <f t="shared" si="52"/>
        <v>4.1413151506546661E-2</v>
      </c>
      <c r="AF382" s="8">
        <f t="shared" si="53"/>
        <v>0.49720113432671453</v>
      </c>
      <c r="AG382" s="8">
        <f t="shared" si="54"/>
        <v>2.378223485827518</v>
      </c>
      <c r="AH382" s="8">
        <f t="shared" si="55"/>
        <v>0.34073708051430152</v>
      </c>
      <c r="AI382" s="8">
        <f t="shared" si="56"/>
        <v>2.4591929166507187</v>
      </c>
      <c r="AJ382" s="8">
        <f t="shared" si="57"/>
        <v>0.36729116462662709</v>
      </c>
      <c r="AK382" s="8">
        <f t="shared" si="58"/>
        <v>1.9928043422072885</v>
      </c>
      <c r="AL382" s="8">
        <f t="shared" si="59"/>
        <v>5.56479238981228</v>
      </c>
    </row>
    <row r="383" spans="1:38">
      <c r="A383" t="s">
        <v>1148</v>
      </c>
      <c r="B383" t="s">
        <v>1149</v>
      </c>
      <c r="C383" t="s">
        <v>131</v>
      </c>
      <c r="D383">
        <v>0</v>
      </c>
      <c r="E383" t="s">
        <v>1150</v>
      </c>
      <c r="F383">
        <v>11.847</v>
      </c>
      <c r="G383">
        <v>46.518000000000001</v>
      </c>
      <c r="H383">
        <v>1886.135</v>
      </c>
      <c r="I383">
        <v>72.515000000000001</v>
      </c>
      <c r="J383">
        <v>412.83</v>
      </c>
      <c r="K383">
        <v>0</v>
      </c>
      <c r="L383">
        <v>373.904</v>
      </c>
      <c r="M383">
        <v>38.926000000000002</v>
      </c>
      <c r="N383">
        <v>32.018999999999998</v>
      </c>
      <c r="O383">
        <v>73.588999999999999</v>
      </c>
      <c r="P383">
        <v>0</v>
      </c>
      <c r="Q383">
        <v>1.292</v>
      </c>
      <c r="R383">
        <v>419.35</v>
      </c>
      <c r="S383">
        <v>373.904</v>
      </c>
      <c r="T383">
        <v>486.41899999999998</v>
      </c>
      <c r="U383">
        <v>510.01799999999997</v>
      </c>
      <c r="V383">
        <v>319.12200000000001</v>
      </c>
      <c r="W383">
        <v>167.792</v>
      </c>
      <c r="X383">
        <v>14.91</v>
      </c>
      <c r="Y383">
        <v>1</v>
      </c>
      <c r="Z383" t="s">
        <v>32</v>
      </c>
      <c r="AA383" t="s">
        <v>677</v>
      </c>
      <c r="AB383" t="s">
        <v>34</v>
      </c>
      <c r="AC383" s="7">
        <f t="shared" si="50"/>
        <v>2.3778723592158865E-2</v>
      </c>
      <c r="AD383" s="8">
        <f t="shared" si="51"/>
        <v>2.4663133868996653E-2</v>
      </c>
      <c r="AE383" s="9">
        <f t="shared" si="52"/>
        <v>3.2574686040032575E-3</v>
      </c>
      <c r="AF383" s="8">
        <f t="shared" si="53"/>
        <v>8.002565689251448E-2</v>
      </c>
      <c r="AG383" s="8">
        <f t="shared" si="54"/>
        <v>1.3009194873550429</v>
      </c>
      <c r="AH383" s="8">
        <f t="shared" si="55"/>
        <v>0.76868707842415696</v>
      </c>
      <c r="AI383" s="8">
        <f t="shared" si="56"/>
        <v>1.1041069365398604</v>
      </c>
      <c r="AJ383" s="8">
        <f t="shared" si="57"/>
        <v>0.14907929172174608</v>
      </c>
      <c r="AK383" s="8">
        <f t="shared" si="58"/>
        <v>1.1041069365398604</v>
      </c>
      <c r="AL383" s="8">
        <f t="shared" si="59"/>
        <v>48.454374967887787</v>
      </c>
    </row>
    <row r="384" spans="1:38">
      <c r="A384" t="s">
        <v>1151</v>
      </c>
      <c r="B384" t="s">
        <v>1152</v>
      </c>
      <c r="C384" t="s">
        <v>69</v>
      </c>
      <c r="D384">
        <v>5</v>
      </c>
      <c r="E384" t="s">
        <v>1153</v>
      </c>
      <c r="F384">
        <v>0.19</v>
      </c>
      <c r="G384">
        <v>21.309000000000001</v>
      </c>
      <c r="H384">
        <v>1789.8689999999999</v>
      </c>
      <c r="I384">
        <v>46.241</v>
      </c>
      <c r="J384">
        <v>340.19299999999998</v>
      </c>
      <c r="K384">
        <v>0</v>
      </c>
      <c r="L384">
        <v>291.51</v>
      </c>
      <c r="M384">
        <v>48.683</v>
      </c>
      <c r="N384">
        <v>8.7609999999999992</v>
      </c>
      <c r="O384">
        <v>25.852</v>
      </c>
      <c r="P384">
        <v>25.338000000000001</v>
      </c>
      <c r="Q384">
        <v>0.54400000000000004</v>
      </c>
      <c r="R384">
        <v>298.34899999999999</v>
      </c>
      <c r="S384">
        <v>316.84800000000001</v>
      </c>
      <c r="T384">
        <v>367.74400000000003</v>
      </c>
      <c r="U384">
        <v>352.24799999999999</v>
      </c>
      <c r="V384">
        <v>116.816</v>
      </c>
      <c r="W384">
        <v>119.508</v>
      </c>
      <c r="X384">
        <v>12.57</v>
      </c>
      <c r="Y384">
        <v>1</v>
      </c>
      <c r="Z384" t="s">
        <v>39</v>
      </c>
      <c r="AA384" t="s">
        <v>677</v>
      </c>
      <c r="AB384" t="s">
        <v>34</v>
      </c>
      <c r="AC384" s="7">
        <f t="shared" si="50"/>
        <v>5.2778364204046711E-4</v>
      </c>
      <c r="AD384" s="8">
        <f t="shared" si="51"/>
        <v>1.1905340558443105E-2</v>
      </c>
      <c r="AE384" s="9">
        <f t="shared" si="52"/>
        <v>1.7685391833835342E-3</v>
      </c>
      <c r="AF384" s="8">
        <f t="shared" si="53"/>
        <v>0.13238285328924468</v>
      </c>
      <c r="AG384" s="8">
        <f t="shared" si="54"/>
        <v>1.1606322274402869</v>
      </c>
      <c r="AH384" s="8">
        <f t="shared" si="55"/>
        <v>0.7926981813435432</v>
      </c>
      <c r="AI384" s="8">
        <f t="shared" si="56"/>
        <v>1.1670028472436622</v>
      </c>
      <c r="AJ384" s="8">
        <f t="shared" si="57"/>
        <v>0.12574236425339366</v>
      </c>
      <c r="AK384" s="8">
        <f t="shared" si="58"/>
        <v>1.0736788617886177</v>
      </c>
      <c r="AL384" s="8">
        <f t="shared" si="59"/>
        <v>36.765790933179957</v>
      </c>
    </row>
    <row r="385" spans="1:38">
      <c r="A385" t="s">
        <v>1154</v>
      </c>
      <c r="B385" t="s">
        <v>1155</v>
      </c>
      <c r="C385" t="s">
        <v>131</v>
      </c>
      <c r="D385">
        <v>14</v>
      </c>
      <c r="E385" t="s">
        <v>1156</v>
      </c>
      <c r="F385">
        <v>16.291</v>
      </c>
      <c r="G385">
        <v>48.085000000000001</v>
      </c>
      <c r="H385">
        <v>1728.7760000000001</v>
      </c>
      <c r="I385">
        <v>88.459000000000003</v>
      </c>
      <c r="J385">
        <v>408.25700000000001</v>
      </c>
      <c r="K385">
        <v>75.188000000000002</v>
      </c>
      <c r="L385">
        <v>410.76799999999997</v>
      </c>
      <c r="M385">
        <v>-2.5110000000000001</v>
      </c>
      <c r="N385">
        <v>27.702999999999999</v>
      </c>
      <c r="O385">
        <v>88.266999999999996</v>
      </c>
      <c r="P385">
        <v>0</v>
      </c>
      <c r="Q385">
        <v>0.52100000000000002</v>
      </c>
      <c r="R385">
        <v>417.755</v>
      </c>
      <c r="S385">
        <v>410.76799999999997</v>
      </c>
      <c r="T385">
        <v>525.69600000000003</v>
      </c>
      <c r="U385">
        <v>502.04399999999998</v>
      </c>
      <c r="V385">
        <v>145.923</v>
      </c>
      <c r="W385">
        <v>94.099000000000004</v>
      </c>
      <c r="X385">
        <v>16.829999999999998</v>
      </c>
      <c r="Y385">
        <v>1</v>
      </c>
      <c r="Z385" t="s">
        <v>32</v>
      </c>
      <c r="AA385" t="s">
        <v>677</v>
      </c>
      <c r="AB385" t="s">
        <v>34</v>
      </c>
      <c r="AC385" s="7">
        <f t="shared" si="50"/>
        <v>3.1702570689084789E-2</v>
      </c>
      <c r="AD385" s="8">
        <f t="shared" si="51"/>
        <v>2.7814476832163332E-2</v>
      </c>
      <c r="AE385" s="9">
        <f t="shared" si="52"/>
        <v>1.2576597149385113E-3</v>
      </c>
      <c r="AF385" s="8">
        <f t="shared" si="53"/>
        <v>-4.7765248356464573E-3</v>
      </c>
      <c r="AG385" s="8">
        <f t="shared" si="54"/>
        <v>1.2797881042340202</v>
      </c>
      <c r="AH385" s="8">
        <f t="shared" si="55"/>
        <v>0.7813793523252982</v>
      </c>
      <c r="AI385" s="8">
        <f t="shared" si="56"/>
        <v>0.99388706033576135</v>
      </c>
      <c r="AJ385" s="8">
        <f t="shared" si="57"/>
        <v>0.16827025505234963</v>
      </c>
      <c r="AK385" s="8">
        <f t="shared" si="58"/>
        <v>0.99388706033576135</v>
      </c>
      <c r="AL385" s="8">
        <f t="shared" si="59"/>
        <v>-688.48108323377141</v>
      </c>
    </row>
    <row r="386" spans="1:38">
      <c r="A386" t="s">
        <v>1157</v>
      </c>
      <c r="B386" t="s">
        <v>1158</v>
      </c>
      <c r="C386" t="s">
        <v>55</v>
      </c>
      <c r="D386">
        <v>18</v>
      </c>
      <c r="E386" t="s">
        <v>1159</v>
      </c>
      <c r="F386">
        <v>38.448999999999998</v>
      </c>
      <c r="G386">
        <v>52.69</v>
      </c>
      <c r="H386">
        <v>1656.4929999999999</v>
      </c>
      <c r="I386">
        <v>219.63800000000001</v>
      </c>
      <c r="J386">
        <v>1060.5229999999999</v>
      </c>
      <c r="K386">
        <v>170</v>
      </c>
      <c r="L386">
        <v>667.06</v>
      </c>
      <c r="M386">
        <v>393.46300000000002</v>
      </c>
      <c r="N386">
        <v>41.74</v>
      </c>
      <c r="O386">
        <v>5.0199999999999996</v>
      </c>
      <c r="P386">
        <v>118.72</v>
      </c>
      <c r="Q386">
        <v>10.95</v>
      </c>
      <c r="R386">
        <v>491.733</v>
      </c>
      <c r="S386">
        <v>785.78</v>
      </c>
      <c r="T386">
        <v>1065.5429999999999</v>
      </c>
      <c r="U386">
        <v>733.20799999999997</v>
      </c>
      <c r="V386">
        <v>461.15499999999997</v>
      </c>
      <c r="W386">
        <v>374.07400000000001</v>
      </c>
      <c r="X386">
        <v>20.61</v>
      </c>
      <c r="Y386">
        <v>2</v>
      </c>
      <c r="Z386" t="s">
        <v>57</v>
      </c>
      <c r="AA386" t="s">
        <v>677</v>
      </c>
      <c r="AB386" t="s">
        <v>34</v>
      </c>
      <c r="AC386" s="7">
        <f t="shared" si="50"/>
        <v>4.2750775399151973E-2</v>
      </c>
      <c r="AD386" s="8">
        <f t="shared" si="51"/>
        <v>3.1808163390971166E-2</v>
      </c>
      <c r="AE386" s="9">
        <f t="shared" si="52"/>
        <v>1.7142682696770991E-2</v>
      </c>
      <c r="AF386" s="8">
        <f t="shared" si="53"/>
        <v>0.36926055541634645</v>
      </c>
      <c r="AG386" s="8">
        <f t="shared" si="54"/>
        <v>1.3560322227595509</v>
      </c>
      <c r="AH386" s="8">
        <f t="shared" si="55"/>
        <v>0.62602823161524224</v>
      </c>
      <c r="AI386" s="8">
        <f t="shared" si="56"/>
        <v>1.5898464905705634</v>
      </c>
      <c r="AJ386" s="8">
        <f t="shared" si="57"/>
        <v>0.20612776772030789</v>
      </c>
      <c r="AK386" s="8">
        <f t="shared" si="58"/>
        <v>1.3496436661661024</v>
      </c>
      <c r="AL386" s="8">
        <f t="shared" si="59"/>
        <v>4.2100349969374502</v>
      </c>
    </row>
    <row r="387" spans="1:38">
      <c r="A387" t="s">
        <v>1160</v>
      </c>
      <c r="B387" t="s">
        <v>1161</v>
      </c>
      <c r="C387" t="s">
        <v>65</v>
      </c>
      <c r="D387">
        <v>25</v>
      </c>
      <c r="E387" t="s">
        <v>1162</v>
      </c>
      <c r="F387">
        <v>6.351</v>
      </c>
      <c r="G387">
        <v>64.58</v>
      </c>
      <c r="H387">
        <v>1611.8589999999999</v>
      </c>
      <c r="I387">
        <v>60.353999999999999</v>
      </c>
      <c r="J387">
        <v>546.99199999999996</v>
      </c>
      <c r="K387">
        <v>0</v>
      </c>
      <c r="L387">
        <v>464.47399999999999</v>
      </c>
      <c r="M387">
        <v>82.518000000000001</v>
      </c>
      <c r="N387">
        <v>39.500999999999998</v>
      </c>
      <c r="O387">
        <v>61.723999999999997</v>
      </c>
      <c r="P387">
        <v>82.888000000000005</v>
      </c>
      <c r="Q387">
        <v>1.52</v>
      </c>
      <c r="R387">
        <v>369.66800000000001</v>
      </c>
      <c r="S387">
        <v>547.36199999999997</v>
      </c>
      <c r="T387">
        <v>610.34299999999996</v>
      </c>
      <c r="U387">
        <v>429.20499999999998</v>
      </c>
      <c r="V387">
        <v>269.916</v>
      </c>
      <c r="W387">
        <v>163.29</v>
      </c>
      <c r="X387">
        <v>9.89</v>
      </c>
      <c r="Y387">
        <v>1</v>
      </c>
      <c r="Z387" t="s">
        <v>62</v>
      </c>
      <c r="AA387" t="s">
        <v>677</v>
      </c>
      <c r="AB387" t="s">
        <v>34</v>
      </c>
      <c r="AC387" s="7">
        <f t="shared" ref="AC387:AC415" si="60">F387/((T387+U387)/2)</f>
        <v>1.2218772004755914E-2</v>
      </c>
      <c r="AD387" s="8">
        <f t="shared" ref="AD387:AD415" si="61">G387/H387</f>
        <v>4.0065539231409202E-2</v>
      </c>
      <c r="AE387" s="9">
        <f t="shared" ref="AE387:AE415" si="62">Q387/((R387+S387)/2)</f>
        <v>3.3150496712212253E-3</v>
      </c>
      <c r="AF387" s="8">
        <f t="shared" ref="AF387:AF415" si="63">M387/T387</f>
        <v>0.13519938788517277</v>
      </c>
      <c r="AG387" s="8">
        <f t="shared" ref="AG387:AG415" si="64">T387/S387</f>
        <v>1.1150627920827534</v>
      </c>
      <c r="AH387" s="8">
        <f t="shared" ref="AH387:AH415" si="65">L387/T387</f>
        <v>0.76100487758522672</v>
      </c>
      <c r="AI387" s="8">
        <f t="shared" ref="AI387:AI415" si="66">J387/L387</f>
        <v>1.1776590293536344</v>
      </c>
      <c r="AJ387" s="8">
        <f t="shared" ref="AJ387:AJ415" si="67">I387/T387</f>
        <v>9.8885380843230772E-2</v>
      </c>
      <c r="AK387" s="8">
        <f t="shared" ref="AK387:AK415" si="68">J387/S387</f>
        <v>0.99932403053189667</v>
      </c>
      <c r="AL387" s="8">
        <f t="shared" ref="AL387:AL415" si="69">H387/M387</f>
        <v>19.533423010737049</v>
      </c>
    </row>
    <row r="388" spans="1:38">
      <c r="A388" t="s">
        <v>1163</v>
      </c>
      <c r="B388" t="s">
        <v>1164</v>
      </c>
      <c r="C388" t="s">
        <v>120</v>
      </c>
      <c r="D388">
        <v>7</v>
      </c>
      <c r="E388" t="s">
        <v>1165</v>
      </c>
      <c r="F388">
        <v>25.131</v>
      </c>
      <c r="G388">
        <v>81.335999999999999</v>
      </c>
      <c r="H388">
        <v>1569.76</v>
      </c>
      <c r="I388">
        <v>154.59800000000001</v>
      </c>
      <c r="J388">
        <v>174.679</v>
      </c>
      <c r="K388">
        <v>0</v>
      </c>
      <c r="L388">
        <v>35.066000000000003</v>
      </c>
      <c r="M388">
        <v>139.613</v>
      </c>
      <c r="N388">
        <v>66.361999999999995</v>
      </c>
      <c r="O388">
        <v>116.06</v>
      </c>
      <c r="P388">
        <v>101.075</v>
      </c>
      <c r="Q388">
        <v>0</v>
      </c>
      <c r="R388">
        <v>270.41500000000002</v>
      </c>
      <c r="S388">
        <v>136.14099999999999</v>
      </c>
      <c r="T388">
        <v>290.73899999999998</v>
      </c>
      <c r="U388">
        <v>436.49400000000003</v>
      </c>
      <c r="V388">
        <v>636.72799999999995</v>
      </c>
      <c r="W388">
        <v>149.291</v>
      </c>
      <c r="X388">
        <v>53.17</v>
      </c>
      <c r="Y388">
        <v>1</v>
      </c>
      <c r="Z388" t="s">
        <v>44</v>
      </c>
      <c r="AA388" t="s">
        <v>677</v>
      </c>
      <c r="AB388" t="s">
        <v>34</v>
      </c>
      <c r="AC388" s="7">
        <f t="shared" si="60"/>
        <v>6.911402535363495E-2</v>
      </c>
      <c r="AD388" s="8">
        <f t="shared" si="61"/>
        <v>5.1814290082560388E-2</v>
      </c>
      <c r="AE388" s="9">
        <f t="shared" si="62"/>
        <v>0</v>
      </c>
      <c r="AF388" s="8">
        <f t="shared" si="63"/>
        <v>0.48020045470335943</v>
      </c>
      <c r="AG388" s="8">
        <f t="shared" si="64"/>
        <v>2.1355726783261471</v>
      </c>
      <c r="AH388" s="8">
        <f t="shared" si="65"/>
        <v>0.12060989409745512</v>
      </c>
      <c r="AI388" s="8">
        <f t="shared" si="66"/>
        <v>4.9814350082701191</v>
      </c>
      <c r="AJ388" s="8">
        <f t="shared" si="67"/>
        <v>0.53174152762443305</v>
      </c>
      <c r="AK388" s="8">
        <f t="shared" si="68"/>
        <v>1.2830741657546221</v>
      </c>
      <c r="AL388" s="8">
        <f t="shared" si="69"/>
        <v>11.243652095435239</v>
      </c>
    </row>
    <row r="389" spans="1:38">
      <c r="A389" t="s">
        <v>1166</v>
      </c>
      <c r="B389" t="s">
        <v>1167</v>
      </c>
      <c r="C389" t="s">
        <v>86</v>
      </c>
      <c r="D389">
        <v>15</v>
      </c>
      <c r="E389" t="s">
        <v>1168</v>
      </c>
      <c r="F389">
        <v>36.465000000000003</v>
      </c>
      <c r="G389">
        <v>85.909000000000006</v>
      </c>
      <c r="H389">
        <v>1495.1110000000001</v>
      </c>
      <c r="I389">
        <v>534.66300000000001</v>
      </c>
      <c r="J389">
        <v>955.88800000000003</v>
      </c>
      <c r="K389">
        <v>136.26</v>
      </c>
      <c r="L389">
        <v>403.20800000000003</v>
      </c>
      <c r="M389">
        <v>552.67999999999995</v>
      </c>
      <c r="N389">
        <v>60.323</v>
      </c>
      <c r="O389">
        <v>120.19</v>
      </c>
      <c r="P389">
        <v>88.668999999999997</v>
      </c>
      <c r="Q389">
        <v>6.9349999999999996</v>
      </c>
      <c r="R389">
        <v>400.98700000000002</v>
      </c>
      <c r="S389">
        <v>491.87700000000001</v>
      </c>
      <c r="T389">
        <v>1090.7539999999999</v>
      </c>
      <c r="U389">
        <v>951.01800000000003</v>
      </c>
      <c r="V389">
        <v>1111.9280000000001</v>
      </c>
      <c r="W389">
        <v>481.74200000000002</v>
      </c>
      <c r="X389">
        <v>49.02</v>
      </c>
      <c r="Y389">
        <v>2</v>
      </c>
      <c r="Z389" t="s">
        <v>57</v>
      </c>
      <c r="AA389" t="s">
        <v>677</v>
      </c>
      <c r="AB389" t="s">
        <v>34</v>
      </c>
      <c r="AC389" s="7">
        <f t="shared" si="60"/>
        <v>3.5718973519080488E-2</v>
      </c>
      <c r="AD389" s="8">
        <f t="shared" si="61"/>
        <v>5.745994778982965E-2</v>
      </c>
      <c r="AE389" s="9">
        <f t="shared" si="62"/>
        <v>1.5534280696724247E-2</v>
      </c>
      <c r="AF389" s="8">
        <f t="shared" si="63"/>
        <v>0.50669536852489194</v>
      </c>
      <c r="AG389" s="8">
        <f t="shared" si="64"/>
        <v>2.2175340583113257</v>
      </c>
      <c r="AH389" s="8">
        <f t="shared" si="65"/>
        <v>0.36965988664721838</v>
      </c>
      <c r="AI389" s="8">
        <f t="shared" si="66"/>
        <v>2.3707069304180473</v>
      </c>
      <c r="AJ389" s="8">
        <f t="shared" si="67"/>
        <v>0.49017743689227822</v>
      </c>
      <c r="AK389" s="8">
        <f t="shared" si="68"/>
        <v>1.9433476255242672</v>
      </c>
      <c r="AL389" s="8">
        <f t="shared" si="69"/>
        <v>2.7052019251646526</v>
      </c>
    </row>
    <row r="390" spans="1:38">
      <c r="A390" t="s">
        <v>1169</v>
      </c>
      <c r="B390" t="s">
        <v>1170</v>
      </c>
      <c r="C390" t="s">
        <v>86</v>
      </c>
      <c r="D390">
        <v>2</v>
      </c>
      <c r="E390" t="s">
        <v>1171</v>
      </c>
      <c r="F390">
        <v>14.849</v>
      </c>
      <c r="G390">
        <v>32.042999999999999</v>
      </c>
      <c r="H390">
        <v>1468.6320000000001</v>
      </c>
      <c r="I390">
        <v>86.01</v>
      </c>
      <c r="J390">
        <v>209.631</v>
      </c>
      <c r="K390">
        <v>15</v>
      </c>
      <c r="L390">
        <v>151.88900000000001</v>
      </c>
      <c r="M390">
        <v>57.741999999999997</v>
      </c>
      <c r="N390">
        <v>22.251999999999999</v>
      </c>
      <c r="O390">
        <v>85.07</v>
      </c>
      <c r="P390">
        <v>52.344000000000001</v>
      </c>
      <c r="Q390">
        <v>1.117</v>
      </c>
      <c r="R390">
        <v>235.774</v>
      </c>
      <c r="S390">
        <v>204.233</v>
      </c>
      <c r="T390">
        <v>309.40199999999999</v>
      </c>
      <c r="U390">
        <v>322.76799999999997</v>
      </c>
      <c r="V390">
        <v>447.80200000000002</v>
      </c>
      <c r="W390">
        <v>222.75700000000001</v>
      </c>
      <c r="X390">
        <v>27.8</v>
      </c>
      <c r="Y390">
        <v>1</v>
      </c>
      <c r="Z390" t="s">
        <v>57</v>
      </c>
      <c r="AA390" t="s">
        <v>677</v>
      </c>
      <c r="AB390" t="s">
        <v>34</v>
      </c>
      <c r="AC390" s="7">
        <f t="shared" si="60"/>
        <v>4.6977869876773659E-2</v>
      </c>
      <c r="AD390" s="8">
        <f t="shared" si="61"/>
        <v>2.1818263526873986E-2</v>
      </c>
      <c r="AE390" s="9">
        <f t="shared" si="62"/>
        <v>5.0771919537643722E-3</v>
      </c>
      <c r="AF390" s="8">
        <f t="shared" si="63"/>
        <v>0.18662452084989756</v>
      </c>
      <c r="AG390" s="8">
        <f t="shared" si="64"/>
        <v>1.5149461644298423</v>
      </c>
      <c r="AH390" s="8">
        <f t="shared" si="65"/>
        <v>0.49091150024886721</v>
      </c>
      <c r="AI390" s="8">
        <f t="shared" si="66"/>
        <v>1.3801591952017591</v>
      </c>
      <c r="AJ390" s="8">
        <f t="shared" si="67"/>
        <v>0.27798786045339074</v>
      </c>
      <c r="AK390" s="8">
        <f t="shared" si="68"/>
        <v>1.0264305964266303</v>
      </c>
      <c r="AL390" s="8">
        <f t="shared" si="69"/>
        <v>25.434380520245231</v>
      </c>
    </row>
    <row r="391" spans="1:38">
      <c r="A391" t="s">
        <v>1172</v>
      </c>
      <c r="B391" t="s">
        <v>1173</v>
      </c>
      <c r="C391" t="s">
        <v>69</v>
      </c>
      <c r="D391">
        <v>6</v>
      </c>
      <c r="E391" t="s">
        <v>1174</v>
      </c>
      <c r="F391">
        <v>1.383</v>
      </c>
      <c r="G391">
        <v>7.6020000000000003</v>
      </c>
      <c r="H391">
        <v>1435.098</v>
      </c>
      <c r="I391">
        <v>28.626000000000001</v>
      </c>
      <c r="J391">
        <v>312.37900000000002</v>
      </c>
      <c r="K391">
        <v>0</v>
      </c>
      <c r="L391">
        <v>197.339</v>
      </c>
      <c r="M391">
        <v>115.04</v>
      </c>
      <c r="N391">
        <v>1.865</v>
      </c>
      <c r="O391">
        <v>0.46700000000000003</v>
      </c>
      <c r="P391">
        <v>16.882000000000001</v>
      </c>
      <c r="Q391">
        <v>1.1379999999999999</v>
      </c>
      <c r="R391">
        <v>252.23500000000001</v>
      </c>
      <c r="S391">
        <v>214.221</v>
      </c>
      <c r="T391">
        <v>313.72899999999998</v>
      </c>
      <c r="U391">
        <v>340.14800000000002</v>
      </c>
      <c r="V391">
        <v>483.95800000000003</v>
      </c>
      <c r="W391">
        <v>306.90100000000001</v>
      </c>
      <c r="X391">
        <v>9.1199999999999992</v>
      </c>
      <c r="Y391">
        <v>1</v>
      </c>
      <c r="Z391" t="s">
        <v>39</v>
      </c>
      <c r="AA391" t="s">
        <v>677</v>
      </c>
      <c r="AB391" t="s">
        <v>34</v>
      </c>
      <c r="AC391" s="7">
        <f t="shared" si="60"/>
        <v>4.2301533774700747E-3</v>
      </c>
      <c r="AD391" s="8">
        <f t="shared" si="61"/>
        <v>5.2971992156633212E-3</v>
      </c>
      <c r="AE391" s="9">
        <f t="shared" si="62"/>
        <v>4.8793455331263818E-3</v>
      </c>
      <c r="AF391" s="8">
        <f t="shared" si="63"/>
        <v>0.36668589770151949</v>
      </c>
      <c r="AG391" s="8">
        <f t="shared" si="64"/>
        <v>1.4645109489732564</v>
      </c>
      <c r="AH391" s="8">
        <f t="shared" si="65"/>
        <v>0.62901102543915288</v>
      </c>
      <c r="AI391" s="8">
        <f t="shared" si="66"/>
        <v>1.5829562326757509</v>
      </c>
      <c r="AJ391" s="8">
        <f t="shared" si="67"/>
        <v>9.1244354203787348E-2</v>
      </c>
      <c r="AK391" s="8">
        <f t="shared" si="68"/>
        <v>1.458209045798498</v>
      </c>
      <c r="AL391" s="8">
        <f t="shared" si="69"/>
        <v>12.474773991655075</v>
      </c>
    </row>
    <row r="392" spans="1:38">
      <c r="A392" t="s">
        <v>1175</v>
      </c>
      <c r="B392" t="s">
        <v>1176</v>
      </c>
      <c r="C392" t="s">
        <v>124</v>
      </c>
      <c r="D392">
        <v>13</v>
      </c>
      <c r="E392" t="s">
        <v>1177</v>
      </c>
      <c r="F392">
        <v>0.191</v>
      </c>
      <c r="G392">
        <v>36.420999999999999</v>
      </c>
      <c r="H392">
        <v>1413.7950000000001</v>
      </c>
      <c r="I392">
        <v>92.757000000000005</v>
      </c>
      <c r="J392">
        <v>199.14599999999999</v>
      </c>
      <c r="K392">
        <v>0</v>
      </c>
      <c r="L392">
        <v>182.04499999999999</v>
      </c>
      <c r="M392">
        <v>17.100999999999999</v>
      </c>
      <c r="N392">
        <v>13.366</v>
      </c>
      <c r="O392">
        <v>103.172</v>
      </c>
      <c r="P392">
        <v>0</v>
      </c>
      <c r="Q392">
        <v>7.6539999999999999</v>
      </c>
      <c r="R392">
        <v>258.98500000000001</v>
      </c>
      <c r="S392">
        <v>182.04499999999999</v>
      </c>
      <c r="T392">
        <v>302.31799999999998</v>
      </c>
      <c r="U392">
        <v>364.00200000000001</v>
      </c>
      <c r="V392">
        <v>103.50700000000001</v>
      </c>
      <c r="W392">
        <v>59.631</v>
      </c>
      <c r="X392">
        <v>30.68</v>
      </c>
      <c r="Y392">
        <v>1</v>
      </c>
      <c r="Z392" t="s">
        <v>62</v>
      </c>
      <c r="AA392" t="s">
        <v>677</v>
      </c>
      <c r="AB392" t="s">
        <v>34</v>
      </c>
      <c r="AC392" s="7">
        <f t="shared" si="60"/>
        <v>5.7329811501981038E-4</v>
      </c>
      <c r="AD392" s="8">
        <f t="shared" si="61"/>
        <v>2.5761160564296802E-2</v>
      </c>
      <c r="AE392" s="9">
        <f t="shared" si="62"/>
        <v>3.4709656939437228E-2</v>
      </c>
      <c r="AF392" s="8">
        <f t="shared" si="63"/>
        <v>5.6566264661713828E-2</v>
      </c>
      <c r="AG392" s="8">
        <f t="shared" si="64"/>
        <v>1.6606773050619352</v>
      </c>
      <c r="AH392" s="8">
        <f t="shared" si="65"/>
        <v>0.60216394657281402</v>
      </c>
      <c r="AI392" s="8">
        <f t="shared" si="66"/>
        <v>1.093938311955835</v>
      </c>
      <c r="AJ392" s="8">
        <f t="shared" si="67"/>
        <v>0.30681930946883751</v>
      </c>
      <c r="AK392" s="8">
        <f t="shared" si="68"/>
        <v>1.093938311955835</v>
      </c>
      <c r="AL392" s="8">
        <f t="shared" si="69"/>
        <v>82.673235483305078</v>
      </c>
    </row>
    <row r="393" spans="1:38">
      <c r="A393" t="s">
        <v>1178</v>
      </c>
      <c r="B393" t="s">
        <v>1179</v>
      </c>
      <c r="C393" t="s">
        <v>69</v>
      </c>
      <c r="D393">
        <v>1</v>
      </c>
      <c r="E393" t="s">
        <v>1180</v>
      </c>
      <c r="F393">
        <v>24.882000000000001</v>
      </c>
      <c r="G393">
        <v>77.001000000000005</v>
      </c>
      <c r="H393">
        <v>1383.848</v>
      </c>
      <c r="I393">
        <v>128.16499999999999</v>
      </c>
      <c r="J393">
        <v>543.38499999999999</v>
      </c>
      <c r="K393">
        <v>114.057</v>
      </c>
      <c r="L393">
        <v>408.089</v>
      </c>
      <c r="M393">
        <v>135.29599999999999</v>
      </c>
      <c r="N393">
        <v>50.811999999999998</v>
      </c>
      <c r="O393">
        <v>25.661999999999999</v>
      </c>
      <c r="P393">
        <v>40.668999999999997</v>
      </c>
      <c r="Q393">
        <v>9.6050000000000004</v>
      </c>
      <c r="R393">
        <v>283.96300000000002</v>
      </c>
      <c r="S393">
        <v>448.75799999999998</v>
      </c>
      <c r="T393">
        <v>576.94200000000001</v>
      </c>
      <c r="U393">
        <v>387.245</v>
      </c>
      <c r="V393">
        <v>219.886</v>
      </c>
      <c r="W393">
        <v>155.505</v>
      </c>
      <c r="X393">
        <v>22.21</v>
      </c>
      <c r="Y393">
        <v>1</v>
      </c>
      <c r="Z393" t="s">
        <v>39</v>
      </c>
      <c r="AA393" t="s">
        <v>677</v>
      </c>
      <c r="AB393" t="s">
        <v>34</v>
      </c>
      <c r="AC393" s="7">
        <f t="shared" si="60"/>
        <v>5.1612394691071338E-2</v>
      </c>
      <c r="AD393" s="8">
        <f t="shared" si="61"/>
        <v>5.5642671738514643E-2</v>
      </c>
      <c r="AE393" s="9">
        <f t="shared" si="62"/>
        <v>2.6217346029389087E-2</v>
      </c>
      <c r="AF393" s="8">
        <f t="shared" si="63"/>
        <v>0.23450537489037024</v>
      </c>
      <c r="AG393" s="8">
        <f t="shared" si="64"/>
        <v>1.2856417044375812</v>
      </c>
      <c r="AH393" s="8">
        <f t="shared" si="65"/>
        <v>0.70733106620769504</v>
      </c>
      <c r="AI393" s="8">
        <f t="shared" si="66"/>
        <v>1.3315355228883896</v>
      </c>
      <c r="AJ393" s="8">
        <f t="shared" si="67"/>
        <v>0.22214538029819286</v>
      </c>
      <c r="AK393" s="8">
        <f t="shared" si="68"/>
        <v>1.2108642074347422</v>
      </c>
      <c r="AL393" s="8">
        <f t="shared" si="69"/>
        <v>10.228299432355724</v>
      </c>
    </row>
    <row r="394" spans="1:38">
      <c r="A394" t="s">
        <v>1181</v>
      </c>
      <c r="B394" t="s">
        <v>1182</v>
      </c>
      <c r="C394" t="s">
        <v>69</v>
      </c>
      <c r="D394">
        <v>3</v>
      </c>
      <c r="E394" t="s">
        <v>1183</v>
      </c>
      <c r="F394">
        <v>4.4660000000000002</v>
      </c>
      <c r="G394">
        <v>34.057000000000002</v>
      </c>
      <c r="H394">
        <v>1277.451</v>
      </c>
      <c r="I394">
        <v>53.311999999999998</v>
      </c>
      <c r="J394">
        <v>296.512</v>
      </c>
      <c r="K394">
        <v>18.056000000000001</v>
      </c>
      <c r="L394">
        <v>178.56200000000001</v>
      </c>
      <c r="M394">
        <v>117.95</v>
      </c>
      <c r="N394">
        <v>13.423</v>
      </c>
      <c r="O394">
        <v>36.704000000000001</v>
      </c>
      <c r="P394">
        <v>73.977999999999994</v>
      </c>
      <c r="Q394">
        <v>4.9589999999999996</v>
      </c>
      <c r="R394">
        <v>294.113</v>
      </c>
      <c r="S394">
        <v>252.54</v>
      </c>
      <c r="T394">
        <v>351.73399999999998</v>
      </c>
      <c r="U394">
        <v>381.09899999999999</v>
      </c>
      <c r="V394">
        <v>374.18</v>
      </c>
      <c r="W394">
        <v>335.91899999999998</v>
      </c>
      <c r="X394">
        <v>15.16</v>
      </c>
      <c r="Y394">
        <v>1</v>
      </c>
      <c r="Z394" t="s">
        <v>39</v>
      </c>
      <c r="AA394" t="s">
        <v>677</v>
      </c>
      <c r="AB394" t="s">
        <v>34</v>
      </c>
      <c r="AC394" s="7">
        <f t="shared" si="60"/>
        <v>1.218831575543132E-2</v>
      </c>
      <c r="AD394" s="8">
        <f t="shared" si="61"/>
        <v>2.6660122384341945E-2</v>
      </c>
      <c r="AE394" s="9">
        <f t="shared" si="62"/>
        <v>1.8143136505241898E-2</v>
      </c>
      <c r="AF394" s="8">
        <f t="shared" si="63"/>
        <v>0.33533863658332719</v>
      </c>
      <c r="AG394" s="8">
        <f t="shared" si="64"/>
        <v>1.3927853013384017</v>
      </c>
      <c r="AH394" s="8">
        <f t="shared" si="65"/>
        <v>0.50766204006436688</v>
      </c>
      <c r="AI394" s="8">
        <f t="shared" si="66"/>
        <v>1.6605548772975212</v>
      </c>
      <c r="AJ394" s="8">
        <f t="shared" si="67"/>
        <v>0.15156908345511097</v>
      </c>
      <c r="AK394" s="8">
        <f t="shared" si="68"/>
        <v>1.1741189514532351</v>
      </c>
      <c r="AL394" s="8">
        <f t="shared" si="69"/>
        <v>10.830445103857567</v>
      </c>
    </row>
    <row r="395" spans="1:38">
      <c r="A395" t="s">
        <v>1184</v>
      </c>
      <c r="B395" t="s">
        <v>1185</v>
      </c>
      <c r="C395" t="s">
        <v>65</v>
      </c>
      <c r="D395">
        <v>15</v>
      </c>
      <c r="E395" t="s">
        <v>1186</v>
      </c>
      <c r="F395">
        <v>6.218</v>
      </c>
      <c r="G395">
        <v>13.801</v>
      </c>
      <c r="H395">
        <v>1268.7470000000001</v>
      </c>
      <c r="I395">
        <v>48.499000000000002</v>
      </c>
      <c r="J395">
        <v>325.34500000000003</v>
      </c>
      <c r="K395">
        <v>0</v>
      </c>
      <c r="L395">
        <v>183.34399999999999</v>
      </c>
      <c r="M395">
        <v>142.001</v>
      </c>
      <c r="N395">
        <v>7.3630000000000004</v>
      </c>
      <c r="O395">
        <v>4.6980000000000004</v>
      </c>
      <c r="P395">
        <v>59.368000000000002</v>
      </c>
      <c r="Q395">
        <v>0.86699999999999999</v>
      </c>
      <c r="R395">
        <v>218.45400000000001</v>
      </c>
      <c r="S395">
        <v>242.71199999999999</v>
      </c>
      <c r="T395">
        <v>364.00200000000001</v>
      </c>
      <c r="U395">
        <v>329.27499999999998</v>
      </c>
      <c r="V395">
        <v>247.447</v>
      </c>
      <c r="W395">
        <v>228.06100000000001</v>
      </c>
      <c r="X395">
        <v>13.32</v>
      </c>
      <c r="Y395">
        <v>1</v>
      </c>
      <c r="Z395" t="s">
        <v>62</v>
      </c>
      <c r="AA395" t="s">
        <v>677</v>
      </c>
      <c r="AB395" t="s">
        <v>34</v>
      </c>
      <c r="AC395" s="7">
        <f t="shared" si="60"/>
        <v>1.7937995923707262E-2</v>
      </c>
      <c r="AD395" s="8">
        <f t="shared" si="61"/>
        <v>1.0877661188558475E-2</v>
      </c>
      <c r="AE395" s="9">
        <f t="shared" si="62"/>
        <v>3.7600343477186089E-3</v>
      </c>
      <c r="AF395" s="8">
        <f t="shared" si="63"/>
        <v>0.3901104938983852</v>
      </c>
      <c r="AG395" s="8">
        <f t="shared" si="64"/>
        <v>1.499728072777613</v>
      </c>
      <c r="AH395" s="8">
        <f t="shared" si="65"/>
        <v>0.50368954016736167</v>
      </c>
      <c r="AI395" s="8">
        <f t="shared" si="66"/>
        <v>1.7745058469325423</v>
      </c>
      <c r="AJ395" s="8">
        <f t="shared" si="67"/>
        <v>0.13323827891055545</v>
      </c>
      <c r="AK395" s="8">
        <f t="shared" si="68"/>
        <v>1.3404570025379876</v>
      </c>
      <c r="AL395" s="8">
        <f t="shared" si="69"/>
        <v>8.9347751072175559</v>
      </c>
    </row>
    <row r="396" spans="1:38">
      <c r="A396" t="s">
        <v>1187</v>
      </c>
      <c r="B396" t="s">
        <v>1188</v>
      </c>
      <c r="C396" t="s">
        <v>69</v>
      </c>
      <c r="D396">
        <v>4</v>
      </c>
      <c r="E396" t="s">
        <v>1189</v>
      </c>
      <c r="F396">
        <v>18.547999999999998</v>
      </c>
      <c r="G396">
        <v>69.635000000000005</v>
      </c>
      <c r="H396">
        <v>1259.9670000000001</v>
      </c>
      <c r="I396">
        <v>135.68199999999999</v>
      </c>
      <c r="J396">
        <v>328.84899999999999</v>
      </c>
      <c r="K396">
        <v>62.75</v>
      </c>
      <c r="L396">
        <v>342.88200000000001</v>
      </c>
      <c r="M396">
        <v>-14.032999999999999</v>
      </c>
      <c r="N396">
        <v>30.417000000000002</v>
      </c>
      <c r="O396">
        <v>175.31100000000001</v>
      </c>
      <c r="P396">
        <v>0</v>
      </c>
      <c r="Q396">
        <v>10.913</v>
      </c>
      <c r="R396">
        <v>330.57100000000003</v>
      </c>
      <c r="S396">
        <v>342.88200000000001</v>
      </c>
      <c r="T396">
        <v>506.19400000000002</v>
      </c>
      <c r="U396">
        <v>378.84399999999999</v>
      </c>
      <c r="V396">
        <v>330.50299999999999</v>
      </c>
      <c r="W396">
        <v>248.072</v>
      </c>
      <c r="X396">
        <v>26.8</v>
      </c>
      <c r="Y396">
        <v>1</v>
      </c>
      <c r="Z396" t="s">
        <v>39</v>
      </c>
      <c r="AA396" t="s">
        <v>677</v>
      </c>
      <c r="AB396" t="s">
        <v>34</v>
      </c>
      <c r="AC396" s="7">
        <f t="shared" si="60"/>
        <v>4.1914584458520421E-2</v>
      </c>
      <c r="AD396" s="8">
        <f t="shared" si="61"/>
        <v>5.5267320493314509E-2</v>
      </c>
      <c r="AE396" s="9">
        <f t="shared" si="62"/>
        <v>3.2409091651533217E-2</v>
      </c>
      <c r="AF396" s="8">
        <f t="shared" si="63"/>
        <v>-2.7722572768543285E-2</v>
      </c>
      <c r="AG396" s="8">
        <f t="shared" si="64"/>
        <v>1.4762921354868439</v>
      </c>
      <c r="AH396" s="8">
        <f t="shared" si="65"/>
        <v>0.67737270690683804</v>
      </c>
      <c r="AI396" s="8">
        <f t="shared" si="66"/>
        <v>0.95907338384633778</v>
      </c>
      <c r="AJ396" s="8">
        <f t="shared" si="67"/>
        <v>0.26804347740194467</v>
      </c>
      <c r="AK396" s="8">
        <f t="shared" si="68"/>
        <v>0.95907338384633778</v>
      </c>
      <c r="AL396" s="8">
        <f t="shared" si="69"/>
        <v>-89.786004418157205</v>
      </c>
    </row>
    <row r="397" spans="1:38">
      <c r="A397" t="s">
        <v>1190</v>
      </c>
      <c r="B397" t="s">
        <v>1191</v>
      </c>
      <c r="C397" t="s">
        <v>42</v>
      </c>
      <c r="D397">
        <v>5</v>
      </c>
      <c r="E397" t="s">
        <v>1192</v>
      </c>
      <c r="F397">
        <v>49.923000000000002</v>
      </c>
      <c r="G397">
        <v>103.13500000000001</v>
      </c>
      <c r="H397">
        <v>1218.0540000000001</v>
      </c>
      <c r="I397">
        <v>287.31299999999999</v>
      </c>
      <c r="J397">
        <v>357.59899999999999</v>
      </c>
      <c r="K397">
        <v>44.9</v>
      </c>
      <c r="L397">
        <v>145.62100000000001</v>
      </c>
      <c r="M397">
        <v>211.97800000000001</v>
      </c>
      <c r="N397">
        <v>69.884</v>
      </c>
      <c r="O397">
        <v>99.834000000000003</v>
      </c>
      <c r="P397">
        <v>18.385000000000002</v>
      </c>
      <c r="Q397">
        <v>0.22600000000000001</v>
      </c>
      <c r="R397">
        <v>126.717</v>
      </c>
      <c r="S397">
        <v>164.006</v>
      </c>
      <c r="T397">
        <v>459.49099999999999</v>
      </c>
      <c r="U397">
        <v>389.495</v>
      </c>
      <c r="V397">
        <v>302.54899999999998</v>
      </c>
      <c r="W397">
        <v>164.73699999999999</v>
      </c>
      <c r="X397">
        <v>62.53</v>
      </c>
      <c r="Y397">
        <v>1</v>
      </c>
      <c r="Z397" t="s">
        <v>44</v>
      </c>
      <c r="AA397" t="s">
        <v>677</v>
      </c>
      <c r="AB397" t="s">
        <v>34</v>
      </c>
      <c r="AC397" s="7">
        <f t="shared" si="60"/>
        <v>0.117606179607202</v>
      </c>
      <c r="AD397" s="8">
        <f t="shared" si="61"/>
        <v>8.467194393680412E-2</v>
      </c>
      <c r="AE397" s="9">
        <f t="shared" si="62"/>
        <v>1.5547445506547469E-3</v>
      </c>
      <c r="AF397" s="8">
        <f t="shared" si="63"/>
        <v>0.46133221325336082</v>
      </c>
      <c r="AG397" s="8">
        <f t="shared" si="64"/>
        <v>2.8016718900528028</v>
      </c>
      <c r="AH397" s="8">
        <f t="shared" si="65"/>
        <v>0.31691806803615308</v>
      </c>
      <c r="AI397" s="8">
        <f t="shared" si="66"/>
        <v>2.4556829028780189</v>
      </c>
      <c r="AJ397" s="8">
        <f t="shared" si="67"/>
        <v>0.62528537011606322</v>
      </c>
      <c r="AK397" s="8">
        <f t="shared" si="68"/>
        <v>2.1804019365145177</v>
      </c>
      <c r="AL397" s="8">
        <f t="shared" si="69"/>
        <v>5.7461340327769861</v>
      </c>
    </row>
    <row r="398" spans="1:38">
      <c r="A398" t="s">
        <v>1193</v>
      </c>
      <c r="B398" t="s">
        <v>1194</v>
      </c>
      <c r="C398" t="s">
        <v>221</v>
      </c>
      <c r="D398">
        <v>7</v>
      </c>
      <c r="E398" t="s">
        <v>1195</v>
      </c>
      <c r="F398">
        <v>13.677</v>
      </c>
      <c r="G398">
        <v>28.141999999999999</v>
      </c>
      <c r="H398">
        <v>1203.4559999999999</v>
      </c>
      <c r="I398">
        <v>87.569000000000003</v>
      </c>
      <c r="J398">
        <v>530.15800000000002</v>
      </c>
      <c r="K398">
        <v>15.45</v>
      </c>
      <c r="L398">
        <v>484.17599999999999</v>
      </c>
      <c r="M398">
        <v>45.981999999999999</v>
      </c>
      <c r="N398">
        <v>20.001000000000001</v>
      </c>
      <c r="O398">
        <v>67.691000000000003</v>
      </c>
      <c r="P398">
        <v>0</v>
      </c>
      <c r="Q398">
        <v>0.19600000000000001</v>
      </c>
      <c r="R398">
        <v>362.30900000000003</v>
      </c>
      <c r="S398">
        <v>484.17599999999999</v>
      </c>
      <c r="T398">
        <v>598.66999999999996</v>
      </c>
      <c r="U398">
        <v>454.76799999999997</v>
      </c>
      <c r="V398">
        <v>353.03</v>
      </c>
      <c r="W398">
        <v>122.488</v>
      </c>
      <c r="X398">
        <v>14.63</v>
      </c>
      <c r="Y398">
        <v>1</v>
      </c>
      <c r="Z398" t="s">
        <v>62</v>
      </c>
      <c r="AA398" t="s">
        <v>677</v>
      </c>
      <c r="AB398" t="s">
        <v>34</v>
      </c>
      <c r="AC398" s="7">
        <f t="shared" si="60"/>
        <v>2.5966407135493502E-2</v>
      </c>
      <c r="AD398" s="8">
        <f t="shared" si="61"/>
        <v>2.338431982556903E-2</v>
      </c>
      <c r="AE398" s="9">
        <f t="shared" si="62"/>
        <v>4.6309149010319143E-4</v>
      </c>
      <c r="AF398" s="8">
        <f t="shared" si="63"/>
        <v>7.680692201045651E-2</v>
      </c>
      <c r="AG398" s="8">
        <f t="shared" si="64"/>
        <v>1.2364718614718615</v>
      </c>
      <c r="AH398" s="8">
        <f t="shared" si="65"/>
        <v>0.80875273522975932</v>
      </c>
      <c r="AI398" s="8">
        <f t="shared" si="66"/>
        <v>1.0949695978321934</v>
      </c>
      <c r="AJ398" s="8">
        <f t="shared" si="67"/>
        <v>0.14627257086541837</v>
      </c>
      <c r="AK398" s="8">
        <f t="shared" si="68"/>
        <v>1.0949695978321934</v>
      </c>
      <c r="AL398" s="8">
        <f t="shared" si="69"/>
        <v>26.172328302379189</v>
      </c>
    </row>
    <row r="399" spans="1:38">
      <c r="A399" t="s">
        <v>1196</v>
      </c>
      <c r="B399" t="s">
        <v>1197</v>
      </c>
      <c r="C399" t="s">
        <v>60</v>
      </c>
      <c r="D399">
        <v>3</v>
      </c>
      <c r="E399" t="s">
        <v>1198</v>
      </c>
      <c r="F399">
        <v>38.521999999999998</v>
      </c>
      <c r="G399">
        <v>65.911000000000001</v>
      </c>
      <c r="H399">
        <v>1190.597</v>
      </c>
      <c r="I399">
        <v>141.14699999999999</v>
      </c>
      <c r="J399">
        <v>419.11</v>
      </c>
      <c r="K399">
        <v>61.725999999999999</v>
      </c>
      <c r="L399">
        <v>295.44799999999998</v>
      </c>
      <c r="M399">
        <v>123.66200000000001</v>
      </c>
      <c r="N399">
        <v>45.972999999999999</v>
      </c>
      <c r="O399">
        <v>28.2</v>
      </c>
      <c r="P399">
        <v>0</v>
      </c>
      <c r="Q399">
        <v>2.7040000000000002</v>
      </c>
      <c r="R399">
        <v>322.13200000000001</v>
      </c>
      <c r="S399">
        <v>295.44799999999998</v>
      </c>
      <c r="T399">
        <v>449.197</v>
      </c>
      <c r="U399">
        <v>428.67399999999998</v>
      </c>
      <c r="V399">
        <v>202.53</v>
      </c>
      <c r="W399">
        <v>167.977</v>
      </c>
      <c r="X399">
        <v>31.42</v>
      </c>
      <c r="Y399">
        <v>1</v>
      </c>
      <c r="Z399" t="s">
        <v>62</v>
      </c>
      <c r="AA399" t="s">
        <v>677</v>
      </c>
      <c r="AB399" t="s">
        <v>34</v>
      </c>
      <c r="AC399" s="7">
        <f t="shared" si="60"/>
        <v>8.7762324988523363E-2</v>
      </c>
      <c r="AD399" s="8">
        <f t="shared" si="61"/>
        <v>5.5359622105548734E-2</v>
      </c>
      <c r="AE399" s="9">
        <f t="shared" si="62"/>
        <v>8.7567602577803706E-3</v>
      </c>
      <c r="AF399" s="8">
        <f t="shared" si="63"/>
        <v>0.27529569431674744</v>
      </c>
      <c r="AG399" s="8">
        <f t="shared" si="64"/>
        <v>1.5203927594703637</v>
      </c>
      <c r="AH399" s="8">
        <f t="shared" si="65"/>
        <v>0.65772478444869398</v>
      </c>
      <c r="AI399" s="8">
        <f t="shared" si="66"/>
        <v>1.4185575803525494</v>
      </c>
      <c r="AJ399" s="8">
        <f t="shared" si="67"/>
        <v>0.31422070939921681</v>
      </c>
      <c r="AK399" s="8">
        <f t="shared" si="68"/>
        <v>1.4185575803525494</v>
      </c>
      <c r="AL399" s="8">
        <f t="shared" si="69"/>
        <v>9.6278323171224791</v>
      </c>
    </row>
    <row r="400" spans="1:38">
      <c r="A400" t="s">
        <v>1199</v>
      </c>
      <c r="B400" t="s">
        <v>1200</v>
      </c>
      <c r="C400" t="s">
        <v>65</v>
      </c>
      <c r="D400">
        <v>3</v>
      </c>
      <c r="E400" t="s">
        <v>1201</v>
      </c>
      <c r="F400">
        <v>15.893000000000001</v>
      </c>
      <c r="G400">
        <v>30.783000000000001</v>
      </c>
      <c r="H400">
        <v>1179.473</v>
      </c>
      <c r="I400">
        <v>119.087</v>
      </c>
      <c r="J400">
        <v>362.64499999999998</v>
      </c>
      <c r="K400">
        <v>37.064999999999998</v>
      </c>
      <c r="L400">
        <v>235.79</v>
      </c>
      <c r="M400">
        <v>126.855</v>
      </c>
      <c r="N400">
        <v>17.184999999999999</v>
      </c>
      <c r="O400">
        <v>3.3330000000000002</v>
      </c>
      <c r="P400">
        <v>0</v>
      </c>
      <c r="Q400">
        <v>1.7000000000000001E-2</v>
      </c>
      <c r="R400">
        <v>251.14099999999999</v>
      </c>
      <c r="S400">
        <v>235.79</v>
      </c>
      <c r="T400">
        <v>366.49599999999998</v>
      </c>
      <c r="U400">
        <v>362.84500000000003</v>
      </c>
      <c r="V400">
        <v>254.95</v>
      </c>
      <c r="W400">
        <v>243.27500000000001</v>
      </c>
      <c r="X400">
        <v>32.49</v>
      </c>
      <c r="Y400">
        <v>1</v>
      </c>
      <c r="Z400" t="s">
        <v>62</v>
      </c>
      <c r="AA400" t="s">
        <v>677</v>
      </c>
      <c r="AB400" t="s">
        <v>34</v>
      </c>
      <c r="AC400" s="7">
        <f t="shared" si="60"/>
        <v>4.3581808783545693E-2</v>
      </c>
      <c r="AD400" s="8">
        <f t="shared" si="61"/>
        <v>2.6098944189481235E-2</v>
      </c>
      <c r="AE400" s="9">
        <f t="shared" si="62"/>
        <v>6.9825088154173797E-5</v>
      </c>
      <c r="AF400" s="8">
        <f t="shared" si="63"/>
        <v>0.34612928926918712</v>
      </c>
      <c r="AG400" s="8">
        <f t="shared" si="64"/>
        <v>1.5543322447940964</v>
      </c>
      <c r="AH400" s="8">
        <f t="shared" si="65"/>
        <v>0.6433630926394831</v>
      </c>
      <c r="AI400" s="8">
        <f t="shared" si="66"/>
        <v>1.5379999151787607</v>
      </c>
      <c r="AJ400" s="8">
        <f t="shared" si="67"/>
        <v>0.32493396926569462</v>
      </c>
      <c r="AK400" s="8">
        <f t="shared" si="68"/>
        <v>1.5379999151787607</v>
      </c>
      <c r="AL400" s="8">
        <f t="shared" si="69"/>
        <v>9.2978045800323201</v>
      </c>
    </row>
    <row r="401" spans="1:38">
      <c r="A401" t="s">
        <v>1202</v>
      </c>
      <c r="B401" t="s">
        <v>1203</v>
      </c>
      <c r="C401" t="s">
        <v>124</v>
      </c>
      <c r="D401">
        <v>17</v>
      </c>
      <c r="E401" t="s">
        <v>1204</v>
      </c>
      <c r="F401">
        <v>-5.7949999999999999</v>
      </c>
      <c r="G401">
        <v>10.497</v>
      </c>
      <c r="H401">
        <v>1107.02</v>
      </c>
      <c r="I401">
        <v>75.537000000000006</v>
      </c>
      <c r="J401">
        <v>342.99700000000001</v>
      </c>
      <c r="K401">
        <v>12.2</v>
      </c>
      <c r="L401">
        <v>275.488</v>
      </c>
      <c r="M401">
        <v>67.509</v>
      </c>
      <c r="N401">
        <v>-0.42299999999999999</v>
      </c>
      <c r="O401">
        <v>38.622</v>
      </c>
      <c r="P401">
        <v>0</v>
      </c>
      <c r="Q401">
        <v>0.218</v>
      </c>
      <c r="R401">
        <v>178.316</v>
      </c>
      <c r="S401">
        <v>275.488</v>
      </c>
      <c r="T401">
        <v>381.61900000000003</v>
      </c>
      <c r="U401">
        <v>290.89699999999999</v>
      </c>
      <c r="V401">
        <v>217.03</v>
      </c>
      <c r="W401">
        <v>127.536</v>
      </c>
      <c r="X401">
        <v>19.79</v>
      </c>
      <c r="Y401">
        <v>1</v>
      </c>
      <c r="Z401" t="s">
        <v>62</v>
      </c>
      <c r="AA401" t="s">
        <v>677</v>
      </c>
      <c r="AB401" t="s">
        <v>34</v>
      </c>
      <c r="AC401" s="7">
        <f t="shared" si="60"/>
        <v>-1.7233790720220781E-2</v>
      </c>
      <c r="AD401" s="8">
        <f t="shared" si="61"/>
        <v>9.4822135101443519E-3</v>
      </c>
      <c r="AE401" s="9">
        <f t="shared" si="62"/>
        <v>9.6076720346228777E-4</v>
      </c>
      <c r="AF401" s="8">
        <f t="shared" si="63"/>
        <v>0.17690156936630513</v>
      </c>
      <c r="AG401" s="8">
        <f t="shared" si="64"/>
        <v>1.385247270298525</v>
      </c>
      <c r="AH401" s="8">
        <f t="shared" si="65"/>
        <v>0.72189277787531536</v>
      </c>
      <c r="AI401" s="8">
        <f t="shared" si="66"/>
        <v>1.2450524160761993</v>
      </c>
      <c r="AJ401" s="8">
        <f t="shared" si="67"/>
        <v>0.19793825779114771</v>
      </c>
      <c r="AK401" s="8">
        <f t="shared" si="68"/>
        <v>1.2450524160761993</v>
      </c>
      <c r="AL401" s="8">
        <f t="shared" si="69"/>
        <v>16.398109881645411</v>
      </c>
    </row>
    <row r="402" spans="1:38">
      <c r="A402" t="s">
        <v>1205</v>
      </c>
      <c r="B402" t="s">
        <v>1206</v>
      </c>
      <c r="C402" t="s">
        <v>42</v>
      </c>
      <c r="D402">
        <v>11</v>
      </c>
      <c r="E402" t="s">
        <v>1207</v>
      </c>
      <c r="F402">
        <v>9.1379999999999999</v>
      </c>
      <c r="G402">
        <v>76.858000000000004</v>
      </c>
      <c r="H402">
        <v>1106.6479999999999</v>
      </c>
      <c r="I402">
        <v>116.76900000000001</v>
      </c>
      <c r="J402">
        <v>274.642</v>
      </c>
      <c r="K402">
        <v>0</v>
      </c>
      <c r="L402">
        <v>217.874</v>
      </c>
      <c r="M402">
        <v>56.768000000000001</v>
      </c>
      <c r="N402">
        <v>76.858000000000004</v>
      </c>
      <c r="O402">
        <v>145.85499999999999</v>
      </c>
      <c r="P402">
        <v>60</v>
      </c>
      <c r="Q402">
        <v>0</v>
      </c>
      <c r="R402">
        <v>160.708</v>
      </c>
      <c r="S402">
        <v>277.87400000000002</v>
      </c>
      <c r="T402">
        <v>420.928</v>
      </c>
      <c r="U402">
        <v>282.87700000000001</v>
      </c>
      <c r="V402">
        <v>372.38299999999998</v>
      </c>
      <c r="W402">
        <v>277.15100000000001</v>
      </c>
      <c r="X402">
        <v>27.74</v>
      </c>
      <c r="Y402">
        <v>1</v>
      </c>
      <c r="Z402" t="s">
        <v>44</v>
      </c>
      <c r="AA402" t="s">
        <v>677</v>
      </c>
      <c r="AB402" t="s">
        <v>34</v>
      </c>
      <c r="AC402" s="7">
        <f t="shared" si="60"/>
        <v>2.5967419952969924E-2</v>
      </c>
      <c r="AD402" s="8">
        <f t="shared" si="61"/>
        <v>6.9451171465542805E-2</v>
      </c>
      <c r="AE402" s="9">
        <f t="shared" si="62"/>
        <v>0</v>
      </c>
      <c r="AF402" s="8">
        <f t="shared" si="63"/>
        <v>0.1348639197202372</v>
      </c>
      <c r="AG402" s="8">
        <f t="shared" si="64"/>
        <v>1.5148160677141438</v>
      </c>
      <c r="AH402" s="8">
        <f t="shared" si="65"/>
        <v>0.51760396077238857</v>
      </c>
      <c r="AI402" s="8">
        <f t="shared" si="66"/>
        <v>1.2605542653093071</v>
      </c>
      <c r="AJ402" s="8">
        <f t="shared" si="67"/>
        <v>0.27740848791242212</v>
      </c>
      <c r="AK402" s="8">
        <f t="shared" si="68"/>
        <v>0.98836882903762124</v>
      </c>
      <c r="AL402" s="8">
        <f t="shared" si="69"/>
        <v>19.49422209695603</v>
      </c>
    </row>
    <row r="403" spans="1:38">
      <c r="A403" t="s">
        <v>1208</v>
      </c>
      <c r="B403" t="s">
        <v>1209</v>
      </c>
      <c r="C403" t="s">
        <v>120</v>
      </c>
      <c r="D403">
        <v>16</v>
      </c>
      <c r="E403" t="s">
        <v>1210</v>
      </c>
      <c r="F403">
        <v>-11.984</v>
      </c>
      <c r="G403">
        <v>8.8859999999999992</v>
      </c>
      <c r="H403">
        <v>1105.4359999999999</v>
      </c>
      <c r="I403">
        <v>-17.902999999999999</v>
      </c>
      <c r="J403">
        <v>383.78199999999998</v>
      </c>
      <c r="K403">
        <v>98.52</v>
      </c>
      <c r="L403">
        <v>414.04899999999998</v>
      </c>
      <c r="M403">
        <v>-30.266999999999999</v>
      </c>
      <c r="N403">
        <v>-3.3370000000000002</v>
      </c>
      <c r="O403">
        <v>29.326000000000001</v>
      </c>
      <c r="P403">
        <v>0</v>
      </c>
      <c r="Q403">
        <v>2E-3</v>
      </c>
      <c r="R403">
        <v>337.34899999999999</v>
      </c>
      <c r="S403">
        <v>414.04899999999998</v>
      </c>
      <c r="T403">
        <v>425.149</v>
      </c>
      <c r="U403">
        <v>363.12099999999998</v>
      </c>
      <c r="V403">
        <v>255.75800000000001</v>
      </c>
      <c r="W403">
        <v>113.55200000000001</v>
      </c>
      <c r="X403">
        <v>-4.21</v>
      </c>
      <c r="Y403">
        <v>1</v>
      </c>
      <c r="Z403" t="s">
        <v>44</v>
      </c>
      <c r="AA403" t="s">
        <v>677</v>
      </c>
      <c r="AB403" t="s">
        <v>34</v>
      </c>
      <c r="AC403" s="7">
        <f t="shared" si="60"/>
        <v>-3.0405825415149631E-2</v>
      </c>
      <c r="AD403" s="8">
        <f t="shared" si="61"/>
        <v>8.0384572241179036E-3</v>
      </c>
      <c r="AE403" s="9">
        <f t="shared" si="62"/>
        <v>5.3234104961684762E-6</v>
      </c>
      <c r="AF403" s="8">
        <f t="shared" si="63"/>
        <v>-7.1191511681786848E-2</v>
      </c>
      <c r="AG403" s="8">
        <f t="shared" si="64"/>
        <v>1.0268084212255071</v>
      </c>
      <c r="AH403" s="8">
        <f t="shared" si="65"/>
        <v>0.97389150627191878</v>
      </c>
      <c r="AI403" s="8">
        <f t="shared" si="66"/>
        <v>0.92689995628536714</v>
      </c>
      <c r="AJ403" s="8">
        <f t="shared" si="67"/>
        <v>-4.2109942631877291E-2</v>
      </c>
      <c r="AK403" s="8">
        <f t="shared" si="68"/>
        <v>0.92689995628536714</v>
      </c>
      <c r="AL403" s="8">
        <f t="shared" si="69"/>
        <v>-36.522813625400602</v>
      </c>
    </row>
    <row r="404" spans="1:38">
      <c r="A404" t="s">
        <v>1211</v>
      </c>
      <c r="B404" t="s">
        <v>1212</v>
      </c>
      <c r="C404" t="s">
        <v>69</v>
      </c>
      <c r="D404">
        <v>3</v>
      </c>
      <c r="E404" t="s">
        <v>1213</v>
      </c>
      <c r="F404">
        <v>16.315999999999999</v>
      </c>
      <c r="G404">
        <v>59.328000000000003</v>
      </c>
      <c r="H404">
        <v>1101.4480000000001</v>
      </c>
      <c r="I404">
        <v>79.38</v>
      </c>
      <c r="J404">
        <v>290.81700000000001</v>
      </c>
      <c r="K404">
        <v>0</v>
      </c>
      <c r="L404">
        <v>338.42899999999997</v>
      </c>
      <c r="M404">
        <v>-47.612000000000002</v>
      </c>
      <c r="N404">
        <v>39.716000000000001</v>
      </c>
      <c r="O404">
        <v>218.208</v>
      </c>
      <c r="P404">
        <v>86.771000000000001</v>
      </c>
      <c r="Q404">
        <v>5.4320000000000004</v>
      </c>
      <c r="R404">
        <v>302.351</v>
      </c>
      <c r="S404">
        <v>425.2</v>
      </c>
      <c r="T404">
        <v>511.22199999999998</v>
      </c>
      <c r="U404">
        <v>398.58199999999999</v>
      </c>
      <c r="V404">
        <v>187.58099999999999</v>
      </c>
      <c r="W404">
        <v>281.24299999999999</v>
      </c>
      <c r="X404">
        <v>15.53</v>
      </c>
      <c r="Y404">
        <v>1</v>
      </c>
      <c r="Z404" t="s">
        <v>39</v>
      </c>
      <c r="AA404" t="s">
        <v>677</v>
      </c>
      <c r="AB404" t="s">
        <v>34</v>
      </c>
      <c r="AC404" s="7">
        <f t="shared" si="60"/>
        <v>3.5867065873528801E-2</v>
      </c>
      <c r="AD404" s="8">
        <f t="shared" si="61"/>
        <v>5.3863641315795206E-2</v>
      </c>
      <c r="AE404" s="9">
        <f t="shared" si="62"/>
        <v>1.4932286533864983E-2</v>
      </c>
      <c r="AF404" s="8">
        <f t="shared" si="63"/>
        <v>-9.3133707078333877E-2</v>
      </c>
      <c r="AG404" s="8">
        <f t="shared" si="64"/>
        <v>1.2023095014111007</v>
      </c>
      <c r="AH404" s="8">
        <f t="shared" si="65"/>
        <v>0.66200007041950459</v>
      </c>
      <c r="AI404" s="8">
        <f t="shared" si="66"/>
        <v>0.8593146568408736</v>
      </c>
      <c r="AJ404" s="8">
        <f t="shared" si="67"/>
        <v>0.15527500772658454</v>
      </c>
      <c r="AK404" s="8">
        <f t="shared" si="68"/>
        <v>0.68395343367826911</v>
      </c>
      <c r="AL404" s="8">
        <f t="shared" si="69"/>
        <v>-23.133831807107452</v>
      </c>
    </row>
    <row r="405" spans="1:38">
      <c r="A405" t="s">
        <v>1214</v>
      </c>
      <c r="B405" t="s">
        <v>1215</v>
      </c>
      <c r="C405" t="s">
        <v>131</v>
      </c>
      <c r="D405">
        <v>6</v>
      </c>
      <c r="E405" t="s">
        <v>1216</v>
      </c>
      <c r="F405">
        <v>-5.7</v>
      </c>
      <c r="G405">
        <v>28.337</v>
      </c>
      <c r="H405">
        <v>1093.2349999999999</v>
      </c>
      <c r="I405">
        <v>88.424999999999997</v>
      </c>
      <c r="J405">
        <v>304.75099999999998</v>
      </c>
      <c r="K405">
        <v>22.995000000000001</v>
      </c>
      <c r="L405">
        <v>212.87700000000001</v>
      </c>
      <c r="M405">
        <v>91.873999999999995</v>
      </c>
      <c r="N405">
        <v>17.751000000000001</v>
      </c>
      <c r="O405">
        <v>66.125</v>
      </c>
      <c r="P405">
        <v>44.75</v>
      </c>
      <c r="Q405">
        <v>1.7310000000000001</v>
      </c>
      <c r="R405">
        <v>365.221</v>
      </c>
      <c r="S405">
        <v>257.62700000000001</v>
      </c>
      <c r="T405">
        <v>376.66199999999998</v>
      </c>
      <c r="U405">
        <v>481.09699999999998</v>
      </c>
      <c r="V405">
        <v>340.85</v>
      </c>
      <c r="W405">
        <v>148.19800000000001</v>
      </c>
      <c r="X405">
        <v>23.48</v>
      </c>
      <c r="Y405">
        <v>1</v>
      </c>
      <c r="Z405" t="s">
        <v>32</v>
      </c>
      <c r="AA405" t="s">
        <v>677</v>
      </c>
      <c r="AB405" t="s">
        <v>34</v>
      </c>
      <c r="AC405" s="7">
        <f t="shared" si="60"/>
        <v>-1.3290446384124213E-2</v>
      </c>
      <c r="AD405" s="8">
        <f t="shared" si="61"/>
        <v>2.5920319053085568E-2</v>
      </c>
      <c r="AE405" s="9">
        <f t="shared" si="62"/>
        <v>5.5583384710234289E-3</v>
      </c>
      <c r="AF405" s="8">
        <f t="shared" si="63"/>
        <v>0.24391629630809586</v>
      </c>
      <c r="AG405" s="8">
        <f t="shared" si="64"/>
        <v>1.4620439627834039</v>
      </c>
      <c r="AH405" s="8">
        <f t="shared" si="65"/>
        <v>0.56516717906239555</v>
      </c>
      <c r="AI405" s="8">
        <f t="shared" si="66"/>
        <v>1.4315825570634684</v>
      </c>
      <c r="AJ405" s="8">
        <f t="shared" si="67"/>
        <v>0.23475954569348648</v>
      </c>
      <c r="AK405" s="8">
        <f t="shared" si="68"/>
        <v>1.1829156105532415</v>
      </c>
      <c r="AL405" s="8">
        <f t="shared" si="69"/>
        <v>11.899285978622895</v>
      </c>
    </row>
    <row r="406" spans="1:38">
      <c r="A406" t="s">
        <v>1217</v>
      </c>
      <c r="B406" t="s">
        <v>1218</v>
      </c>
      <c r="C406" t="s">
        <v>42</v>
      </c>
      <c r="D406">
        <v>4</v>
      </c>
      <c r="E406" t="s">
        <v>1219</v>
      </c>
      <c r="F406">
        <v>10.209</v>
      </c>
      <c r="G406">
        <v>21.199000000000002</v>
      </c>
      <c r="H406">
        <v>1084.579</v>
      </c>
      <c r="I406">
        <v>63.558999999999997</v>
      </c>
      <c r="J406">
        <v>461.51400000000001</v>
      </c>
      <c r="K406">
        <v>32.15</v>
      </c>
      <c r="L406">
        <v>394.483</v>
      </c>
      <c r="M406">
        <v>67.031000000000006</v>
      </c>
      <c r="N406">
        <v>13.228</v>
      </c>
      <c r="O406">
        <v>8.4570000000000007</v>
      </c>
      <c r="P406">
        <v>2.5</v>
      </c>
      <c r="Q406">
        <v>0.4</v>
      </c>
      <c r="R406">
        <v>125.578</v>
      </c>
      <c r="S406">
        <v>396.983</v>
      </c>
      <c r="T406">
        <v>476.38299999999998</v>
      </c>
      <c r="U406">
        <v>190.27099999999999</v>
      </c>
      <c r="V406">
        <v>199.93100000000001</v>
      </c>
      <c r="W406">
        <v>166.99</v>
      </c>
      <c r="X406">
        <v>13.34</v>
      </c>
      <c r="Y406">
        <v>1</v>
      </c>
      <c r="Z406" t="s">
        <v>44</v>
      </c>
      <c r="AA406" t="s">
        <v>677</v>
      </c>
      <c r="AB406" t="s">
        <v>34</v>
      </c>
      <c r="AC406" s="7">
        <f t="shared" si="60"/>
        <v>3.0627581924056554E-2</v>
      </c>
      <c r="AD406" s="8">
        <f t="shared" si="61"/>
        <v>1.9545832991418793E-2</v>
      </c>
      <c r="AE406" s="9">
        <f t="shared" si="62"/>
        <v>1.5309217488484598E-3</v>
      </c>
      <c r="AF406" s="8">
        <f t="shared" si="63"/>
        <v>0.14070821167002182</v>
      </c>
      <c r="AG406" s="8">
        <f t="shared" si="64"/>
        <v>1.2000085645984839</v>
      </c>
      <c r="AH406" s="8">
        <f t="shared" si="65"/>
        <v>0.82807950745513592</v>
      </c>
      <c r="AI406" s="8">
        <f t="shared" si="66"/>
        <v>1.1699211372860174</v>
      </c>
      <c r="AJ406" s="8">
        <f t="shared" si="67"/>
        <v>0.13341995831085493</v>
      </c>
      <c r="AK406" s="8">
        <f t="shared" si="68"/>
        <v>1.1625535602280199</v>
      </c>
      <c r="AL406" s="8">
        <f t="shared" si="69"/>
        <v>16.180259879757124</v>
      </c>
    </row>
    <row r="407" spans="1:38">
      <c r="A407" t="s">
        <v>1220</v>
      </c>
      <c r="B407" t="s">
        <v>1221</v>
      </c>
      <c r="C407" t="s">
        <v>120</v>
      </c>
      <c r="D407">
        <v>6</v>
      </c>
      <c r="E407" t="s">
        <v>1222</v>
      </c>
      <c r="F407">
        <v>38.307000000000002</v>
      </c>
      <c r="G407">
        <v>81.418000000000006</v>
      </c>
      <c r="H407">
        <v>1067.4880000000001</v>
      </c>
      <c r="I407">
        <v>69.986000000000004</v>
      </c>
      <c r="J407">
        <v>665.20500000000004</v>
      </c>
      <c r="K407">
        <v>0</v>
      </c>
      <c r="L407">
        <v>554.76199999999994</v>
      </c>
      <c r="M407">
        <v>110.443</v>
      </c>
      <c r="N407">
        <v>53.65</v>
      </c>
      <c r="O407">
        <v>111.199</v>
      </c>
      <c r="P407">
        <v>176.291</v>
      </c>
      <c r="Q407">
        <v>8.91</v>
      </c>
      <c r="R407">
        <v>239.066</v>
      </c>
      <c r="S407">
        <v>731.053</v>
      </c>
      <c r="T407">
        <v>816.72400000000005</v>
      </c>
      <c r="U407">
        <v>283.858</v>
      </c>
      <c r="V407">
        <v>226.57599999999999</v>
      </c>
      <c r="W407">
        <v>172.446</v>
      </c>
      <c r="X407">
        <v>8.57</v>
      </c>
      <c r="Y407">
        <v>1</v>
      </c>
      <c r="Z407" t="s">
        <v>44</v>
      </c>
      <c r="AA407" t="s">
        <v>677</v>
      </c>
      <c r="AB407" t="s">
        <v>34</v>
      </c>
      <c r="AC407" s="7">
        <f t="shared" si="60"/>
        <v>6.9612259695324835E-2</v>
      </c>
      <c r="AD407" s="8">
        <f t="shared" si="61"/>
        <v>7.6270646602116368E-2</v>
      </c>
      <c r="AE407" s="9">
        <f t="shared" si="62"/>
        <v>1.8368880518781716E-2</v>
      </c>
      <c r="AF407" s="8">
        <f t="shared" si="63"/>
        <v>0.13522683305498551</v>
      </c>
      <c r="AG407" s="8">
        <f t="shared" si="64"/>
        <v>1.1171884938574905</v>
      </c>
      <c r="AH407" s="8">
        <f t="shared" si="65"/>
        <v>0.67925272184973129</v>
      </c>
      <c r="AI407" s="8">
        <f t="shared" si="66"/>
        <v>1.19908176839798</v>
      </c>
      <c r="AJ407" s="8">
        <f t="shared" si="67"/>
        <v>8.5691126990268443E-2</v>
      </c>
      <c r="AK407" s="8">
        <f t="shared" si="68"/>
        <v>0.90992718722171995</v>
      </c>
      <c r="AL407" s="8">
        <f t="shared" si="69"/>
        <v>9.6655107159349178</v>
      </c>
    </row>
    <row r="408" spans="1:38">
      <c r="A408" t="s">
        <v>1223</v>
      </c>
      <c r="B408" t="s">
        <v>1224</v>
      </c>
      <c r="C408" t="s">
        <v>131</v>
      </c>
      <c r="D408">
        <v>8</v>
      </c>
      <c r="E408" t="s">
        <v>1225</v>
      </c>
      <c r="F408">
        <v>8.19</v>
      </c>
      <c r="G408">
        <v>41.145000000000003</v>
      </c>
      <c r="H408">
        <v>1023.415</v>
      </c>
      <c r="I408">
        <v>64.497</v>
      </c>
      <c r="J408">
        <v>202.78200000000001</v>
      </c>
      <c r="K408">
        <v>61.24</v>
      </c>
      <c r="L408">
        <v>184.78</v>
      </c>
      <c r="M408">
        <v>18.001999999999999</v>
      </c>
      <c r="N408">
        <v>21.984999999999999</v>
      </c>
      <c r="O408">
        <v>88.799000000000007</v>
      </c>
      <c r="P408">
        <v>12.792</v>
      </c>
      <c r="Q408">
        <v>5.1550000000000002</v>
      </c>
      <c r="R408">
        <v>193.779</v>
      </c>
      <c r="S408">
        <v>197.572</v>
      </c>
      <c r="T408">
        <v>296.68900000000002</v>
      </c>
      <c r="U408">
        <v>277.64999999999998</v>
      </c>
      <c r="V408">
        <v>349.55500000000001</v>
      </c>
      <c r="W408">
        <v>333.58199999999999</v>
      </c>
      <c r="X408">
        <v>21.74</v>
      </c>
      <c r="Y408">
        <v>1</v>
      </c>
      <c r="Z408" t="s">
        <v>32</v>
      </c>
      <c r="AA408" t="s">
        <v>677</v>
      </c>
      <c r="AB408" t="s">
        <v>34</v>
      </c>
      <c r="AC408" s="7">
        <f t="shared" si="60"/>
        <v>2.8519741824950075E-2</v>
      </c>
      <c r="AD408" s="8">
        <f t="shared" si="61"/>
        <v>4.020363195771022E-2</v>
      </c>
      <c r="AE408" s="9">
        <f t="shared" si="62"/>
        <v>2.6344636911621536E-2</v>
      </c>
      <c r="AF408" s="8">
        <f t="shared" si="63"/>
        <v>6.0676331107658181E-2</v>
      </c>
      <c r="AG408" s="8">
        <f t="shared" si="64"/>
        <v>1.5016753386107344</v>
      </c>
      <c r="AH408" s="8">
        <f t="shared" si="65"/>
        <v>0.62280704710993662</v>
      </c>
      <c r="AI408" s="8">
        <f t="shared" si="66"/>
        <v>1.0974239636324279</v>
      </c>
      <c r="AJ408" s="8">
        <f t="shared" si="67"/>
        <v>0.21738925271917731</v>
      </c>
      <c r="AK408" s="8">
        <f t="shared" si="68"/>
        <v>1.0263701334197153</v>
      </c>
      <c r="AL408" s="8">
        <f t="shared" si="69"/>
        <v>56.850072214198427</v>
      </c>
    </row>
    <row r="409" spans="1:38">
      <c r="A409" t="s">
        <v>1226</v>
      </c>
      <c r="B409" t="s">
        <v>1227</v>
      </c>
      <c r="C409" t="s">
        <v>65</v>
      </c>
      <c r="D409">
        <v>7</v>
      </c>
      <c r="E409" t="s">
        <v>1228</v>
      </c>
      <c r="F409">
        <v>1.139</v>
      </c>
      <c r="G409">
        <v>12.349</v>
      </c>
      <c r="H409">
        <v>998.52599999999995</v>
      </c>
      <c r="I409">
        <v>32.167999999999999</v>
      </c>
      <c r="J409">
        <v>486.94400000000002</v>
      </c>
      <c r="K409">
        <v>0</v>
      </c>
      <c r="L409">
        <v>441.08600000000001</v>
      </c>
      <c r="M409">
        <v>45.857999999999997</v>
      </c>
      <c r="N409">
        <v>6.1210000000000004</v>
      </c>
      <c r="O409">
        <v>12.09</v>
      </c>
      <c r="P409">
        <v>26.225000000000001</v>
      </c>
      <c r="Q409">
        <v>0.46600000000000003</v>
      </c>
      <c r="R409">
        <v>271.03100000000001</v>
      </c>
      <c r="S409">
        <v>467.31099999999998</v>
      </c>
      <c r="T409">
        <v>499.88600000000002</v>
      </c>
      <c r="U409">
        <v>309.90499999999997</v>
      </c>
      <c r="V409">
        <v>213.53800000000001</v>
      </c>
      <c r="W409">
        <v>295.79399999999998</v>
      </c>
      <c r="X409">
        <v>6.44</v>
      </c>
      <c r="Y409">
        <v>1</v>
      </c>
      <c r="Z409" t="s">
        <v>62</v>
      </c>
      <c r="AA409" t="s">
        <v>677</v>
      </c>
      <c r="AB409" t="s">
        <v>34</v>
      </c>
      <c r="AC409" s="7">
        <f t="shared" si="60"/>
        <v>2.8130715209233E-3</v>
      </c>
      <c r="AD409" s="8">
        <f t="shared" si="61"/>
        <v>1.2367229295982279E-2</v>
      </c>
      <c r="AE409" s="9">
        <f t="shared" si="62"/>
        <v>1.2622876661492913E-3</v>
      </c>
      <c r="AF409" s="8">
        <f t="shared" si="63"/>
        <v>9.1736916016851827E-2</v>
      </c>
      <c r="AG409" s="8">
        <f t="shared" si="64"/>
        <v>1.0697073255283955</v>
      </c>
      <c r="AH409" s="8">
        <f t="shared" si="65"/>
        <v>0.88237318108528739</v>
      </c>
      <c r="AI409" s="8">
        <f t="shared" si="66"/>
        <v>1.1039661199856718</v>
      </c>
      <c r="AJ409" s="8">
        <f t="shared" si="67"/>
        <v>6.4350671953205332E-2</v>
      </c>
      <c r="AK409" s="8">
        <f t="shared" si="68"/>
        <v>1.0420127067413352</v>
      </c>
      <c r="AL409" s="8">
        <f t="shared" si="69"/>
        <v>21.774303284050767</v>
      </c>
    </row>
    <row r="410" spans="1:38">
      <c r="A410" t="s">
        <v>1229</v>
      </c>
      <c r="B410" t="s">
        <v>1230</v>
      </c>
      <c r="C410" t="s">
        <v>131</v>
      </c>
      <c r="D410">
        <v>6</v>
      </c>
      <c r="E410" t="s">
        <v>1231</v>
      </c>
      <c r="F410">
        <v>7.891</v>
      </c>
      <c r="G410">
        <v>35.218000000000004</v>
      </c>
      <c r="H410">
        <v>974.43</v>
      </c>
      <c r="I410">
        <v>73.66</v>
      </c>
      <c r="J410">
        <v>403.315</v>
      </c>
      <c r="K410">
        <v>15.263</v>
      </c>
      <c r="L410">
        <v>309.74700000000001</v>
      </c>
      <c r="M410">
        <v>93.567999999999998</v>
      </c>
      <c r="N410">
        <v>27.861000000000001</v>
      </c>
      <c r="O410">
        <v>67.613</v>
      </c>
      <c r="P410">
        <v>33.520000000000003</v>
      </c>
      <c r="Q410">
        <v>1.0469999999999999</v>
      </c>
      <c r="R410">
        <v>168.89</v>
      </c>
      <c r="S410">
        <v>343.267</v>
      </c>
      <c r="T410">
        <v>476.45</v>
      </c>
      <c r="U410">
        <v>291.52300000000002</v>
      </c>
      <c r="V410">
        <v>225.905</v>
      </c>
      <c r="W410">
        <v>249.1</v>
      </c>
      <c r="X410">
        <v>15.46</v>
      </c>
      <c r="Y410">
        <v>1</v>
      </c>
      <c r="Z410" t="s">
        <v>32</v>
      </c>
      <c r="AA410" t="s">
        <v>677</v>
      </c>
      <c r="AB410" t="s">
        <v>34</v>
      </c>
      <c r="AC410" s="7">
        <f t="shared" si="60"/>
        <v>2.0550201634692889E-2</v>
      </c>
      <c r="AD410" s="8">
        <f t="shared" si="61"/>
        <v>3.6142154900813815E-2</v>
      </c>
      <c r="AE410" s="9">
        <f t="shared" si="62"/>
        <v>4.0885900222002239E-3</v>
      </c>
      <c r="AF410" s="8">
        <f t="shared" si="63"/>
        <v>0.19638576975548327</v>
      </c>
      <c r="AG410" s="8">
        <f t="shared" si="64"/>
        <v>1.3879866110054273</v>
      </c>
      <c r="AH410" s="8">
        <f t="shared" si="65"/>
        <v>0.65011438765872609</v>
      </c>
      <c r="AI410" s="8">
        <f t="shared" si="66"/>
        <v>1.3020787933377884</v>
      </c>
      <c r="AJ410" s="8">
        <f t="shared" si="67"/>
        <v>0.15460174205058244</v>
      </c>
      <c r="AK410" s="8">
        <f t="shared" si="68"/>
        <v>1.1749308847049089</v>
      </c>
      <c r="AL410" s="8">
        <f t="shared" si="69"/>
        <v>10.414137311901504</v>
      </c>
    </row>
    <row r="411" spans="1:38">
      <c r="A411" t="s">
        <v>1232</v>
      </c>
      <c r="B411" t="s">
        <v>1233</v>
      </c>
      <c r="C411" t="s">
        <v>124</v>
      </c>
      <c r="D411">
        <v>2</v>
      </c>
      <c r="E411" t="s">
        <v>1234</v>
      </c>
      <c r="F411">
        <v>4.5579999999999998</v>
      </c>
      <c r="G411">
        <v>28.114999999999998</v>
      </c>
      <c r="H411">
        <v>951.45399999999995</v>
      </c>
      <c r="I411">
        <v>31.459</v>
      </c>
      <c r="J411">
        <v>360.48700000000002</v>
      </c>
      <c r="K411">
        <v>28.96</v>
      </c>
      <c r="L411">
        <v>349.32299999999998</v>
      </c>
      <c r="M411">
        <v>11.164</v>
      </c>
      <c r="N411">
        <v>18.771000000000001</v>
      </c>
      <c r="O411">
        <v>39.984999999999999</v>
      </c>
      <c r="P411">
        <v>15.313000000000001</v>
      </c>
      <c r="Q411">
        <v>2.1850000000000001</v>
      </c>
      <c r="R411">
        <v>214.05199999999999</v>
      </c>
      <c r="S411">
        <v>364.63600000000002</v>
      </c>
      <c r="T411">
        <v>407.79</v>
      </c>
      <c r="U411">
        <v>263.32799999999997</v>
      </c>
      <c r="V411">
        <v>301.94900000000001</v>
      </c>
      <c r="W411">
        <v>329.77600000000001</v>
      </c>
      <c r="X411">
        <v>7.71</v>
      </c>
      <c r="Y411">
        <v>1</v>
      </c>
      <c r="Z411" t="s">
        <v>62</v>
      </c>
      <c r="AA411" t="s">
        <v>677</v>
      </c>
      <c r="AB411" t="s">
        <v>34</v>
      </c>
      <c r="AC411" s="7">
        <f t="shared" si="60"/>
        <v>1.35833042773402E-2</v>
      </c>
      <c r="AD411" s="8">
        <f t="shared" si="61"/>
        <v>2.9549510538607226E-2</v>
      </c>
      <c r="AE411" s="9">
        <f t="shared" si="62"/>
        <v>7.5515649192656499E-3</v>
      </c>
      <c r="AF411" s="8">
        <f t="shared" si="63"/>
        <v>2.7376836116628656E-2</v>
      </c>
      <c r="AG411" s="8">
        <f t="shared" si="64"/>
        <v>1.1183481609056702</v>
      </c>
      <c r="AH411" s="8">
        <f t="shared" si="65"/>
        <v>0.85662473331861977</v>
      </c>
      <c r="AI411" s="8">
        <f t="shared" si="66"/>
        <v>1.0319589606181101</v>
      </c>
      <c r="AJ411" s="8">
        <f t="shared" si="67"/>
        <v>7.7145099193212191E-2</v>
      </c>
      <c r="AK411" s="8">
        <f t="shared" si="68"/>
        <v>0.98862152941563641</v>
      </c>
      <c r="AL411" s="8">
        <f t="shared" si="69"/>
        <v>85.225188104621992</v>
      </c>
    </row>
    <row r="412" spans="1:38">
      <c r="A412" t="s">
        <v>1235</v>
      </c>
      <c r="B412" t="s">
        <v>1236</v>
      </c>
      <c r="C412" t="s">
        <v>124</v>
      </c>
      <c r="D412">
        <v>6</v>
      </c>
      <c r="E412" t="s">
        <v>1237</v>
      </c>
      <c r="F412">
        <v>34.052</v>
      </c>
      <c r="G412">
        <v>71.466999999999999</v>
      </c>
      <c r="H412">
        <v>945.04399999999998</v>
      </c>
      <c r="I412">
        <v>63.969000000000001</v>
      </c>
      <c r="J412">
        <v>374.61</v>
      </c>
      <c r="K412">
        <v>68.643000000000001</v>
      </c>
      <c r="L412">
        <v>312.97800000000001</v>
      </c>
      <c r="M412">
        <v>61.631999999999998</v>
      </c>
      <c r="N412">
        <v>40.939</v>
      </c>
      <c r="O412">
        <v>121.358</v>
      </c>
      <c r="P412">
        <v>115.43</v>
      </c>
      <c r="Q412">
        <v>8.8520000000000003</v>
      </c>
      <c r="R412">
        <v>350.15300000000002</v>
      </c>
      <c r="S412">
        <v>428.40800000000002</v>
      </c>
      <c r="T412">
        <v>504.65699999999998</v>
      </c>
      <c r="U412">
        <v>389.416</v>
      </c>
      <c r="V412">
        <v>365.65600000000001</v>
      </c>
      <c r="W412">
        <v>229.31200000000001</v>
      </c>
      <c r="X412">
        <v>12.68</v>
      </c>
      <c r="Y412">
        <v>1</v>
      </c>
      <c r="Z412" t="s">
        <v>62</v>
      </c>
      <c r="AA412" t="s">
        <v>677</v>
      </c>
      <c r="AB412" t="s">
        <v>34</v>
      </c>
      <c r="AC412" s="7">
        <f t="shared" si="60"/>
        <v>7.617275099460559E-2</v>
      </c>
      <c r="AD412" s="8">
        <f t="shared" si="61"/>
        <v>7.5622933958630498E-2</v>
      </c>
      <c r="AE412" s="9">
        <f t="shared" si="62"/>
        <v>2.2739387151424231E-2</v>
      </c>
      <c r="AF412" s="8">
        <f t="shared" si="63"/>
        <v>0.12212651365184669</v>
      </c>
      <c r="AG412" s="8">
        <f t="shared" si="64"/>
        <v>1.1779822038804131</v>
      </c>
      <c r="AH412" s="8">
        <f t="shared" si="65"/>
        <v>0.62017964676998438</v>
      </c>
      <c r="AI412" s="8">
        <f t="shared" si="66"/>
        <v>1.1969211893487721</v>
      </c>
      <c r="AJ412" s="8">
        <f t="shared" si="67"/>
        <v>0.12675738174641391</v>
      </c>
      <c r="AK412" s="8">
        <f t="shared" si="68"/>
        <v>0.874423446807716</v>
      </c>
      <c r="AL412" s="8">
        <f t="shared" si="69"/>
        <v>15.333657840083074</v>
      </c>
    </row>
    <row r="413" spans="1:38">
      <c r="A413" t="s">
        <v>1238</v>
      </c>
      <c r="B413" t="s">
        <v>1239</v>
      </c>
      <c r="C413" t="s">
        <v>65</v>
      </c>
      <c r="D413">
        <v>2</v>
      </c>
      <c r="E413" t="s">
        <v>1240</v>
      </c>
      <c r="F413">
        <v>1.2749999999999999</v>
      </c>
      <c r="G413">
        <v>34.454000000000001</v>
      </c>
      <c r="H413">
        <v>924.495</v>
      </c>
      <c r="I413">
        <v>130.82900000000001</v>
      </c>
      <c r="J413">
        <v>340.52</v>
      </c>
      <c r="K413">
        <v>56.2</v>
      </c>
      <c r="L413">
        <v>147.89699999999999</v>
      </c>
      <c r="M413">
        <v>192.62299999999999</v>
      </c>
      <c r="N413">
        <v>13.8</v>
      </c>
      <c r="O413">
        <v>9.2870000000000008</v>
      </c>
      <c r="P413">
        <v>42.292000000000002</v>
      </c>
      <c r="Q413">
        <v>5.68</v>
      </c>
      <c r="R413">
        <v>224.4</v>
      </c>
      <c r="S413">
        <v>190.18899999999999</v>
      </c>
      <c r="T413">
        <v>352.86900000000003</v>
      </c>
      <c r="U413">
        <v>378.56200000000001</v>
      </c>
      <c r="V413">
        <v>330.61799999999999</v>
      </c>
      <c r="W413">
        <v>308.43400000000003</v>
      </c>
      <c r="X413">
        <v>37.08</v>
      </c>
      <c r="Y413">
        <v>1</v>
      </c>
      <c r="Z413" t="s">
        <v>62</v>
      </c>
      <c r="AA413" t="s">
        <v>677</v>
      </c>
      <c r="AB413" t="s">
        <v>34</v>
      </c>
      <c r="AC413" s="7">
        <f t="shared" si="60"/>
        <v>3.4863165493395818E-3</v>
      </c>
      <c r="AD413" s="8">
        <f t="shared" si="61"/>
        <v>3.7267913834039122E-2</v>
      </c>
      <c r="AE413" s="9">
        <f t="shared" si="62"/>
        <v>2.7400630503944871E-2</v>
      </c>
      <c r="AF413" s="8">
        <f t="shared" si="63"/>
        <v>0.54587679847195414</v>
      </c>
      <c r="AG413" s="8">
        <f t="shared" si="64"/>
        <v>1.8553596685402418</v>
      </c>
      <c r="AH413" s="8">
        <f t="shared" si="65"/>
        <v>0.41912721151475468</v>
      </c>
      <c r="AI413" s="8">
        <f t="shared" si="66"/>
        <v>2.3024131659195253</v>
      </c>
      <c r="AJ413" s="8">
        <f t="shared" si="67"/>
        <v>0.3707579866749417</v>
      </c>
      <c r="AK413" s="8">
        <f t="shared" si="68"/>
        <v>1.7904295201089442</v>
      </c>
      <c r="AL413" s="8">
        <f t="shared" si="69"/>
        <v>4.7995047320413455</v>
      </c>
    </row>
    <row r="414" spans="1:38">
      <c r="A414" t="s">
        <v>1241</v>
      </c>
      <c r="B414" t="s">
        <v>1242</v>
      </c>
      <c r="C414" t="s">
        <v>65</v>
      </c>
      <c r="D414">
        <v>5</v>
      </c>
      <c r="E414" t="s">
        <v>1243</v>
      </c>
      <c r="F414">
        <v>2.64</v>
      </c>
      <c r="G414">
        <v>3.903</v>
      </c>
      <c r="H414">
        <v>886.173</v>
      </c>
      <c r="I414">
        <v>111.935</v>
      </c>
      <c r="J414">
        <v>333.93</v>
      </c>
      <c r="K414">
        <v>0</v>
      </c>
      <c r="L414">
        <v>193.85</v>
      </c>
      <c r="M414">
        <v>140.08000000000001</v>
      </c>
      <c r="N414">
        <v>3.617</v>
      </c>
      <c r="O414">
        <v>1.9690000000000001</v>
      </c>
      <c r="P414">
        <v>0</v>
      </c>
      <c r="Q414">
        <v>0</v>
      </c>
      <c r="R414">
        <v>130.017</v>
      </c>
      <c r="S414">
        <v>193.85</v>
      </c>
      <c r="T414">
        <v>335.899</v>
      </c>
      <c r="U414">
        <v>258.44</v>
      </c>
      <c r="V414">
        <v>251.523</v>
      </c>
      <c r="W414">
        <v>145.16999999999999</v>
      </c>
      <c r="X414">
        <v>33.32</v>
      </c>
      <c r="Y414">
        <v>1</v>
      </c>
      <c r="Z414" t="s">
        <v>62</v>
      </c>
      <c r="AA414" t="s">
        <v>677</v>
      </c>
      <c r="AB414" t="s">
        <v>34</v>
      </c>
      <c r="AC414" s="7">
        <f t="shared" si="60"/>
        <v>8.8838188306673473E-3</v>
      </c>
      <c r="AD414" s="8">
        <f t="shared" si="61"/>
        <v>4.4043318855347662E-3</v>
      </c>
      <c r="AE414" s="9">
        <f t="shared" si="62"/>
        <v>0</v>
      </c>
      <c r="AF414" s="8">
        <f t="shared" si="63"/>
        <v>0.41703011917272753</v>
      </c>
      <c r="AG414" s="8">
        <f t="shared" si="64"/>
        <v>1.7327779210729946</v>
      </c>
      <c r="AH414" s="8">
        <f t="shared" si="65"/>
        <v>0.57710799972610816</v>
      </c>
      <c r="AI414" s="8">
        <f t="shared" si="66"/>
        <v>1.7226205829249421</v>
      </c>
      <c r="AJ414" s="8">
        <f t="shared" si="67"/>
        <v>0.33324005132495182</v>
      </c>
      <c r="AK414" s="8">
        <f t="shared" si="68"/>
        <v>1.7226205829249421</v>
      </c>
      <c r="AL414" s="8">
        <f t="shared" si="69"/>
        <v>6.326192175899485</v>
      </c>
    </row>
    <row r="415" spans="1:38">
      <c r="A415" t="s">
        <v>1244</v>
      </c>
      <c r="B415" t="s">
        <v>1245</v>
      </c>
      <c r="C415" t="s">
        <v>55</v>
      </c>
      <c r="D415">
        <v>9</v>
      </c>
      <c r="E415" t="s">
        <v>1246</v>
      </c>
      <c r="F415">
        <v>4.3650000000000002</v>
      </c>
      <c r="G415">
        <v>30.02</v>
      </c>
      <c r="H415">
        <v>854.6</v>
      </c>
      <c r="I415">
        <v>64.186999999999998</v>
      </c>
      <c r="J415">
        <v>209.542</v>
      </c>
      <c r="K415">
        <v>0</v>
      </c>
      <c r="L415">
        <v>104.95</v>
      </c>
      <c r="M415">
        <v>104.592</v>
      </c>
      <c r="N415">
        <v>17.341000000000001</v>
      </c>
      <c r="O415">
        <v>28.567</v>
      </c>
      <c r="P415">
        <v>14.72</v>
      </c>
      <c r="Q415">
        <v>2.1760000000000002</v>
      </c>
      <c r="R415">
        <v>114.872</v>
      </c>
      <c r="S415">
        <v>119.67</v>
      </c>
      <c r="T415">
        <v>240.53700000000001</v>
      </c>
      <c r="U415">
        <v>225.791</v>
      </c>
      <c r="V415">
        <v>232.64</v>
      </c>
      <c r="W415">
        <v>195.518</v>
      </c>
      <c r="X415">
        <v>26.68</v>
      </c>
      <c r="Y415">
        <v>1</v>
      </c>
      <c r="Z415" t="s">
        <v>57</v>
      </c>
      <c r="AA415" t="s">
        <v>677</v>
      </c>
      <c r="AB415" t="s">
        <v>34</v>
      </c>
      <c r="AC415" s="7">
        <f t="shared" si="60"/>
        <v>1.8720728757441116E-2</v>
      </c>
      <c r="AD415" s="8">
        <f t="shared" si="61"/>
        <v>3.5127545050315935E-2</v>
      </c>
      <c r="AE415" s="9">
        <f t="shared" si="62"/>
        <v>1.8555312054983758E-2</v>
      </c>
      <c r="AF415" s="8">
        <f t="shared" si="63"/>
        <v>0.43482707442098306</v>
      </c>
      <c r="AG415" s="8">
        <f t="shared" si="64"/>
        <v>2.0100025068939584</v>
      </c>
      <c r="AH415" s="8">
        <f t="shared" si="65"/>
        <v>0.43631541093470028</v>
      </c>
      <c r="AI415" s="8">
        <f t="shared" si="66"/>
        <v>1.9965888518342068</v>
      </c>
      <c r="AJ415" s="8">
        <f t="shared" si="67"/>
        <v>0.26684875923454604</v>
      </c>
      <c r="AK415" s="8">
        <f t="shared" si="68"/>
        <v>1.7509985794267569</v>
      </c>
      <c r="AL415" s="8">
        <f t="shared" si="69"/>
        <v>8.1707970016827289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5"/>
  <sheetViews>
    <sheetView tabSelected="1" topLeftCell="C1" workbookViewId="0">
      <selection activeCell="N13" sqref="N13:N14"/>
    </sheetView>
  </sheetViews>
  <sheetFormatPr defaultColWidth="11.5546875" defaultRowHeight="15"/>
  <cols>
    <col min="1" max="1" width="51.6640625" customWidth="1"/>
    <col min="2" max="2" width="6.33203125" bestFit="1" customWidth="1"/>
    <col min="3" max="3" width="7.109375" bestFit="1" customWidth="1"/>
    <col min="4" max="5" width="12.77734375" bestFit="1" customWidth="1"/>
    <col min="6" max="6" width="12.109375" bestFit="1" customWidth="1"/>
    <col min="7" max="7" width="13.33203125" bestFit="1" customWidth="1"/>
    <col min="8" max="8" width="17.33203125" bestFit="1" customWidth="1"/>
    <col min="9" max="9" width="22.44140625" bestFit="1" customWidth="1"/>
    <col min="10" max="10" width="14.44140625" bestFit="1" customWidth="1"/>
    <col min="11" max="11" width="12.77734375" bestFit="1" customWidth="1"/>
    <col min="12" max="12" width="12.109375" bestFit="1" customWidth="1"/>
    <col min="13" max="13" width="13.6640625" bestFit="1" customWidth="1"/>
  </cols>
  <sheetData>
    <row r="1" spans="1:13">
      <c r="A1" s="1" t="s">
        <v>1</v>
      </c>
      <c r="B1" s="1" t="s">
        <v>26</v>
      </c>
      <c r="C1" s="1" t="s">
        <v>1257</v>
      </c>
      <c r="D1" s="3" t="s">
        <v>1258</v>
      </c>
      <c r="E1" s="3" t="s">
        <v>1259</v>
      </c>
      <c r="F1" s="3" t="s">
        <v>1260</v>
      </c>
      <c r="G1" s="4" t="s">
        <v>1261</v>
      </c>
      <c r="H1" s="4" t="s">
        <v>1262</v>
      </c>
      <c r="I1" s="4" t="s">
        <v>1263</v>
      </c>
      <c r="J1" s="5" t="s">
        <v>1264</v>
      </c>
      <c r="K1" s="5" t="s">
        <v>1265</v>
      </c>
      <c r="L1" s="5" t="s">
        <v>1266</v>
      </c>
      <c r="M1" s="6" t="s">
        <v>1267</v>
      </c>
    </row>
    <row r="2" spans="1:13">
      <c r="A2" t="s">
        <v>29</v>
      </c>
      <c r="B2" t="s">
        <v>33</v>
      </c>
      <c r="C2">
        <v>1</v>
      </c>
      <c r="D2">
        <v>-7.7838885246444584E-2</v>
      </c>
      <c r="E2">
        <v>-7.9852983049584089E-2</v>
      </c>
      <c r="F2">
        <v>4.0422889392694381E-2</v>
      </c>
      <c r="G2">
        <v>-0.12869785168872891</v>
      </c>
      <c r="H2">
        <v>1.0340376249871759</v>
      </c>
      <c r="I2">
        <v>0.96708279837728539</v>
      </c>
      <c r="J2">
        <v>0.86692157909883494</v>
      </c>
      <c r="K2">
        <v>-5.882423454224784E-2</v>
      </c>
      <c r="L2">
        <v>0.86692157909883494</v>
      </c>
      <c r="M2">
        <v>-4.9422973141083402</v>
      </c>
    </row>
    <row r="3" spans="1:13">
      <c r="A3" t="s">
        <v>36</v>
      </c>
      <c r="B3" t="s">
        <v>33</v>
      </c>
      <c r="C3">
        <v>1</v>
      </c>
      <c r="D3">
        <v>-4.8687927135712709E-3</v>
      </c>
      <c r="E3">
        <v>0.12569190210578227</v>
      </c>
      <c r="F3">
        <v>9.6470063792050351E-3</v>
      </c>
      <c r="G3">
        <v>0.71385444230300776</v>
      </c>
      <c r="H3">
        <v>1.0664368605613532</v>
      </c>
      <c r="I3">
        <v>0.28262503832137853</v>
      </c>
      <c r="J3">
        <v>3.5258004263984208</v>
      </c>
      <c r="K3">
        <v>5.621726609474656E-2</v>
      </c>
      <c r="L3">
        <v>1.0626824489308786</v>
      </c>
      <c r="M3">
        <v>6.6428789858251777E-2</v>
      </c>
    </row>
    <row r="4" spans="1:13">
      <c r="A4" t="s">
        <v>41</v>
      </c>
      <c r="B4" t="s">
        <v>33</v>
      </c>
      <c r="C4">
        <v>1</v>
      </c>
      <c r="D4">
        <v>-2.9960627684812759E-2</v>
      </c>
      <c r="E4">
        <v>-7.9784335526359842E-2</v>
      </c>
      <c r="F4">
        <v>2.7147339582414006E-4</v>
      </c>
      <c r="G4">
        <v>8.6624380874333037E-2</v>
      </c>
      <c r="H4">
        <v>1.0919521150367451</v>
      </c>
      <c r="I4">
        <v>0.91227948686761917</v>
      </c>
      <c r="J4">
        <v>1.0949537747163036</v>
      </c>
      <c r="K4">
        <v>-1.0351719227503154E-2</v>
      </c>
      <c r="L4">
        <v>1.0907551910992095</v>
      </c>
      <c r="M4">
        <v>3.3486429010207233</v>
      </c>
    </row>
    <row r="5" spans="1:13">
      <c r="A5" t="s">
        <v>46</v>
      </c>
      <c r="B5" t="s">
        <v>33</v>
      </c>
      <c r="C5">
        <v>1</v>
      </c>
      <c r="D5">
        <v>-0.13171705197987593</v>
      </c>
      <c r="E5">
        <v>-0.14424106951700552</v>
      </c>
      <c r="F5">
        <v>3.9384431881863595E-3</v>
      </c>
      <c r="G5">
        <v>-4.8032248241268026E-2</v>
      </c>
      <c r="H5">
        <v>0.96310326550082148</v>
      </c>
      <c r="I5">
        <v>1.0382781295842145</v>
      </c>
      <c r="J5">
        <v>0.95373855340620262</v>
      </c>
      <c r="K5">
        <v>-9.5855212027493905E-2</v>
      </c>
      <c r="L5">
        <v>0.95370904197013096</v>
      </c>
      <c r="M5">
        <v>-16.264769026987715</v>
      </c>
    </row>
    <row r="6" spans="1:13">
      <c r="A6" t="s">
        <v>50</v>
      </c>
      <c r="B6" t="s">
        <v>33</v>
      </c>
      <c r="C6">
        <v>1</v>
      </c>
      <c r="D6">
        <v>-0.71874816764428595</v>
      </c>
      <c r="E6">
        <v>-0.69673160297525238</v>
      </c>
      <c r="F6">
        <v>8.4056661972089549E-3</v>
      </c>
      <c r="G6">
        <v>-0.32153830624539731</v>
      </c>
      <c r="H6">
        <v>0.85469706453809335</v>
      </c>
      <c r="I6">
        <v>0.98550537575734731</v>
      </c>
      <c r="J6">
        <v>0.67373256995346209</v>
      </c>
      <c r="K6">
        <v>-0.46167742802600414</v>
      </c>
      <c r="L6">
        <v>0.56749070526182377</v>
      </c>
      <c r="M6">
        <v>-1.9106627801492901</v>
      </c>
    </row>
    <row r="7" spans="1:13">
      <c r="A7" t="s">
        <v>54</v>
      </c>
      <c r="B7" t="s">
        <v>33</v>
      </c>
      <c r="C7">
        <v>1</v>
      </c>
      <c r="D7">
        <v>-1.6770902253527398E-2</v>
      </c>
      <c r="E7">
        <v>0.77543842089394366</v>
      </c>
      <c r="F7">
        <v>2.5047673464881477E-2</v>
      </c>
      <c r="G7">
        <v>-0.72432050563490047</v>
      </c>
      <c r="H7">
        <v>1.1733291993993267</v>
      </c>
      <c r="I7">
        <v>0.85227573004399737</v>
      </c>
      <c r="J7">
        <v>0.15013360101488676</v>
      </c>
      <c r="K7">
        <v>5.757468128873082E-2</v>
      </c>
      <c r="L7">
        <v>0.15013360101488676</v>
      </c>
      <c r="M7">
        <v>-5.0269725163806248E-2</v>
      </c>
    </row>
    <row r="8" spans="1:13">
      <c r="A8" t="s">
        <v>59</v>
      </c>
      <c r="B8" t="s">
        <v>33</v>
      </c>
      <c r="C8">
        <v>1</v>
      </c>
      <c r="D8">
        <v>-1.7622739038508292E-3</v>
      </c>
      <c r="E8">
        <v>-3.8283917383787849E-2</v>
      </c>
      <c r="F8">
        <v>1.5214463321895938E-3</v>
      </c>
      <c r="G8">
        <v>0.64088128246383069</v>
      </c>
      <c r="H8">
        <v>1.0195874146187218</v>
      </c>
      <c r="I8">
        <v>0.35909044950421637</v>
      </c>
      <c r="J8">
        <v>2.7847349695562023</v>
      </c>
      <c r="K8">
        <v>-8.8362345766915349E-3</v>
      </c>
      <c r="L8">
        <v>1.0195585928891067</v>
      </c>
      <c r="M8">
        <v>9.8382773844743025E-3</v>
      </c>
    </row>
    <row r="9" spans="1:13">
      <c r="A9" t="s">
        <v>64</v>
      </c>
      <c r="B9" t="s">
        <v>33</v>
      </c>
      <c r="C9">
        <v>1</v>
      </c>
      <c r="D9">
        <v>-6.9468640787716612E-2</v>
      </c>
      <c r="E9">
        <v>-8.1602256101545409E-2</v>
      </c>
      <c r="F9">
        <v>7.1791142296642168E-3</v>
      </c>
      <c r="G9">
        <v>0.30054523979090364</v>
      </c>
      <c r="H9">
        <v>1.3654427571926051</v>
      </c>
      <c r="I9">
        <v>0.62944789449753213</v>
      </c>
      <c r="J9">
        <v>1.4774743746355989</v>
      </c>
      <c r="K9">
        <v>0.24595140055520878</v>
      </c>
      <c r="L9">
        <v>1.2698523894529943</v>
      </c>
      <c r="M9">
        <v>2.0669784811928134</v>
      </c>
    </row>
    <row r="10" spans="1:13">
      <c r="A10" t="s">
        <v>68</v>
      </c>
      <c r="B10" t="s">
        <v>33</v>
      </c>
      <c r="C10">
        <v>1</v>
      </c>
      <c r="D10">
        <v>-0.259996744450468</v>
      </c>
      <c r="E10">
        <v>-0.24346853571525043</v>
      </c>
      <c r="F10">
        <v>4.1826544734199882E-2</v>
      </c>
      <c r="G10">
        <v>1.6154033202943202E-2</v>
      </c>
      <c r="H10">
        <v>1.0738315418393101</v>
      </c>
      <c r="I10">
        <v>0.7022584404037221</v>
      </c>
      <c r="J10">
        <v>1.0230029747932348</v>
      </c>
      <c r="K10">
        <v>7.9843221963478705E-3</v>
      </c>
      <c r="L10">
        <v>0.7714539742096379</v>
      </c>
      <c r="M10">
        <v>39.571601721686179</v>
      </c>
    </row>
    <row r="11" spans="1:13">
      <c r="A11" t="s">
        <v>72</v>
      </c>
      <c r="B11" t="s">
        <v>33</v>
      </c>
      <c r="C11">
        <v>1</v>
      </c>
      <c r="D11">
        <v>-0.54770027716308056</v>
      </c>
      <c r="E11">
        <v>-24.178015915731198</v>
      </c>
      <c r="F11">
        <v>7.580126738625535E-4</v>
      </c>
      <c r="G11">
        <v>0.82549219826305176</v>
      </c>
      <c r="H11">
        <v>0.69965408275795515</v>
      </c>
      <c r="I11">
        <v>3.3521500910579573E-2</v>
      </c>
      <c r="J11">
        <v>25.625752900059489</v>
      </c>
      <c r="K11">
        <v>-0.7324165757316119</v>
      </c>
      <c r="L11">
        <v>0.6010124417718451</v>
      </c>
      <c r="M11">
        <v>3.2727684951618714E-2</v>
      </c>
    </row>
    <row r="12" spans="1:13">
      <c r="A12" t="s">
        <v>76</v>
      </c>
      <c r="B12" t="s">
        <v>33</v>
      </c>
      <c r="C12">
        <v>1</v>
      </c>
      <c r="D12">
        <v>-2.6252174389800181E-3</v>
      </c>
      <c r="E12">
        <v>-1404.5333333333335</v>
      </c>
      <c r="F12">
        <v>0</v>
      </c>
      <c r="G12">
        <v>6.3385996109313822E-2</v>
      </c>
      <c r="H12">
        <v>1.0676756869382786</v>
      </c>
      <c r="I12">
        <v>0.93661400389068616</v>
      </c>
      <c r="J12">
        <v>1.0676756869382786</v>
      </c>
      <c r="K12">
        <v>6.2712001802967487E-2</v>
      </c>
      <c r="L12">
        <v>1.0676756869382786</v>
      </c>
      <c r="M12">
        <v>2.9490173874065161E-5</v>
      </c>
    </row>
    <row r="13" spans="1:13">
      <c r="A13" t="s">
        <v>79</v>
      </c>
      <c r="B13" t="s">
        <v>33</v>
      </c>
      <c r="C13">
        <v>1</v>
      </c>
      <c r="D13">
        <v>-0.10098338796453142</v>
      </c>
      <c r="E13">
        <v>-2.8284081796684148E-2</v>
      </c>
      <c r="F13">
        <v>1.895294387354262E-2</v>
      </c>
      <c r="G13">
        <v>-1.8901923917397232E-2</v>
      </c>
      <c r="H13">
        <v>1.0805690773368342</v>
      </c>
      <c r="I13">
        <v>0.70637363772432138</v>
      </c>
      <c r="J13">
        <v>0.97324089843118677</v>
      </c>
      <c r="K13">
        <v>3.2715391047942903E-2</v>
      </c>
      <c r="L13">
        <v>0.74286067548351997</v>
      </c>
      <c r="M13">
        <v>-36.805815203621144</v>
      </c>
    </row>
    <row r="14" spans="1:13">
      <c r="A14" t="s">
        <v>82</v>
      </c>
      <c r="B14" t="s">
        <v>33</v>
      </c>
      <c r="C14">
        <v>1</v>
      </c>
      <c r="D14">
        <v>-1.6191895176345419E-2</v>
      </c>
      <c r="E14">
        <v>-1.7621359223300972</v>
      </c>
      <c r="F14">
        <v>0</v>
      </c>
      <c r="G14">
        <v>0.74961574982625812</v>
      </c>
      <c r="H14">
        <v>1.0056697260372252</v>
      </c>
      <c r="I14">
        <v>3.295423169234285E-2</v>
      </c>
      <c r="J14">
        <v>23.747177261621204</v>
      </c>
      <c r="K14">
        <v>5.6377614742032182E-3</v>
      </c>
      <c r="L14">
        <v>0.78700693891876783</v>
      </c>
      <c r="M14">
        <v>9.2736849914682104E-3</v>
      </c>
    </row>
    <row r="15" spans="1:13">
      <c r="A15" t="s">
        <v>85</v>
      </c>
      <c r="B15" t="s">
        <v>33</v>
      </c>
      <c r="C15">
        <v>1</v>
      </c>
      <c r="D15">
        <v>-1.0920860560528935E-2</v>
      </c>
      <c r="E15">
        <v>-4.125264898950741</v>
      </c>
      <c r="F15">
        <v>2.2945219899855896E-6</v>
      </c>
      <c r="G15">
        <v>-0.11840301694695406</v>
      </c>
      <c r="H15">
        <v>0.89837606969843864</v>
      </c>
      <c r="I15">
        <v>1.1131195873635344</v>
      </c>
      <c r="J15">
        <v>0.89362956299475782</v>
      </c>
      <c r="K15">
        <v>-0.19307610346008941</v>
      </c>
      <c r="L15">
        <v>0.89362956299475782</v>
      </c>
      <c r="M15">
        <v>-2.2333722165818106E-2</v>
      </c>
    </row>
    <row r="16" spans="1:13">
      <c r="A16" t="s">
        <v>89</v>
      </c>
      <c r="B16" t="s">
        <v>33</v>
      </c>
      <c r="C16">
        <v>1</v>
      </c>
      <c r="D16">
        <v>-0.13831036343790173</v>
      </c>
      <c r="E16">
        <v>0.38195384898140805</v>
      </c>
      <c r="F16">
        <v>5.4245643699639121E-2</v>
      </c>
      <c r="G16">
        <v>-6.1868838114810365E-2</v>
      </c>
      <c r="H16">
        <v>0.99208784397037419</v>
      </c>
      <c r="I16">
        <v>0.68203717208507186</v>
      </c>
      <c r="J16">
        <v>0.90928817277558394</v>
      </c>
      <c r="K16">
        <v>-0.11571539284987442</v>
      </c>
      <c r="L16">
        <v>0.61526146534725568</v>
      </c>
      <c r="M16">
        <v>-0.95825068129993873</v>
      </c>
    </row>
    <row r="17" spans="1:13">
      <c r="A17" t="s">
        <v>92</v>
      </c>
      <c r="B17" t="s">
        <v>33</v>
      </c>
      <c r="C17">
        <v>1</v>
      </c>
      <c r="D17">
        <v>-0.31350286420833801</v>
      </c>
      <c r="E17">
        <v>-1.6649111617312071</v>
      </c>
      <c r="F17">
        <v>5.3176772198980253E-2</v>
      </c>
      <c r="G17">
        <v>-0.50760449344984182</v>
      </c>
      <c r="H17">
        <v>0.7195643351977139</v>
      </c>
      <c r="I17">
        <v>1.389729800498285</v>
      </c>
      <c r="J17">
        <v>0.63474591012739234</v>
      </c>
      <c r="K17">
        <v>-0.46763172894395361</v>
      </c>
      <c r="L17">
        <v>0.63474591012739234</v>
      </c>
      <c r="M17">
        <v>-0.1606420659806134</v>
      </c>
    </row>
    <row r="18" spans="1:13">
      <c r="A18" t="s">
        <v>95</v>
      </c>
      <c r="B18" t="s">
        <v>33</v>
      </c>
      <c r="C18">
        <v>1</v>
      </c>
      <c r="D18">
        <v>-0.2992064536102656</v>
      </c>
      <c r="E18">
        <v>-0.43292105156920518</v>
      </c>
      <c r="F18">
        <v>1.5492922476861395E-2</v>
      </c>
      <c r="G18">
        <v>-0.29433445963481009</v>
      </c>
      <c r="H18">
        <v>0.78897417610144793</v>
      </c>
      <c r="I18">
        <v>1.2510548397381858</v>
      </c>
      <c r="J18">
        <v>0.76473096919044181</v>
      </c>
      <c r="K18">
        <v>-0.2819003589098657</v>
      </c>
      <c r="L18">
        <v>0.75482767365152481</v>
      </c>
      <c r="M18">
        <v>-2.1298097249269983</v>
      </c>
    </row>
    <row r="19" spans="1:13">
      <c r="A19" t="s">
        <v>98</v>
      </c>
      <c r="B19" t="s">
        <v>33</v>
      </c>
      <c r="C19">
        <v>1</v>
      </c>
      <c r="D19">
        <v>-0.13520235657331806</v>
      </c>
      <c r="E19">
        <v>0.11642169461506037</v>
      </c>
      <c r="F19">
        <v>7.9045987123141526E-3</v>
      </c>
      <c r="G19">
        <v>-0.1203806191135444</v>
      </c>
      <c r="H19">
        <v>0.89738837154881346</v>
      </c>
      <c r="I19">
        <v>1.0460974310003479</v>
      </c>
      <c r="J19">
        <v>0.88492408494070351</v>
      </c>
      <c r="K19">
        <v>-0.14954589996797413</v>
      </c>
      <c r="L19">
        <v>0.8307275023344578</v>
      </c>
      <c r="M19">
        <v>-7.3908268694652604</v>
      </c>
    </row>
    <row r="20" spans="1:13">
      <c r="A20" t="s">
        <v>101</v>
      </c>
      <c r="B20" t="s">
        <v>33</v>
      </c>
      <c r="C20">
        <v>1</v>
      </c>
      <c r="D20">
        <v>1.3598841548301541E-3</v>
      </c>
      <c r="E20">
        <v>0.45834161531835949</v>
      </c>
      <c r="F20">
        <v>1.0375800935831158E-3</v>
      </c>
      <c r="G20">
        <v>-5.1757210118468622E-2</v>
      </c>
      <c r="H20">
        <v>0.99873680225812023</v>
      </c>
      <c r="I20">
        <v>0.95530571119695029</v>
      </c>
      <c r="J20">
        <v>0.94582131195089436</v>
      </c>
      <c r="K20">
        <v>-7.9961999160426175E-3</v>
      </c>
      <c r="L20">
        <v>0.90240714065224048</v>
      </c>
      <c r="M20">
        <v>-0.10224657255845068</v>
      </c>
    </row>
    <row r="21" spans="1:13">
      <c r="A21" t="s">
        <v>104</v>
      </c>
      <c r="B21" t="s">
        <v>33</v>
      </c>
      <c r="C21">
        <v>1</v>
      </c>
      <c r="D21">
        <v>7.085400998115189E-3</v>
      </c>
      <c r="E21">
        <v>0.78370000000000006</v>
      </c>
      <c r="F21">
        <v>2.169209781748021E-3</v>
      </c>
      <c r="G21">
        <v>-0.15306979730680298</v>
      </c>
      <c r="H21">
        <v>0.9818586876060339</v>
      </c>
      <c r="I21">
        <v>1.0184765003589245</v>
      </c>
      <c r="J21">
        <v>0.84970708970422093</v>
      </c>
      <c r="K21">
        <v>-1.8476500358924595E-2</v>
      </c>
      <c r="L21">
        <v>0.84970708970422093</v>
      </c>
      <c r="M21">
        <v>-0.11783129151343688</v>
      </c>
    </row>
    <row r="22" spans="1:13">
      <c r="A22" t="s">
        <v>107</v>
      </c>
      <c r="B22" t="s">
        <v>33</v>
      </c>
      <c r="C22">
        <v>1</v>
      </c>
      <c r="D22">
        <v>-7.7541965404279892E-2</v>
      </c>
      <c r="E22">
        <v>-4.4330311753382562E-2</v>
      </c>
      <c r="F22">
        <v>4.3796873923888507E-2</v>
      </c>
      <c r="G22">
        <v>-0.58553011179812842</v>
      </c>
      <c r="H22">
        <v>0.87076962910325151</v>
      </c>
      <c r="I22">
        <v>0.75697410217978234</v>
      </c>
      <c r="J22">
        <v>0.22648593906708808</v>
      </c>
      <c r="K22">
        <v>-0.36899357044741943</v>
      </c>
      <c r="L22">
        <v>0.14928821991661417</v>
      </c>
      <c r="M22">
        <v>-0.50164336925501019</v>
      </c>
    </row>
    <row r="23" spans="1:13">
      <c r="A23" t="s">
        <v>110</v>
      </c>
      <c r="B23" t="s">
        <v>33</v>
      </c>
      <c r="C23">
        <v>1</v>
      </c>
      <c r="D23">
        <v>-5.975418877606814E-2</v>
      </c>
      <c r="E23">
        <v>-9.5861882716049376</v>
      </c>
      <c r="F23">
        <v>9.6792934300947236E-4</v>
      </c>
      <c r="G23">
        <v>8.0189009622277152E-2</v>
      </c>
      <c r="H23">
        <v>2.0479881442783792</v>
      </c>
      <c r="I23">
        <v>0.48828407664066625</v>
      </c>
      <c r="J23">
        <v>1.1642261410078485</v>
      </c>
      <c r="K23">
        <v>0.40535416508164374</v>
      </c>
      <c r="L23">
        <v>1.1642261410078485</v>
      </c>
      <c r="M23">
        <v>7.6278458751364006E-2</v>
      </c>
    </row>
    <row r="24" spans="1:13">
      <c r="A24" t="s">
        <v>113</v>
      </c>
      <c r="B24" t="s">
        <v>33</v>
      </c>
      <c r="C24">
        <v>1</v>
      </c>
      <c r="D24">
        <v>-2.3393014071190543E-2</v>
      </c>
      <c r="E24">
        <v>-0.30091318858684096</v>
      </c>
      <c r="F24">
        <v>5.8573744450937763E-6</v>
      </c>
      <c r="G24">
        <v>-1.9288779203087409</v>
      </c>
      <c r="H24">
        <v>0.40860856671078771</v>
      </c>
      <c r="I24">
        <v>2.4449748890694898</v>
      </c>
      <c r="J24">
        <v>0.21108477271812218</v>
      </c>
      <c r="K24">
        <v>-1.8534012537196911</v>
      </c>
      <c r="L24">
        <v>0.21088164268911194</v>
      </c>
      <c r="M24">
        <v>-3.9007984028312022E-2</v>
      </c>
    </row>
    <row r="25" spans="1:13">
      <c r="A25" t="s">
        <v>116</v>
      </c>
      <c r="B25" t="s">
        <v>33</v>
      </c>
      <c r="C25">
        <v>1</v>
      </c>
      <c r="D25">
        <v>-2.5046839238428483E-2</v>
      </c>
      <c r="E25">
        <v>-0.44007698855140365</v>
      </c>
      <c r="F25">
        <v>5.766961622551193E-3</v>
      </c>
      <c r="G25">
        <v>-0.46224729654561675</v>
      </c>
      <c r="H25">
        <v>0.76361534651860574</v>
      </c>
      <c r="I25">
        <v>1.2272630187085933</v>
      </c>
      <c r="J25">
        <v>0.62335107511670673</v>
      </c>
      <c r="K25">
        <v>-0.32736745240043297</v>
      </c>
      <c r="L25">
        <v>0.58417774577166293</v>
      </c>
      <c r="M25">
        <v>-8.0558110573201808E-2</v>
      </c>
    </row>
    <row r="26" spans="1:13">
      <c r="A26" t="s">
        <v>119</v>
      </c>
      <c r="B26" t="s">
        <v>33</v>
      </c>
      <c r="C26">
        <v>1</v>
      </c>
      <c r="D26">
        <v>-0.28377165733796839</v>
      </c>
      <c r="E26">
        <v>-16.828941603555112</v>
      </c>
      <c r="F26">
        <v>2.8418881928163119E-2</v>
      </c>
      <c r="G26">
        <v>-0.38515563674383446</v>
      </c>
      <c r="H26">
        <v>0.96739725749999728</v>
      </c>
      <c r="I26">
        <v>1.0337015039553208</v>
      </c>
      <c r="J26">
        <v>0.62740149330334938</v>
      </c>
      <c r="K26">
        <v>-3.4733561396627817E-2</v>
      </c>
      <c r="L26">
        <v>0.62740149330334938</v>
      </c>
      <c r="M26">
        <v>-3.1331119441996291E-2</v>
      </c>
    </row>
    <row r="27" spans="1:13">
      <c r="A27" t="s">
        <v>123</v>
      </c>
      <c r="B27" t="s">
        <v>33</v>
      </c>
      <c r="C27">
        <v>1</v>
      </c>
      <c r="D27">
        <v>-0.11250468187843506</v>
      </c>
      <c r="E27">
        <v>5.8169883329683512E-3</v>
      </c>
      <c r="F27">
        <v>8.0899944251612912E-4</v>
      </c>
      <c r="G27">
        <v>-1.4025027704831357</v>
      </c>
      <c r="H27">
        <v>0.37975055531096213</v>
      </c>
      <c r="I27">
        <v>2.1933770684306797</v>
      </c>
      <c r="J27">
        <v>0.36057379705961806</v>
      </c>
      <c r="K27">
        <v>-1.782458196512902</v>
      </c>
      <c r="L27">
        <v>0.30033495382674713</v>
      </c>
      <c r="M27">
        <v>-0.11695069313045169</v>
      </c>
    </row>
    <row r="28" spans="1:13">
      <c r="A28" t="s">
        <v>127</v>
      </c>
      <c r="B28" t="s">
        <v>33</v>
      </c>
      <c r="C28">
        <v>1</v>
      </c>
      <c r="D28">
        <v>-0.10392869678990953</v>
      </c>
      <c r="E28">
        <v>-2.0036491228070177</v>
      </c>
      <c r="F28">
        <v>8.9282363348792318E-2</v>
      </c>
      <c r="G28">
        <v>-5.3554633750861107E-2</v>
      </c>
      <c r="H28">
        <v>1.1653814500581776</v>
      </c>
      <c r="I28">
        <v>0.11230268006283524</v>
      </c>
      <c r="J28">
        <v>0.52312238923508869</v>
      </c>
      <c r="K28">
        <v>7.8819107864967902E-2</v>
      </c>
      <c r="L28">
        <v>6.8463883399133382E-2</v>
      </c>
      <c r="M28">
        <v>-0.25578546330824842</v>
      </c>
    </row>
    <row r="29" spans="1:13">
      <c r="A29" t="s">
        <v>130</v>
      </c>
      <c r="B29" t="s">
        <v>33</v>
      </c>
      <c r="C29">
        <v>1</v>
      </c>
      <c r="D29">
        <v>-1.8148879230914104E-2</v>
      </c>
      <c r="E29">
        <v>-107.5871485943775</v>
      </c>
      <c r="F29">
        <v>9.3946557483021414E-4</v>
      </c>
      <c r="G29">
        <v>-1.3177902629198268</v>
      </c>
      <c r="H29">
        <v>0.62505274865317439</v>
      </c>
      <c r="I29">
        <v>1.5480323551411104</v>
      </c>
      <c r="J29">
        <v>0.14873209300608961</v>
      </c>
      <c r="K29">
        <v>-0.60149353490969137</v>
      </c>
      <c r="L29">
        <v>0.14391345259857097</v>
      </c>
      <c r="M29">
        <v>-1.1785552918978536E-4</v>
      </c>
    </row>
    <row r="30" spans="1:13">
      <c r="A30" t="s">
        <v>134</v>
      </c>
      <c r="B30" t="s">
        <v>33</v>
      </c>
      <c r="C30">
        <v>1</v>
      </c>
      <c r="D30">
        <v>-6.3270705775056724E-2</v>
      </c>
      <c r="E30">
        <v>-0.9082275703805226</v>
      </c>
      <c r="F30">
        <v>1.0682533216741596E-2</v>
      </c>
      <c r="G30">
        <v>0.76313628804683609</v>
      </c>
      <c r="H30">
        <v>0.59816838889072477</v>
      </c>
      <c r="I30">
        <v>0.23571930968604463</v>
      </c>
      <c r="J30">
        <v>4.2374788856426742</v>
      </c>
      <c r="K30">
        <v>-0.86005996168241949</v>
      </c>
      <c r="L30">
        <v>0.59748384363035911</v>
      </c>
      <c r="M30">
        <v>9.0369916393741659E-2</v>
      </c>
    </row>
    <row r="31" spans="1:13">
      <c r="A31" t="s">
        <v>137</v>
      </c>
      <c r="B31" t="s">
        <v>33</v>
      </c>
      <c r="C31">
        <v>1</v>
      </c>
      <c r="D31">
        <v>-8.2732614156094913E-4</v>
      </c>
      <c r="E31">
        <v>0.1969930519515728</v>
      </c>
      <c r="F31">
        <v>1.1122710548904282E-2</v>
      </c>
      <c r="G31">
        <v>0.29764363503467373</v>
      </c>
      <c r="H31">
        <v>1.5051486863256009</v>
      </c>
      <c r="I31">
        <v>0.53707714913634308</v>
      </c>
      <c r="J31">
        <v>1.5541915821838725</v>
      </c>
      <c r="K31">
        <v>0.31677278035336387</v>
      </c>
      <c r="L31">
        <v>1.2563788917436813</v>
      </c>
      <c r="M31">
        <v>0.22516755536815963</v>
      </c>
    </row>
    <row r="32" spans="1:13">
      <c r="A32" t="s">
        <v>140</v>
      </c>
      <c r="B32" t="s">
        <v>33</v>
      </c>
      <c r="C32">
        <v>1</v>
      </c>
      <c r="D32">
        <v>2.7510205759774409E-2</v>
      </c>
      <c r="E32">
        <v>4.1680834076405188E-2</v>
      </c>
      <c r="F32">
        <v>1.3712961903340058E-2</v>
      </c>
      <c r="G32">
        <v>0.2881308798165565</v>
      </c>
      <c r="H32">
        <v>1.1000630320220854</v>
      </c>
      <c r="I32">
        <v>0.57332080111093087</v>
      </c>
      <c r="J32">
        <v>1.5025648454726248</v>
      </c>
      <c r="K32">
        <v>6.9273401983246233E-2</v>
      </c>
      <c r="L32">
        <v>0.94765114806161388</v>
      </c>
      <c r="M32">
        <v>4.3049094767275378</v>
      </c>
    </row>
    <row r="33" spans="1:13">
      <c r="A33" t="s">
        <v>143</v>
      </c>
      <c r="B33" t="s">
        <v>33</v>
      </c>
      <c r="C33">
        <v>1</v>
      </c>
      <c r="D33">
        <v>-0.10469594479034203</v>
      </c>
      <c r="E33">
        <v>-13.420718144264379</v>
      </c>
      <c r="F33">
        <v>4.5386943872646334E-4</v>
      </c>
      <c r="G33">
        <v>-1.6724767326884138</v>
      </c>
      <c r="H33">
        <v>0.34364498450718273</v>
      </c>
      <c r="I33">
        <v>2.4443533774806796</v>
      </c>
      <c r="J33">
        <v>0.31577948258357624</v>
      </c>
      <c r="K33">
        <v>-1.9830319828336029</v>
      </c>
      <c r="L33">
        <v>0.26525153764109444</v>
      </c>
      <c r="M33">
        <v>-4.2448239652482849E-3</v>
      </c>
    </row>
    <row r="34" spans="1:13">
      <c r="A34" t="s">
        <v>146</v>
      </c>
      <c r="B34" t="s">
        <v>33</v>
      </c>
      <c r="C34">
        <v>1</v>
      </c>
      <c r="D34">
        <v>-1.1842556240256364E-4</v>
      </c>
      <c r="E34">
        <v>7.0312368016488436E-2</v>
      </c>
      <c r="F34">
        <v>1.6733009245367901E-6</v>
      </c>
      <c r="G34">
        <v>0.16654247072340375</v>
      </c>
      <c r="H34">
        <v>1.0549848818649652</v>
      </c>
      <c r="I34">
        <v>0.8273754547258606</v>
      </c>
      <c r="J34">
        <v>1.2012900790954515</v>
      </c>
      <c r="K34">
        <v>5.2094955852774343E-2</v>
      </c>
      <c r="L34">
        <v>1.0485683851635632</v>
      </c>
      <c r="M34">
        <v>0.10163179528386437</v>
      </c>
    </row>
    <row r="35" spans="1:13">
      <c r="A35" t="s">
        <v>149</v>
      </c>
      <c r="B35" t="s">
        <v>33</v>
      </c>
      <c r="C35">
        <v>1</v>
      </c>
      <c r="D35">
        <v>-0.16736052036647073</v>
      </c>
      <c r="E35">
        <v>0.30186484315636347</v>
      </c>
      <c r="F35">
        <v>2.2857317227174601E-2</v>
      </c>
      <c r="G35">
        <v>-0.37868396395980197</v>
      </c>
      <c r="H35">
        <v>1.0940993244321171</v>
      </c>
      <c r="I35">
        <v>0.79698818053592546</v>
      </c>
      <c r="J35">
        <v>0.52485623600445319</v>
      </c>
      <c r="K35">
        <v>-2.0458919169418093E-2</v>
      </c>
      <c r="L35">
        <v>0.45766636076304262</v>
      </c>
      <c r="M35">
        <v>-1.4419569094415092</v>
      </c>
    </row>
    <row r="36" spans="1:13">
      <c r="A36" t="s">
        <v>152</v>
      </c>
      <c r="B36" t="s">
        <v>33</v>
      </c>
      <c r="C36">
        <v>1</v>
      </c>
      <c r="D36">
        <v>-0.97975804066596495</v>
      </c>
      <c r="E36">
        <v>-1.7677354520050184</v>
      </c>
      <c r="F36">
        <v>2.968814454883519E-3</v>
      </c>
      <c r="G36">
        <v>-1.097793598858565</v>
      </c>
      <c r="H36">
        <v>0.50741956309636937</v>
      </c>
      <c r="I36">
        <v>1.6472066266707841</v>
      </c>
      <c r="J36">
        <v>0.33354226416794669</v>
      </c>
      <c r="K36">
        <v>-1.3530928219966996</v>
      </c>
      <c r="L36">
        <v>0.2787829185319296</v>
      </c>
      <c r="M36">
        <v>-0.60932158764168409</v>
      </c>
    </row>
    <row r="37" spans="1:13">
      <c r="A37" t="s">
        <v>155</v>
      </c>
      <c r="B37" t="s">
        <v>33</v>
      </c>
      <c r="C37">
        <v>1</v>
      </c>
      <c r="D37">
        <v>1.0988707444106679E-2</v>
      </c>
      <c r="E37">
        <v>0.10531850701049557</v>
      </c>
      <c r="F37">
        <v>1.9031036507432514E-2</v>
      </c>
      <c r="G37">
        <v>6.0550734093191429E-2</v>
      </c>
      <c r="H37">
        <v>1.1701172073949859</v>
      </c>
      <c r="I37">
        <v>0.77290530042601413</v>
      </c>
      <c r="J37">
        <v>1.0783417244775224</v>
      </c>
      <c r="K37">
        <v>9.7307578721040219E-2</v>
      </c>
      <c r="L37">
        <v>0.97524124759811193</v>
      </c>
      <c r="M37">
        <v>12.03685687269242</v>
      </c>
    </row>
    <row r="38" spans="1:13">
      <c r="A38" t="s">
        <v>158</v>
      </c>
      <c r="B38" t="s">
        <v>33</v>
      </c>
      <c r="C38">
        <v>1</v>
      </c>
      <c r="D38">
        <v>-8.0151437104386998E-3</v>
      </c>
      <c r="E38">
        <v>-3.554667850273709</v>
      </c>
      <c r="F38">
        <v>2.4257635495065993E-5</v>
      </c>
      <c r="G38">
        <v>0.20161448569448817</v>
      </c>
      <c r="H38">
        <v>1.0299270828280869</v>
      </c>
      <c r="I38">
        <v>0.50798499011491316</v>
      </c>
      <c r="J38">
        <v>1.3968906357821327</v>
      </c>
      <c r="K38">
        <v>1.9091702272549596E-2</v>
      </c>
      <c r="L38">
        <v>0.73083571809671632</v>
      </c>
      <c r="M38">
        <v>1.0525373250540168E-2</v>
      </c>
    </row>
    <row r="39" spans="1:13">
      <c r="A39" t="s">
        <v>161</v>
      </c>
      <c r="B39" t="s">
        <v>33</v>
      </c>
      <c r="C39">
        <v>1</v>
      </c>
      <c r="D39">
        <v>-0.75352923844978448</v>
      </c>
      <c r="E39">
        <v>-0.38938388797508983</v>
      </c>
      <c r="F39">
        <v>1.5826233476937956E-2</v>
      </c>
      <c r="G39">
        <v>-0.76976567014841457</v>
      </c>
      <c r="H39">
        <v>0.56228672024352555</v>
      </c>
      <c r="I39">
        <v>1.7617734020029507</v>
      </c>
      <c r="J39">
        <v>0.5630733956629882</v>
      </c>
      <c r="K39">
        <v>-1.0541474413914469</v>
      </c>
      <c r="L39">
        <v>0.55779277400070593</v>
      </c>
      <c r="M39">
        <v>-2.4760870799393642</v>
      </c>
    </row>
    <row r="40" spans="1:13">
      <c r="A40" t="s">
        <v>164</v>
      </c>
      <c r="B40" t="s">
        <v>33</v>
      </c>
      <c r="C40">
        <v>1</v>
      </c>
      <c r="D40">
        <v>-6.9865525902249218E-2</v>
      </c>
      <c r="E40">
        <v>-31.705615194054499</v>
      </c>
      <c r="F40">
        <v>6.2890751855281994E-3</v>
      </c>
      <c r="G40">
        <v>-1.0518511724701578</v>
      </c>
      <c r="H40">
        <v>0.4875485891541258</v>
      </c>
      <c r="I40">
        <v>2.0510776202530985</v>
      </c>
      <c r="J40">
        <v>0.48717144486206149</v>
      </c>
      <c r="K40">
        <v>-1.0571726894941817</v>
      </c>
      <c r="L40">
        <v>0.48717144486206149</v>
      </c>
      <c r="M40">
        <v>-1.1273334452495448E-3</v>
      </c>
    </row>
    <row r="41" spans="1:13">
      <c r="A41" t="s">
        <v>167</v>
      </c>
      <c r="B41" t="s">
        <v>33</v>
      </c>
      <c r="C41">
        <v>1</v>
      </c>
      <c r="D41">
        <v>7.911706318702711E-3</v>
      </c>
      <c r="E41">
        <v>3.0519976891037203E-2</v>
      </c>
      <c r="F41">
        <v>9.4229277577436441E-4</v>
      </c>
      <c r="G41">
        <v>-1.4398768008451293E-2</v>
      </c>
      <c r="H41">
        <v>1.0078829968512657</v>
      </c>
      <c r="I41">
        <v>0.92266681942225093</v>
      </c>
      <c r="J41">
        <v>0.98439440141841505</v>
      </c>
      <c r="K41">
        <v>-0.1723097976499175</v>
      </c>
      <c r="L41">
        <v>0.91542792560319963</v>
      </c>
      <c r="M41">
        <v>-45.841583013369103</v>
      </c>
    </row>
    <row r="42" spans="1:13">
      <c r="A42" t="s">
        <v>171</v>
      </c>
      <c r="B42" t="s">
        <v>33</v>
      </c>
      <c r="C42">
        <v>1</v>
      </c>
      <c r="D42">
        <v>-0.2855889290439006</v>
      </c>
      <c r="E42">
        <v>-0.55092573883994722</v>
      </c>
      <c r="F42">
        <v>1.3451104981730784E-2</v>
      </c>
      <c r="G42">
        <v>0.36638969370618951</v>
      </c>
      <c r="H42">
        <v>1.1845028656628536</v>
      </c>
      <c r="I42">
        <v>0.48525555774924639</v>
      </c>
      <c r="J42">
        <v>1.7550448168087127</v>
      </c>
      <c r="K42">
        <v>2.4937087284064817E-2</v>
      </c>
      <c r="L42">
        <v>1.0087762408771253</v>
      </c>
      <c r="M42">
        <v>0.81225934864688187</v>
      </c>
    </row>
    <row r="43" spans="1:13">
      <c r="A43" t="s">
        <v>174</v>
      </c>
      <c r="B43" t="s">
        <v>33</v>
      </c>
      <c r="C43">
        <v>1</v>
      </c>
      <c r="D43">
        <v>-4.7984927239222231E-3</v>
      </c>
      <c r="E43">
        <v>-0.60816213687210252</v>
      </c>
      <c r="F43">
        <v>7.1826689131065932E-5</v>
      </c>
      <c r="G43">
        <v>-0.41835733592809976</v>
      </c>
      <c r="H43">
        <v>0.88966808730851221</v>
      </c>
      <c r="I43">
        <v>0.61675745333592003</v>
      </c>
      <c r="J43">
        <v>0.3216825614910902</v>
      </c>
      <c r="K43">
        <v>-0.26791834661375274</v>
      </c>
      <c r="L43">
        <v>0.17651025297599973</v>
      </c>
      <c r="M43">
        <v>-1.8830274044520371E-2</v>
      </c>
    </row>
    <row r="44" spans="1:13">
      <c r="A44" t="s">
        <v>177</v>
      </c>
      <c r="B44" t="s">
        <v>33</v>
      </c>
      <c r="C44">
        <v>1</v>
      </c>
      <c r="D44">
        <v>-0.58083671475577725</v>
      </c>
      <c r="E44">
        <v>-1.0283152170894407</v>
      </c>
      <c r="F44">
        <v>1.3382454238881689E-2</v>
      </c>
      <c r="G44">
        <v>-0.20613433992998723</v>
      </c>
      <c r="H44">
        <v>0.70851726926000191</v>
      </c>
      <c r="I44">
        <v>1.1146929765571982</v>
      </c>
      <c r="J44">
        <v>0.81507523213553701</v>
      </c>
      <c r="K44">
        <v>-0.43774202873581025</v>
      </c>
      <c r="L44">
        <v>0.64372948418570197</v>
      </c>
      <c r="M44">
        <v>-2.9739450886983612</v>
      </c>
    </row>
    <row r="45" spans="1:13">
      <c r="A45" t="s">
        <v>180</v>
      </c>
      <c r="B45" t="s">
        <v>33</v>
      </c>
      <c r="C45">
        <v>1</v>
      </c>
      <c r="D45">
        <v>-1.5298575586270749E-2</v>
      </c>
      <c r="E45">
        <v>0.10488205329703486</v>
      </c>
      <c r="F45">
        <v>3.634946291349628E-3</v>
      </c>
      <c r="G45">
        <v>-0.2873878822449194</v>
      </c>
      <c r="H45">
        <v>0.98991988805024911</v>
      </c>
      <c r="I45">
        <v>0.7905147626807485</v>
      </c>
      <c r="J45">
        <v>0.63645475604991097</v>
      </c>
      <c r="K45">
        <v>-1.2799679541614975E-2</v>
      </c>
      <c r="L45">
        <v>0.49805530515610702</v>
      </c>
      <c r="M45">
        <v>-4.3640815286686611E-2</v>
      </c>
    </row>
    <row r="46" spans="1:13">
      <c r="A46" t="s">
        <v>183</v>
      </c>
      <c r="B46" t="s">
        <v>33</v>
      </c>
      <c r="C46">
        <v>1</v>
      </c>
      <c r="D46">
        <v>-1.1879717925780372E-2</v>
      </c>
      <c r="E46">
        <v>-0.56338303020841463</v>
      </c>
      <c r="F46">
        <v>1.2566926864703866E-3</v>
      </c>
      <c r="G46">
        <v>-2.1117589629901423</v>
      </c>
      <c r="H46">
        <v>0.3343809448017222</v>
      </c>
      <c r="I46">
        <v>2.9906010361713933</v>
      </c>
      <c r="J46">
        <v>0.29386804276185097</v>
      </c>
      <c r="K46">
        <v>-2.3128425855349675</v>
      </c>
      <c r="L46">
        <v>0.29386804276185097</v>
      </c>
      <c r="M46">
        <v>-4.5013718713449525E-3</v>
      </c>
    </row>
    <row r="47" spans="1:13">
      <c r="A47" t="s">
        <v>186</v>
      </c>
      <c r="B47" t="s">
        <v>33</v>
      </c>
      <c r="C47">
        <v>1</v>
      </c>
      <c r="D47">
        <v>-0.45792052203204986</v>
      </c>
      <c r="E47">
        <v>-1.9621090469717566</v>
      </c>
      <c r="F47">
        <v>5.4158547520631255E-2</v>
      </c>
      <c r="G47">
        <v>4.6233643191714621E-2</v>
      </c>
      <c r="H47">
        <v>1.310647093710158</v>
      </c>
      <c r="I47">
        <v>0.76298189253158655</v>
      </c>
      <c r="J47">
        <v>1.0605959900808533</v>
      </c>
      <c r="K47">
        <v>-0.50793645729188819</v>
      </c>
      <c r="L47">
        <v>1.0605959900808533</v>
      </c>
      <c r="M47">
        <v>6.7193988771570883</v>
      </c>
    </row>
    <row r="48" spans="1:13">
      <c r="A48" t="s">
        <v>189</v>
      </c>
      <c r="B48" t="s">
        <v>33</v>
      </c>
      <c r="C48">
        <v>1</v>
      </c>
      <c r="D48">
        <v>4.0147602279937793E-2</v>
      </c>
      <c r="E48">
        <v>0.4964292951950075</v>
      </c>
      <c r="F48">
        <v>4.5921647977049718E-4</v>
      </c>
      <c r="G48">
        <v>1.6402713884486417E-2</v>
      </c>
      <c r="H48">
        <v>1.1761425483859489</v>
      </c>
      <c r="I48">
        <v>0.84509199707841909</v>
      </c>
      <c r="J48">
        <v>1.0194093825775092</v>
      </c>
      <c r="K48">
        <v>0.11278154637577631</v>
      </c>
      <c r="L48">
        <v>1.0132405847729282</v>
      </c>
      <c r="M48">
        <v>7.2437861507383854</v>
      </c>
    </row>
    <row r="49" spans="1:13">
      <c r="A49" t="s">
        <v>192</v>
      </c>
      <c r="B49" t="s">
        <v>33</v>
      </c>
      <c r="C49">
        <v>1</v>
      </c>
      <c r="D49">
        <v>-0.32018954685958068</v>
      </c>
      <c r="E49">
        <v>-0.4414989188940005</v>
      </c>
      <c r="F49">
        <v>1.947269641602788E-2</v>
      </c>
      <c r="G49">
        <v>-1.2454758953105214</v>
      </c>
      <c r="H49">
        <v>0.5258360405611695</v>
      </c>
      <c r="I49">
        <v>1.766148772408356</v>
      </c>
      <c r="J49">
        <v>0.29480691843860618</v>
      </c>
      <c r="K49">
        <v>-0.98148476222260939</v>
      </c>
      <c r="L49">
        <v>0.27378856412071778</v>
      </c>
      <c r="M49">
        <v>-0.3067114938853468</v>
      </c>
    </row>
    <row r="50" spans="1:13">
      <c r="A50" t="s">
        <v>196</v>
      </c>
      <c r="B50" t="s">
        <v>33</v>
      </c>
      <c r="C50">
        <v>1</v>
      </c>
      <c r="D50">
        <v>-0.11840990343471711</v>
      </c>
      <c r="E50">
        <v>-38.79267567969098</v>
      </c>
      <c r="F50">
        <v>4.6164106714985951E-3</v>
      </c>
      <c r="G50">
        <v>0.17275340682059467</v>
      </c>
      <c r="H50">
        <v>0.91861547064008953</v>
      </c>
      <c r="I50">
        <v>0.82168923366925883</v>
      </c>
      <c r="J50">
        <v>1.2102417796679206</v>
      </c>
      <c r="K50">
        <v>-8.8594773287675829E-2</v>
      </c>
      <c r="L50">
        <v>0.91351039421816016</v>
      </c>
      <c r="M50">
        <v>1.6880271950184263E-2</v>
      </c>
    </row>
    <row r="51" spans="1:13">
      <c r="A51" t="s">
        <v>199</v>
      </c>
      <c r="B51" t="s">
        <v>33</v>
      </c>
      <c r="C51">
        <v>1</v>
      </c>
      <c r="D51">
        <v>-0.10873891428381373</v>
      </c>
      <c r="E51">
        <v>-0.25447921052580519</v>
      </c>
      <c r="F51">
        <v>5.0960124791958215E-3</v>
      </c>
      <c r="G51">
        <v>-0.20398459569013119</v>
      </c>
      <c r="H51">
        <v>0.85361092939779226</v>
      </c>
      <c r="I51">
        <v>1.1672883904839857</v>
      </c>
      <c r="J51">
        <v>0.82524918661655311</v>
      </c>
      <c r="K51">
        <v>-0.20907630957052228</v>
      </c>
      <c r="L51">
        <v>0.82228664756640246</v>
      </c>
      <c r="M51">
        <v>-2.242971415639579</v>
      </c>
    </row>
    <row r="52" spans="1:13">
      <c r="A52" t="s">
        <v>202</v>
      </c>
      <c r="B52" t="s">
        <v>33</v>
      </c>
      <c r="C52">
        <v>1</v>
      </c>
      <c r="D52">
        <v>-1.0588648481961661E-2</v>
      </c>
      <c r="E52">
        <v>-0.31081129218986553</v>
      </c>
      <c r="F52">
        <v>2.6514589896790985E-5</v>
      </c>
      <c r="G52">
        <v>-0.11701509722986136</v>
      </c>
      <c r="H52">
        <v>0.85793993802825541</v>
      </c>
      <c r="I52">
        <v>1.0505580975492339</v>
      </c>
      <c r="J52">
        <v>0.88861625311076398</v>
      </c>
      <c r="K52">
        <v>-0.16580781723213206</v>
      </c>
      <c r="L52">
        <v>0.80092382384071437</v>
      </c>
      <c r="M52">
        <v>-0.2144690701565401</v>
      </c>
    </row>
    <row r="53" spans="1:13">
      <c r="A53" t="s">
        <v>205</v>
      </c>
      <c r="B53" t="s">
        <v>33</v>
      </c>
      <c r="C53">
        <v>1</v>
      </c>
      <c r="D53">
        <v>-0.40279389871239524</v>
      </c>
      <c r="E53">
        <v>-0.29643885634402367</v>
      </c>
      <c r="F53">
        <v>1.6171670586136448E-2</v>
      </c>
      <c r="G53">
        <v>-0.91096067915161139</v>
      </c>
      <c r="H53">
        <v>0.67699369307522028</v>
      </c>
      <c r="I53">
        <v>1.4771186352675381</v>
      </c>
      <c r="J53">
        <v>0.38328536557483983</v>
      </c>
      <c r="K53">
        <v>-0.53918585242277128</v>
      </c>
      <c r="L53">
        <v>0.38328536557483983</v>
      </c>
      <c r="M53">
        <v>-1.622339287975558</v>
      </c>
    </row>
    <row r="54" spans="1:13">
      <c r="A54" t="s">
        <v>208</v>
      </c>
      <c r="B54" t="s">
        <v>33</v>
      </c>
      <c r="C54">
        <v>1</v>
      </c>
      <c r="D54">
        <v>3.3937834308354555E-3</v>
      </c>
      <c r="E54">
        <v>0.72983551327784379</v>
      </c>
      <c r="F54">
        <v>9.3852230643397673E-5</v>
      </c>
      <c r="G54">
        <v>-0.71723275790035024</v>
      </c>
      <c r="H54">
        <v>1.1898929961986044</v>
      </c>
      <c r="I54">
        <v>0.8404117035689237</v>
      </c>
      <c r="J54">
        <v>0.14656976473016403</v>
      </c>
      <c r="K54">
        <v>0.15942798450114587</v>
      </c>
      <c r="L54">
        <v>0.14656976473016403</v>
      </c>
      <c r="M54">
        <v>-6.6052956249406857E-3</v>
      </c>
    </row>
    <row r="55" spans="1:13">
      <c r="A55" t="s">
        <v>211</v>
      </c>
      <c r="B55" t="s">
        <v>33</v>
      </c>
      <c r="C55">
        <v>1</v>
      </c>
      <c r="D55">
        <v>-1.0517264430000595</v>
      </c>
      <c r="E55">
        <v>-1.9227157095910847</v>
      </c>
      <c r="F55">
        <v>1.6931216452993759E-3</v>
      </c>
      <c r="G55">
        <v>-2.9415726091933019</v>
      </c>
      <c r="H55">
        <v>0.25865497863702036</v>
      </c>
      <c r="I55">
        <v>3.8661540762504911</v>
      </c>
      <c r="J55">
        <v>0.23914759960986223</v>
      </c>
      <c r="K55">
        <v>-2.899493074482995</v>
      </c>
      <c r="L55">
        <v>0.23914759960986223</v>
      </c>
      <c r="M55">
        <v>-0.62282518851549018</v>
      </c>
    </row>
    <row r="56" spans="1:13">
      <c r="A56" t="s">
        <v>214</v>
      </c>
      <c r="B56" t="s">
        <v>33</v>
      </c>
      <c r="C56">
        <v>1</v>
      </c>
      <c r="D56">
        <v>-0.10242822962067957</v>
      </c>
      <c r="E56">
        <v>-0.19999875583117735</v>
      </c>
      <c r="F56">
        <v>8.8823591664246039E-5</v>
      </c>
      <c r="G56">
        <v>-1.1468896508560611</v>
      </c>
      <c r="H56">
        <v>0.46600619732397636</v>
      </c>
      <c r="I56">
        <v>2.1458942085801942</v>
      </c>
      <c r="J56">
        <v>0.46554231505434396</v>
      </c>
      <c r="K56">
        <v>-1.145894208580194</v>
      </c>
      <c r="L56">
        <v>0.46554231505434396</v>
      </c>
      <c r="M56">
        <v>-0.60545083991061044</v>
      </c>
    </row>
    <row r="57" spans="1:13">
      <c r="A57" t="s">
        <v>217</v>
      </c>
      <c r="B57" t="s">
        <v>33</v>
      </c>
      <c r="C57">
        <v>1</v>
      </c>
      <c r="D57">
        <v>-4.1917969337655056E-2</v>
      </c>
      <c r="E57">
        <v>-4.5837920594509043E-2</v>
      </c>
      <c r="F57">
        <v>2.9291124927949864E-2</v>
      </c>
      <c r="G57">
        <v>0.48519284549843006</v>
      </c>
      <c r="H57">
        <v>1.2377803423513181</v>
      </c>
      <c r="I57">
        <v>0.49376653946254073</v>
      </c>
      <c r="J57">
        <v>1.982636138176874</v>
      </c>
      <c r="K57">
        <v>9.2643089908622744E-2</v>
      </c>
      <c r="L57">
        <v>1.2117366826650262</v>
      </c>
      <c r="M57">
        <v>1.1768046086722841</v>
      </c>
    </row>
    <row r="58" spans="1:13">
      <c r="A58" t="s">
        <v>220</v>
      </c>
      <c r="B58" t="s">
        <v>33</v>
      </c>
      <c r="C58">
        <v>1</v>
      </c>
      <c r="D58">
        <v>3.8762410312672769E-3</v>
      </c>
      <c r="E58">
        <v>0.89081356637536413</v>
      </c>
      <c r="F58">
        <v>7.771658316451565E-7</v>
      </c>
      <c r="G58">
        <v>0.60827479370117576</v>
      </c>
      <c r="H58">
        <v>1.0524074928385354</v>
      </c>
      <c r="I58">
        <v>0.19825337313068417</v>
      </c>
      <c r="J58">
        <v>4.0681686979429834</v>
      </c>
      <c r="K58">
        <v>3.2063908763088192E-2</v>
      </c>
      <c r="L58">
        <v>0.84879628595917778</v>
      </c>
      <c r="M58">
        <v>1.5557362920161693E-2</v>
      </c>
    </row>
    <row r="59" spans="1:13">
      <c r="A59" t="s">
        <v>224</v>
      </c>
      <c r="B59" t="s">
        <v>33</v>
      </c>
      <c r="C59">
        <v>1</v>
      </c>
      <c r="D59">
        <v>-0.19513656566974563</v>
      </c>
      <c r="E59">
        <v>-100.36521739130434</v>
      </c>
      <c r="F59">
        <v>2.6828554006129947E-5</v>
      </c>
      <c r="G59">
        <v>0.65660420578545431</v>
      </c>
      <c r="H59">
        <v>1.0158991390296366</v>
      </c>
      <c r="I59">
        <v>0.13402328034282929</v>
      </c>
      <c r="J59">
        <v>5.8991802327615899</v>
      </c>
      <c r="K59">
        <v>-2.0981287406858513E-5</v>
      </c>
      <c r="L59">
        <v>0.80319778245088924</v>
      </c>
      <c r="M59">
        <v>1.2969661518149633E-3</v>
      </c>
    </row>
    <row r="60" spans="1:13">
      <c r="A60" t="s">
        <v>227</v>
      </c>
      <c r="B60" t="s">
        <v>33</v>
      </c>
      <c r="C60">
        <v>1</v>
      </c>
      <c r="D60">
        <v>-0.36790237078762711</v>
      </c>
      <c r="E60">
        <v>-1.3100070889454152</v>
      </c>
      <c r="F60">
        <v>1.7330544460622738E-2</v>
      </c>
      <c r="G60">
        <v>-0.40486644813513978</v>
      </c>
      <c r="H60">
        <v>0.55879471656268864</v>
      </c>
      <c r="I60">
        <v>1.141145568428936</v>
      </c>
      <c r="J60">
        <v>0.64521051534859231</v>
      </c>
      <c r="K60">
        <v>-0.89117435331621919</v>
      </c>
      <c r="L60">
        <v>0.41142888233559755</v>
      </c>
      <c r="M60">
        <v>-0.74129692495160748</v>
      </c>
    </row>
    <row r="61" spans="1:13">
      <c r="A61" t="s">
        <v>230</v>
      </c>
      <c r="B61" t="s">
        <v>33</v>
      </c>
      <c r="C61">
        <v>1</v>
      </c>
      <c r="D61">
        <v>-5.7126407085128256E-2</v>
      </c>
      <c r="E61">
        <v>-5.2092708053009555E-3</v>
      </c>
      <c r="F61">
        <v>3.590417742801747E-3</v>
      </c>
      <c r="G61">
        <v>-3.1962537525691975E-2</v>
      </c>
      <c r="H61">
        <v>0.84669734324114132</v>
      </c>
      <c r="I61">
        <v>0.8232953957687007</v>
      </c>
      <c r="J61">
        <v>0.96117731534761119</v>
      </c>
      <c r="K61">
        <v>-0.32814513103820125</v>
      </c>
      <c r="L61">
        <v>0.67001942869377418</v>
      </c>
      <c r="M61">
        <v>-32.465967602203442</v>
      </c>
    </row>
    <row r="62" spans="1:13">
      <c r="A62" t="s">
        <v>233</v>
      </c>
      <c r="B62" t="s">
        <v>33</v>
      </c>
      <c r="C62">
        <v>1</v>
      </c>
      <c r="D62">
        <v>-9.172458892371213E-2</v>
      </c>
      <c r="E62">
        <v>-2.802470724488483</v>
      </c>
      <c r="F62">
        <v>8.7480726562376415E-3</v>
      </c>
      <c r="G62">
        <v>-0.86337569849340468</v>
      </c>
      <c r="H62">
        <v>0.75793897227752494</v>
      </c>
      <c r="I62">
        <v>1.295684212483966</v>
      </c>
      <c r="J62">
        <v>0.33365268313471175</v>
      </c>
      <c r="K62">
        <v>-0.33901287195027557</v>
      </c>
      <c r="L62">
        <v>0.32766347080083003</v>
      </c>
      <c r="M62">
        <v>-2.3576397874695888E-2</v>
      </c>
    </row>
    <row r="63" spans="1:13">
      <c r="A63" t="s">
        <v>236</v>
      </c>
      <c r="B63" t="s">
        <v>33</v>
      </c>
      <c r="C63">
        <v>1</v>
      </c>
      <c r="D63">
        <v>8.7458382127957972E-3</v>
      </c>
      <c r="E63">
        <v>2.6556043437944817E-2</v>
      </c>
      <c r="F63">
        <v>3.9712061631460658E-3</v>
      </c>
      <c r="G63">
        <v>0.17502805387606235</v>
      </c>
      <c r="H63">
        <v>1.1848567214069761</v>
      </c>
      <c r="I63">
        <v>0.72807748654097548</v>
      </c>
      <c r="J63">
        <v>1.2403975635994506</v>
      </c>
      <c r="K63">
        <v>8.3535871626304492E-2</v>
      </c>
      <c r="L63">
        <v>1.0700506697030066</v>
      </c>
      <c r="M63">
        <v>9.0104386203415636</v>
      </c>
    </row>
    <row r="64" spans="1:13">
      <c r="A64" t="s">
        <v>239</v>
      </c>
      <c r="B64" t="s">
        <v>33</v>
      </c>
      <c r="C64">
        <v>1</v>
      </c>
      <c r="D64">
        <v>9.1065774842976222E-5</v>
      </c>
      <c r="E64">
        <v>0.1619131197893813</v>
      </c>
      <c r="F64">
        <v>0</v>
      </c>
      <c r="G64">
        <v>0.1081477558418709</v>
      </c>
      <c r="H64">
        <v>1.1492508687454037</v>
      </c>
      <c r="I64">
        <v>0.20102595500865097</v>
      </c>
      <c r="J64">
        <v>1.537979067614512</v>
      </c>
      <c r="K64">
        <v>0.12986796251747501</v>
      </c>
      <c r="L64">
        <v>0.35531815578820247</v>
      </c>
      <c r="M64">
        <v>5.5469961275687405E-3</v>
      </c>
    </row>
    <row r="65" spans="1:13">
      <c r="A65" t="s">
        <v>242</v>
      </c>
      <c r="B65" t="s">
        <v>33</v>
      </c>
      <c r="C65">
        <v>1</v>
      </c>
      <c r="D65">
        <v>-3.6573981492293356E-3</v>
      </c>
      <c r="E65">
        <v>-6.4843942245662112E-4</v>
      </c>
      <c r="F65">
        <v>2.3036449531579901E-3</v>
      </c>
      <c r="G65">
        <v>-0.11189338704277631</v>
      </c>
      <c r="H65">
        <v>0.6830514886597302</v>
      </c>
      <c r="I65">
        <v>0.55518790590226164</v>
      </c>
      <c r="J65">
        <v>0.79845852934974659</v>
      </c>
      <c r="K65">
        <v>-0.46401847679474334</v>
      </c>
      <c r="L65">
        <v>0.30279298102167024</v>
      </c>
      <c r="M65">
        <v>-0.72328409973711605</v>
      </c>
    </row>
    <row r="66" spans="1:13">
      <c r="A66" t="s">
        <v>245</v>
      </c>
      <c r="B66" t="s">
        <v>33</v>
      </c>
      <c r="C66">
        <v>1</v>
      </c>
      <c r="D66">
        <v>5.2329291793213502E-3</v>
      </c>
      <c r="E66">
        <v>187.93030794165315</v>
      </c>
      <c r="F66">
        <v>1.8853828468591214E-4</v>
      </c>
      <c r="G66">
        <v>-0.16365095038594332</v>
      </c>
      <c r="H66">
        <v>1.4390741624348182</v>
      </c>
      <c r="I66">
        <v>0.69023745452069474</v>
      </c>
      <c r="J66">
        <v>0.76290630229623868</v>
      </c>
      <c r="K66">
        <v>0.26592075088926692</v>
      </c>
      <c r="L66">
        <v>0.75779703238719631</v>
      </c>
      <c r="M66">
        <v>-1.0146724597831199E-3</v>
      </c>
    </row>
    <row r="67" spans="1:13">
      <c r="A67" t="s">
        <v>248</v>
      </c>
      <c r="B67" t="s">
        <v>33</v>
      </c>
      <c r="C67">
        <v>1</v>
      </c>
      <c r="D67">
        <v>-13.287242043128158</v>
      </c>
      <c r="E67">
        <v>-7.9746516287257823</v>
      </c>
      <c r="F67">
        <v>5.787139428772857E-2</v>
      </c>
      <c r="G67">
        <v>-0.78157071879637074</v>
      </c>
      <c r="H67">
        <v>4.5512579716328612E-2</v>
      </c>
      <c r="I67">
        <v>1.747797122855981</v>
      </c>
      <c r="J67">
        <v>0.55282526296916645</v>
      </c>
      <c r="K67">
        <v>-21.074421109755551</v>
      </c>
      <c r="L67">
        <v>4.3975456238784551E-2</v>
      </c>
      <c r="M67">
        <v>-2.8061897061904717</v>
      </c>
    </row>
    <row r="68" spans="1:13">
      <c r="A68" t="s">
        <v>251</v>
      </c>
      <c r="B68" t="s">
        <v>33</v>
      </c>
      <c r="C68">
        <v>1</v>
      </c>
      <c r="D68">
        <v>-4.5380621008738586E-3</v>
      </c>
      <c r="E68">
        <v>5.2856459442875418E-2</v>
      </c>
      <c r="F68">
        <v>5.3485469324370972E-3</v>
      </c>
      <c r="G68">
        <v>0.29751248035322986</v>
      </c>
      <c r="H68">
        <v>1.058584747451889</v>
      </c>
      <c r="I68">
        <v>0.58813432770317042</v>
      </c>
      <c r="J68">
        <v>1.5058580435444053</v>
      </c>
      <c r="K68">
        <v>3.2665100116061406E-2</v>
      </c>
      <c r="L68">
        <v>0.93753220263795611</v>
      </c>
      <c r="M68">
        <v>0.92905095456535391</v>
      </c>
    </row>
    <row r="69" spans="1:13">
      <c r="A69" t="s">
        <v>254</v>
      </c>
      <c r="B69" t="s">
        <v>33</v>
      </c>
      <c r="C69">
        <v>1</v>
      </c>
      <c r="D69">
        <v>2.5899072550168371E-2</v>
      </c>
      <c r="E69">
        <v>0.56246163378407066</v>
      </c>
      <c r="F69">
        <v>0</v>
      </c>
      <c r="G69">
        <v>-0.48987999809543414</v>
      </c>
      <c r="H69">
        <v>1.1608592718020989</v>
      </c>
      <c r="I69">
        <v>0.5382536898825071</v>
      </c>
      <c r="J69">
        <v>8.987154699790767E-2</v>
      </c>
      <c r="K69">
        <v>0.13856914073002466</v>
      </c>
      <c r="L69">
        <v>5.6155048622320687E-2</v>
      </c>
      <c r="M69">
        <v>-0.10144827160738128</v>
      </c>
    </row>
    <row r="70" spans="1:13">
      <c r="A70" t="s">
        <v>257</v>
      </c>
      <c r="B70" t="s">
        <v>33</v>
      </c>
      <c r="C70">
        <v>1</v>
      </c>
      <c r="D70">
        <v>1.7215972125108978E-2</v>
      </c>
      <c r="E70">
        <v>0.13863141271713825</v>
      </c>
      <c r="F70">
        <v>1.6447232304524689E-2</v>
      </c>
      <c r="G70">
        <v>-4.2938782117254673E-2</v>
      </c>
      <c r="H70">
        <v>0.98748621462520458</v>
      </c>
      <c r="I70">
        <v>1.0126723646259153</v>
      </c>
      <c r="J70">
        <v>0.9575985445864158</v>
      </c>
      <c r="K70">
        <v>-1.3213299068329219E-2</v>
      </c>
      <c r="L70">
        <v>0.9575985445864158</v>
      </c>
      <c r="M70">
        <v>-7.6038607054228882</v>
      </c>
    </row>
    <row r="71" spans="1:13">
      <c r="A71" t="s">
        <v>260</v>
      </c>
      <c r="B71" t="s">
        <v>33</v>
      </c>
      <c r="C71">
        <v>1</v>
      </c>
      <c r="D71">
        <v>2.8471356393516161E-3</v>
      </c>
      <c r="E71">
        <v>3.758429928442901E-2</v>
      </c>
      <c r="F71">
        <v>1.188164721537433E-2</v>
      </c>
      <c r="G71">
        <v>0.11533806059685715</v>
      </c>
      <c r="H71">
        <v>1.3781165019529094</v>
      </c>
      <c r="I71">
        <v>0.63854130998241243</v>
      </c>
      <c r="J71">
        <v>1.1806274062363074</v>
      </c>
      <c r="K71">
        <v>0.18460553959021653</v>
      </c>
      <c r="L71">
        <v>1.0389336010771639</v>
      </c>
      <c r="M71">
        <v>7.6516040287710814</v>
      </c>
    </row>
    <row r="72" spans="1:13">
      <c r="A72" t="s">
        <v>263</v>
      </c>
      <c r="B72" t="s">
        <v>33</v>
      </c>
      <c r="C72">
        <v>1</v>
      </c>
      <c r="D72">
        <v>6.7785126020957955E-3</v>
      </c>
      <c r="E72">
        <v>2.7171362678016502E-2</v>
      </c>
      <c r="F72">
        <v>1.606160677411789E-2</v>
      </c>
      <c r="G72">
        <v>0.49152138242549542</v>
      </c>
      <c r="H72">
        <v>1.5699409100888027</v>
      </c>
      <c r="I72">
        <v>0.36784611797448319</v>
      </c>
      <c r="J72">
        <v>2.3362146789315621</v>
      </c>
      <c r="K72">
        <v>0.33160991103730281</v>
      </c>
      <c r="L72">
        <v>1.3491561956786819</v>
      </c>
      <c r="M72">
        <v>2.0782316379654575</v>
      </c>
    </row>
    <row r="73" spans="1:13">
      <c r="A73" t="s">
        <v>266</v>
      </c>
      <c r="B73" t="s">
        <v>33</v>
      </c>
      <c r="C73">
        <v>1</v>
      </c>
      <c r="D73">
        <v>-4.928994130513864E-2</v>
      </c>
      <c r="E73">
        <v>-1.1979068726214461</v>
      </c>
      <c r="F73">
        <v>1.6821941429113987E-2</v>
      </c>
      <c r="G73">
        <v>-3.6704184512407222E-2</v>
      </c>
      <c r="H73">
        <v>0.96473748507399637</v>
      </c>
      <c r="I73">
        <v>1.0365514095508572</v>
      </c>
      <c r="J73">
        <v>0.96459009734180834</v>
      </c>
      <c r="K73">
        <v>-3.6757283127092311E-2</v>
      </c>
      <c r="L73">
        <v>0.96459009734180834</v>
      </c>
      <c r="M73">
        <v>-0.75581838024415626</v>
      </c>
    </row>
    <row r="74" spans="1:13">
      <c r="A74" t="s">
        <v>269</v>
      </c>
      <c r="B74" t="s">
        <v>33</v>
      </c>
      <c r="C74">
        <v>1</v>
      </c>
      <c r="D74">
        <v>2.8680648655828068E-2</v>
      </c>
      <c r="E74">
        <v>4.7966987709100739E-2</v>
      </c>
      <c r="F74">
        <v>2.2717761702636456E-4</v>
      </c>
      <c r="G74">
        <v>9.0642419231422966E-2</v>
      </c>
      <c r="H74">
        <v>1.0729960775484995</v>
      </c>
      <c r="I74">
        <v>0.79125686496326963</v>
      </c>
      <c r="J74">
        <v>1.1145549861809168</v>
      </c>
      <c r="K74">
        <v>3.1698214938334406E-2</v>
      </c>
      <c r="L74">
        <v>0.94627447273373444</v>
      </c>
      <c r="M74">
        <v>12.350025586163552</v>
      </c>
    </row>
    <row r="75" spans="1:13">
      <c r="A75" t="s">
        <v>272</v>
      </c>
      <c r="B75" t="s">
        <v>33</v>
      </c>
      <c r="C75">
        <v>1</v>
      </c>
      <c r="D75">
        <v>-4.7696943981779656E-2</v>
      </c>
      <c r="E75">
        <v>1.3669593165696371E-2</v>
      </c>
      <c r="F75">
        <v>5.8981132242723479E-2</v>
      </c>
      <c r="G75">
        <v>0.18728745861099225</v>
      </c>
      <c r="H75">
        <v>1.2701777902343323</v>
      </c>
      <c r="I75">
        <v>0.7237916520362081</v>
      </c>
      <c r="J75">
        <v>1.2587587990053566</v>
      </c>
      <c r="K75">
        <v>0.15175639055233739</v>
      </c>
      <c r="L75">
        <v>1.1572324514905215</v>
      </c>
      <c r="M75">
        <v>5.542075112480898</v>
      </c>
    </row>
    <row r="76" spans="1:13">
      <c r="A76" t="s">
        <v>275</v>
      </c>
      <c r="B76" t="s">
        <v>33</v>
      </c>
      <c r="C76">
        <v>1</v>
      </c>
      <c r="D76">
        <v>-1.4871343988220483E-2</v>
      </c>
      <c r="E76">
        <v>-0.23843370064652541</v>
      </c>
      <c r="F76">
        <v>1.5247594276419972E-4</v>
      </c>
      <c r="G76">
        <v>0.74538635981184842</v>
      </c>
      <c r="H76">
        <v>0.57493137849794984</v>
      </c>
      <c r="I76">
        <v>1.4699008224286084E-2</v>
      </c>
      <c r="J76">
        <v>51.709976376521894</v>
      </c>
      <c r="K76">
        <v>-1.0064470095811997</v>
      </c>
      <c r="L76">
        <v>0.4369969284211363</v>
      </c>
      <c r="M76">
        <v>5.5080592853789724E-2</v>
      </c>
    </row>
    <row r="77" spans="1:13">
      <c r="A77" t="s">
        <v>278</v>
      </c>
      <c r="B77" t="s">
        <v>33</v>
      </c>
      <c r="C77">
        <v>1</v>
      </c>
      <c r="D77">
        <v>-0.59300375102804481</v>
      </c>
      <c r="E77">
        <v>-1.0013989558038265</v>
      </c>
      <c r="F77">
        <v>1.15592909891399E-2</v>
      </c>
      <c r="G77">
        <v>-0.15860325715298823</v>
      </c>
      <c r="H77">
        <v>0.7024382965419117</v>
      </c>
      <c r="I77">
        <v>0.95310104941450602</v>
      </c>
      <c r="J77">
        <v>0.83359240108861599</v>
      </c>
      <c r="K77">
        <v>-0.51890685285401905</v>
      </c>
      <c r="L77">
        <v>0.55808567580249013</v>
      </c>
      <c r="M77">
        <v>-4.050090279611287</v>
      </c>
    </row>
    <row r="78" spans="1:13">
      <c r="A78" t="s">
        <v>281</v>
      </c>
      <c r="B78" t="s">
        <v>33</v>
      </c>
      <c r="C78">
        <v>1</v>
      </c>
      <c r="D78">
        <v>-8.5413252462005467E-3</v>
      </c>
      <c r="E78">
        <v>-8.0670000000000002</v>
      </c>
      <c r="F78">
        <v>5.0574061295152967E-4</v>
      </c>
      <c r="G78">
        <v>0.91187034600509043</v>
      </c>
      <c r="H78">
        <v>1.0786479792755947</v>
      </c>
      <c r="I78">
        <v>7.8969546892984993E-2</v>
      </c>
      <c r="J78">
        <v>12.547113816428565</v>
      </c>
      <c r="K78">
        <v>3.7866420998958754E-2</v>
      </c>
      <c r="L78">
        <v>1.0687674482601559</v>
      </c>
      <c r="M78">
        <v>7.7180324882859569E-4</v>
      </c>
    </row>
    <row r="79" spans="1:13">
      <c r="A79" t="s">
        <v>284</v>
      </c>
      <c r="B79" t="s">
        <v>33</v>
      </c>
      <c r="C79">
        <v>1</v>
      </c>
      <c r="D79">
        <v>-3.6234223584282445E-2</v>
      </c>
      <c r="E79">
        <v>0.45021747995106703</v>
      </c>
      <c r="F79">
        <v>4.1112253873109982E-2</v>
      </c>
      <c r="G79">
        <v>0.97169363499995565</v>
      </c>
      <c r="H79">
        <v>1.0298187947437312</v>
      </c>
      <c r="I79">
        <v>2.5838474033178595E-2</v>
      </c>
      <c r="J79">
        <v>38.606463669341544</v>
      </c>
      <c r="K79">
        <v>2.8954670122400435E-2</v>
      </c>
      <c r="L79">
        <v>1.0272773142426745</v>
      </c>
      <c r="M79">
        <v>1.0752515302274734E-2</v>
      </c>
    </row>
    <row r="80" spans="1:13">
      <c r="A80" t="s">
        <v>287</v>
      </c>
      <c r="B80" t="s">
        <v>33</v>
      </c>
      <c r="C80">
        <v>1</v>
      </c>
      <c r="D80">
        <v>-0.18967505297890322</v>
      </c>
      <c r="E80">
        <v>-0.31860216388890455</v>
      </c>
      <c r="F80">
        <v>8.616568191862399E-3</v>
      </c>
      <c r="G80">
        <v>-0.42076791457086793</v>
      </c>
      <c r="H80">
        <v>0.97837553762920837</v>
      </c>
      <c r="I80">
        <v>0.83364548330885568</v>
      </c>
      <c r="J80">
        <v>0.49526756517556941</v>
      </c>
      <c r="K80">
        <v>-9.5235950596453608E-2</v>
      </c>
      <c r="L80">
        <v>0.40394931328906919</v>
      </c>
      <c r="M80">
        <v>-1.2334837644085761</v>
      </c>
    </row>
    <row r="81" spans="1:13">
      <c r="A81" t="s">
        <v>290</v>
      </c>
      <c r="B81" t="s">
        <v>33</v>
      </c>
      <c r="C81">
        <v>1</v>
      </c>
      <c r="D81">
        <v>-3.1212345242252852E-3</v>
      </c>
      <c r="E81">
        <v>-688.16666666666663</v>
      </c>
      <c r="F81">
        <v>0</v>
      </c>
      <c r="G81">
        <v>0.87136179964335791</v>
      </c>
      <c r="H81">
        <v>0.93476688871782332</v>
      </c>
      <c r="I81">
        <v>0.12782073775148986</v>
      </c>
      <c r="J81">
        <v>7.8170612607280274</v>
      </c>
      <c r="K81">
        <v>-6.9794889137544808E-2</v>
      </c>
      <c r="L81">
        <v>0.93400275174176206</v>
      </c>
      <c r="M81">
        <v>5.2094977827075059E-6</v>
      </c>
    </row>
    <row r="82" spans="1:13">
      <c r="A82" t="s">
        <v>293</v>
      </c>
      <c r="B82" t="s">
        <v>33</v>
      </c>
      <c r="C82">
        <v>1</v>
      </c>
      <c r="D82">
        <v>-4.6163843699636416E-3</v>
      </c>
      <c r="E82">
        <v>-0.21148979591836733</v>
      </c>
      <c r="F82">
        <v>0</v>
      </c>
      <c r="G82">
        <v>0.719121385389215</v>
      </c>
      <c r="H82">
        <v>1.0397036597757456</v>
      </c>
      <c r="I82">
        <v>0.27807942330818824</v>
      </c>
      <c r="J82">
        <v>3.5860287569434122</v>
      </c>
      <c r="K82">
        <v>2.8225905849934375E-2</v>
      </c>
      <c r="L82">
        <v>1.0367933303340235</v>
      </c>
      <c r="M82">
        <v>2.5841115112675173E-2</v>
      </c>
    </row>
    <row r="83" spans="1:13">
      <c r="A83" t="s">
        <v>296</v>
      </c>
      <c r="B83" t="s">
        <v>33</v>
      </c>
      <c r="C83">
        <v>1</v>
      </c>
      <c r="D83">
        <v>-0.16736215989579073</v>
      </c>
      <c r="E83">
        <v>-1.0498918421802543</v>
      </c>
      <c r="F83">
        <v>2.2378636805858918E-2</v>
      </c>
      <c r="G83">
        <v>0.21530907784188372</v>
      </c>
      <c r="H83">
        <v>0.91587548783159267</v>
      </c>
      <c r="I83">
        <v>0.78427705746039111</v>
      </c>
      <c r="J83">
        <v>1.2745319090922886</v>
      </c>
      <c r="K83">
        <v>-9.6573292443398823E-2</v>
      </c>
      <c r="L83">
        <v>0.91549643929966729</v>
      </c>
      <c r="M83">
        <v>0.55063754972638235</v>
      </c>
    </row>
    <row r="84" spans="1:13">
      <c r="A84" t="s">
        <v>299</v>
      </c>
      <c r="B84" t="s">
        <v>33</v>
      </c>
      <c r="C84">
        <v>1</v>
      </c>
      <c r="D84">
        <v>-0.53804847624934837</v>
      </c>
      <c r="E84">
        <v>30.908600700997575</v>
      </c>
      <c r="F84">
        <v>7.2593737847300069E-2</v>
      </c>
      <c r="G84">
        <v>-3.3137423969720539</v>
      </c>
      <c r="H84">
        <v>0.13374037749563389</v>
      </c>
      <c r="I84">
        <v>3.6137324283614034</v>
      </c>
      <c r="J84">
        <v>8.301390247793633E-2</v>
      </c>
      <c r="K84">
        <v>-7.9669933021925452</v>
      </c>
      <c r="L84">
        <v>4.0120780042938675E-2</v>
      </c>
      <c r="M84">
        <v>-4.3927754772983286E-4</v>
      </c>
    </row>
    <row r="85" spans="1:13">
      <c r="A85" t="s">
        <v>302</v>
      </c>
      <c r="B85" t="s">
        <v>33</v>
      </c>
      <c r="C85">
        <v>1</v>
      </c>
      <c r="D85">
        <v>-4.8927697660814222E-2</v>
      </c>
      <c r="E85">
        <v>-0.21592586546443496</v>
      </c>
      <c r="F85">
        <v>1.2157949923772856E-2</v>
      </c>
      <c r="G85">
        <v>-0.43029628077318405</v>
      </c>
      <c r="H85">
        <v>1.0236982220714848</v>
      </c>
      <c r="I85">
        <v>0.97685038270015667</v>
      </c>
      <c r="J85">
        <v>0.55950646240851898</v>
      </c>
      <c r="K85">
        <v>-5.2828787833428141E-2</v>
      </c>
      <c r="L85">
        <v>0.55950646240851898</v>
      </c>
      <c r="M85">
        <v>-0.26707971973739991</v>
      </c>
    </row>
    <row r="86" spans="1:13">
      <c r="A86" t="s">
        <v>305</v>
      </c>
      <c r="B86" t="s">
        <v>33</v>
      </c>
      <c r="C86">
        <v>1</v>
      </c>
      <c r="D86">
        <v>0.16297991367710771</v>
      </c>
      <c r="E86">
        <v>0.17686261107313739</v>
      </c>
      <c r="F86">
        <v>1.2510698111205682E-2</v>
      </c>
      <c r="G86">
        <v>0.78039771679318182</v>
      </c>
      <c r="H86">
        <v>0.97940452750107798</v>
      </c>
      <c r="I86">
        <v>0.2187614773804388</v>
      </c>
      <c r="J86">
        <v>4.5673452480668031</v>
      </c>
      <c r="K86">
        <v>-3.9472565752860019E-2</v>
      </c>
      <c r="L86">
        <v>0.97858103846797262</v>
      </c>
      <c r="M86">
        <v>2.0866282355600769</v>
      </c>
    </row>
    <row r="87" spans="1:13">
      <c r="A87" t="s">
        <v>308</v>
      </c>
      <c r="B87" t="s">
        <v>33</v>
      </c>
      <c r="C87">
        <v>1</v>
      </c>
      <c r="D87">
        <v>-5.618320851461453E-4</v>
      </c>
      <c r="E87">
        <v>9.0928934780958162E-2</v>
      </c>
      <c r="F87">
        <v>1.6312556691833768E-4</v>
      </c>
      <c r="G87">
        <v>-2.3211445961139741E-2</v>
      </c>
      <c r="H87">
        <v>1.0151191229398524</v>
      </c>
      <c r="I87">
        <v>0.96411673036296475</v>
      </c>
      <c r="J87">
        <v>0.97592465182882859</v>
      </c>
      <c r="K87">
        <v>3.8029775618193314E-3</v>
      </c>
      <c r="L87">
        <v>0.95513094707145307</v>
      </c>
      <c r="M87">
        <v>-16.697691616924622</v>
      </c>
    </row>
    <row r="88" spans="1:13">
      <c r="A88" t="s">
        <v>311</v>
      </c>
      <c r="B88" t="s">
        <v>33</v>
      </c>
      <c r="C88">
        <v>1</v>
      </c>
      <c r="D88">
        <v>0.36670714578989466</v>
      </c>
      <c r="E88">
        <v>0.27119525480271256</v>
      </c>
      <c r="F88">
        <v>0</v>
      </c>
      <c r="G88">
        <v>0.69992419743987888</v>
      </c>
      <c r="H88">
        <v>3.3324912954274177</v>
      </c>
      <c r="I88">
        <v>0.30007580256012106</v>
      </c>
      <c r="J88">
        <v>3.3324912954274177</v>
      </c>
      <c r="K88">
        <v>0.69992419743987888</v>
      </c>
      <c r="L88">
        <v>3.3324912954274177</v>
      </c>
      <c r="M88">
        <v>1.5134698387038772</v>
      </c>
    </row>
    <row r="89" spans="1:13">
      <c r="A89" t="s">
        <v>314</v>
      </c>
      <c r="B89" t="s">
        <v>33</v>
      </c>
      <c r="C89">
        <v>1</v>
      </c>
      <c r="D89">
        <v>-1.1393271149306321</v>
      </c>
      <c r="E89">
        <v>-113.39282902307554</v>
      </c>
      <c r="F89">
        <v>8.3629958341826992E-6</v>
      </c>
      <c r="G89">
        <v>0.53844882463569588</v>
      </c>
      <c r="H89">
        <v>0.42666717478652288</v>
      </c>
      <c r="I89">
        <v>0.25530084668301095</v>
      </c>
      <c r="J89">
        <v>3.1090757497731678</v>
      </c>
      <c r="K89">
        <v>-1.3541815355823064</v>
      </c>
      <c r="L89">
        <v>0.33866692974928381</v>
      </c>
      <c r="M89">
        <v>1.2798331899324854E-2</v>
      </c>
    </row>
    <row r="90" spans="1:13">
      <c r="A90" t="s">
        <v>317</v>
      </c>
      <c r="B90" t="s">
        <v>33</v>
      </c>
      <c r="C90">
        <v>1</v>
      </c>
      <c r="D90">
        <v>-4.1637927271139824E-2</v>
      </c>
      <c r="E90">
        <v>-0.80615793286645732</v>
      </c>
      <c r="F90">
        <v>0</v>
      </c>
      <c r="G90">
        <v>-0.62560234706553219</v>
      </c>
      <c r="H90">
        <v>0.67410268113210403</v>
      </c>
      <c r="I90">
        <v>1.4834535271697424</v>
      </c>
      <c r="J90">
        <v>0.57827978052058771</v>
      </c>
      <c r="K90">
        <v>-0.48349337979980417</v>
      </c>
      <c r="L90">
        <v>0.57827978052058771</v>
      </c>
      <c r="M90">
        <v>-8.4189368135852344E-2</v>
      </c>
    </row>
    <row r="91" spans="1:13">
      <c r="A91" t="s">
        <v>320</v>
      </c>
      <c r="B91" t="s">
        <v>33</v>
      </c>
      <c r="C91">
        <v>1</v>
      </c>
      <c r="D91">
        <v>-3.178503805254005E-2</v>
      </c>
      <c r="E91">
        <v>-0.47135141525116919</v>
      </c>
      <c r="F91">
        <v>1.8215266427009172E-4</v>
      </c>
      <c r="G91">
        <v>-4.7884851417760207E-2</v>
      </c>
      <c r="H91">
        <v>1.0143291193086936</v>
      </c>
      <c r="I91">
        <v>0.95573141297722064</v>
      </c>
      <c r="J91">
        <v>0.94989716695761517</v>
      </c>
      <c r="K91">
        <v>-1.2742923762977199E-2</v>
      </c>
      <c r="L91">
        <v>0.92085520325403325</v>
      </c>
      <c r="M91">
        <v>-1.2245605146253857</v>
      </c>
    </row>
    <row r="92" spans="1:13">
      <c r="A92" t="s">
        <v>323</v>
      </c>
      <c r="B92" t="s">
        <v>33</v>
      </c>
      <c r="C92">
        <v>1</v>
      </c>
      <c r="D92">
        <v>-0.36700886029776764</v>
      </c>
      <c r="E92">
        <v>-9.5726552809846392</v>
      </c>
      <c r="F92">
        <v>1.2159844277093053E-2</v>
      </c>
      <c r="G92">
        <v>0.33198160548120759</v>
      </c>
      <c r="H92">
        <v>1.5012037230363038</v>
      </c>
      <c r="I92">
        <v>0.66613210762455377</v>
      </c>
      <c r="J92">
        <v>1.4983720221279584</v>
      </c>
      <c r="K92">
        <v>-0.4373039561368311</v>
      </c>
      <c r="L92">
        <v>1.4983720221279584</v>
      </c>
      <c r="M92">
        <v>0.11222994235111609</v>
      </c>
    </row>
    <row r="93" spans="1:13">
      <c r="A93" t="s">
        <v>326</v>
      </c>
      <c r="B93" t="s">
        <v>33</v>
      </c>
      <c r="C93">
        <v>1</v>
      </c>
      <c r="D93">
        <v>0.1293510054123945</v>
      </c>
      <c r="E93">
        <v>0.86182323430127372</v>
      </c>
      <c r="F93">
        <v>1.6703097979259206E-5</v>
      </c>
      <c r="G93">
        <v>0.1340712190247477</v>
      </c>
      <c r="H93">
        <v>1.1898327714614974</v>
      </c>
      <c r="I93">
        <v>0.67340720321717085</v>
      </c>
      <c r="J93">
        <v>1.1990938296831823</v>
      </c>
      <c r="K93">
        <v>0.15954575803818358</v>
      </c>
      <c r="L93">
        <v>0.96076428903145905</v>
      </c>
      <c r="M93">
        <v>1.806673562838842</v>
      </c>
    </row>
    <row r="94" spans="1:13">
      <c r="A94" t="s">
        <v>329</v>
      </c>
      <c r="B94" t="s">
        <v>33</v>
      </c>
      <c r="C94">
        <v>1</v>
      </c>
      <c r="D94">
        <v>-2.3846660838250594E-3</v>
      </c>
      <c r="E94">
        <v>2.2805497879774282E-2</v>
      </c>
      <c r="F94">
        <v>1.2770043629730388E-2</v>
      </c>
      <c r="G94">
        <v>0.15904379540282429</v>
      </c>
      <c r="H94">
        <v>1.0488009772285731</v>
      </c>
      <c r="I94">
        <v>0.829345503691852</v>
      </c>
      <c r="J94">
        <v>1.1917702509929058</v>
      </c>
      <c r="K94">
        <v>3.8395261709084048E-2</v>
      </c>
      <c r="L94">
        <v>1.036623662772761</v>
      </c>
      <c r="M94">
        <v>5.5868589923832017</v>
      </c>
    </row>
    <row r="95" spans="1:13">
      <c r="A95" t="s">
        <v>332</v>
      </c>
      <c r="B95" t="s">
        <v>33</v>
      </c>
      <c r="C95">
        <v>1</v>
      </c>
      <c r="D95">
        <v>7.1521920856504823E-3</v>
      </c>
      <c r="E95">
        <v>6.7167979693806168E-2</v>
      </c>
      <c r="F95">
        <v>1.4092935424624697E-2</v>
      </c>
      <c r="G95">
        <v>8.37943412268643E-2</v>
      </c>
      <c r="H95">
        <v>1.1042920938220646</v>
      </c>
      <c r="I95">
        <v>0.62748881225875885</v>
      </c>
      <c r="J95">
        <v>1.1335391796472536</v>
      </c>
      <c r="K95">
        <v>5.1924533554146453E-2</v>
      </c>
      <c r="L95">
        <v>0.7854643628629997</v>
      </c>
      <c r="M95">
        <v>10.375452871294279</v>
      </c>
    </row>
    <row r="96" spans="1:13">
      <c r="A96" t="s">
        <v>335</v>
      </c>
      <c r="B96" t="s">
        <v>33</v>
      </c>
      <c r="C96">
        <v>1</v>
      </c>
      <c r="D96">
        <v>1.8325493193619918E-4</v>
      </c>
      <c r="E96">
        <v>5.0822375375248405E-2</v>
      </c>
      <c r="F96">
        <v>8.1798743462235431E-6</v>
      </c>
      <c r="G96">
        <v>-1.9473407435379154E-2</v>
      </c>
      <c r="H96">
        <v>1.0090986898341952</v>
      </c>
      <c r="I96">
        <v>0.99098334986869308</v>
      </c>
      <c r="J96">
        <v>0.98034941007035137</v>
      </c>
      <c r="K96">
        <v>2.5138760046775283E-3</v>
      </c>
      <c r="L96">
        <v>0.98034941007035137</v>
      </c>
      <c r="M96">
        <v>-1.3047747772598131</v>
      </c>
    </row>
    <row r="97" spans="1:13">
      <c r="A97" t="s">
        <v>338</v>
      </c>
      <c r="B97" t="s">
        <v>33</v>
      </c>
      <c r="C97">
        <v>1</v>
      </c>
      <c r="D97">
        <v>-0.23856436556453606</v>
      </c>
      <c r="E97">
        <v>-0.32863452450813851</v>
      </c>
      <c r="F97">
        <v>2.2352871295366473E-3</v>
      </c>
      <c r="G97">
        <v>-0.24068688097014784</v>
      </c>
      <c r="H97">
        <v>0.85938804716901607</v>
      </c>
      <c r="I97">
        <v>0.94448301032825077</v>
      </c>
      <c r="J97">
        <v>0.74516547323969518</v>
      </c>
      <c r="K97">
        <v>-0.24702667874040754</v>
      </c>
      <c r="L97">
        <v>0.60483398121417231</v>
      </c>
      <c r="M97">
        <v>-3.644860023505784</v>
      </c>
    </row>
    <row r="98" spans="1:13">
      <c r="A98" t="s">
        <v>341</v>
      </c>
      <c r="B98" t="s">
        <v>33</v>
      </c>
      <c r="C98">
        <v>1</v>
      </c>
      <c r="D98">
        <v>-0.46526341792802811</v>
      </c>
      <c r="E98">
        <v>-0.79514598699905881</v>
      </c>
      <c r="F98">
        <v>1.4539952253704585E-2</v>
      </c>
      <c r="G98">
        <v>-0.57422666824226676</v>
      </c>
      <c r="H98">
        <v>0.64989706069136222</v>
      </c>
      <c r="I98">
        <v>1.5387052203870522</v>
      </c>
      <c r="J98">
        <v>0.62681177613875694</v>
      </c>
      <c r="K98">
        <v>-0.56485658252356585</v>
      </c>
      <c r="L98">
        <v>0.62681177613875694</v>
      </c>
      <c r="M98">
        <v>-1.8081405702752438</v>
      </c>
    </row>
    <row r="99" spans="1:13">
      <c r="A99" t="s">
        <v>344</v>
      </c>
      <c r="B99" t="s">
        <v>33</v>
      </c>
      <c r="C99">
        <v>1</v>
      </c>
      <c r="D99">
        <v>1.7435721590601722E-2</v>
      </c>
      <c r="E99">
        <v>0.14675166473270387</v>
      </c>
      <c r="F99">
        <v>1.2461225561533977E-5</v>
      </c>
      <c r="G99">
        <v>0.20169188190189674</v>
      </c>
      <c r="H99">
        <v>1.0459964334925511</v>
      </c>
      <c r="I99">
        <v>0.20304359889202772</v>
      </c>
      <c r="J99">
        <v>1.9933427254170677</v>
      </c>
      <c r="K99">
        <v>3.7572343801592252E-2</v>
      </c>
      <c r="L99">
        <v>0.42335186941833786</v>
      </c>
      <c r="M99">
        <v>0.59029789024019375</v>
      </c>
    </row>
    <row r="100" spans="1:13">
      <c r="A100" t="s">
        <v>348</v>
      </c>
      <c r="B100" t="s">
        <v>33</v>
      </c>
      <c r="C100">
        <v>1</v>
      </c>
      <c r="D100">
        <v>-0.39842048043913142</v>
      </c>
      <c r="E100">
        <v>-1.3800022391558382</v>
      </c>
      <c r="F100">
        <v>3.2186509704063807E-3</v>
      </c>
      <c r="G100">
        <v>0.46602786088289927</v>
      </c>
      <c r="H100">
        <v>1.0995725905286777</v>
      </c>
      <c r="I100">
        <v>0.45863420360538226</v>
      </c>
      <c r="J100">
        <v>2.0161210333189161</v>
      </c>
      <c r="K100">
        <v>8.7486569546625134E-2</v>
      </c>
      <c r="L100">
        <v>1.0167330616129748</v>
      </c>
      <c r="M100">
        <v>0.71355513087286437</v>
      </c>
    </row>
    <row r="101" spans="1:13">
      <c r="A101" t="s">
        <v>351</v>
      </c>
      <c r="B101" t="s">
        <v>33</v>
      </c>
      <c r="C101">
        <v>1</v>
      </c>
      <c r="D101">
        <v>1.2803118395037234E-2</v>
      </c>
      <c r="E101">
        <v>2.3016111111111113</v>
      </c>
      <c r="F101">
        <v>9.2179885674458875E-5</v>
      </c>
      <c r="G101">
        <v>0.27386497128469756</v>
      </c>
      <c r="H101">
        <v>1.2430757751542563</v>
      </c>
      <c r="I101">
        <v>0.72178295460603992</v>
      </c>
      <c r="J101">
        <v>1.3794284272536987</v>
      </c>
      <c r="K101">
        <v>0.18373001205880962</v>
      </c>
      <c r="L101">
        <v>1.2376658172573562</v>
      </c>
      <c r="M101">
        <v>3.9372834494102824E-2</v>
      </c>
    </row>
    <row r="102" spans="1:13">
      <c r="A102" t="s">
        <v>354</v>
      </c>
      <c r="B102" t="s">
        <v>33</v>
      </c>
      <c r="C102">
        <v>1</v>
      </c>
      <c r="D102">
        <v>-0.67008371270872569</v>
      </c>
      <c r="E102">
        <v>-0.51317687735830952</v>
      </c>
      <c r="F102">
        <v>3.2302101771682849E-2</v>
      </c>
      <c r="G102">
        <v>-0.55368154268915082</v>
      </c>
      <c r="H102">
        <v>0.60817762565671507</v>
      </c>
      <c r="I102">
        <v>1.38406921806425</v>
      </c>
      <c r="J102">
        <v>0.59996108903893819</v>
      </c>
      <c r="K102">
        <v>-0.77174939097747075</v>
      </c>
      <c r="L102">
        <v>0.5050232047842268</v>
      </c>
      <c r="M102">
        <v>-3.1045532877755431</v>
      </c>
    </row>
    <row r="103" spans="1:13">
      <c r="A103" t="s">
        <v>357</v>
      </c>
      <c r="B103" t="s">
        <v>33</v>
      </c>
      <c r="C103">
        <v>1</v>
      </c>
      <c r="D103">
        <v>-3.0762295138362178E-2</v>
      </c>
      <c r="E103">
        <v>-0.21064985692365112</v>
      </c>
      <c r="F103">
        <v>2.8373870645280234E-3</v>
      </c>
      <c r="G103">
        <v>-4.0004171016527652E-2</v>
      </c>
      <c r="H103">
        <v>0.9886722245631534</v>
      </c>
      <c r="I103">
        <v>1.0114575641505978</v>
      </c>
      <c r="J103">
        <v>0.96044898724928485</v>
      </c>
      <c r="K103">
        <v>-1.1978941216554571E-2</v>
      </c>
      <c r="L103">
        <v>0.96044898724928485</v>
      </c>
      <c r="M103">
        <v>-1.8271299972721484</v>
      </c>
    </row>
    <row r="104" spans="1:13">
      <c r="A104" t="s">
        <v>360</v>
      </c>
      <c r="B104" t="s">
        <v>33</v>
      </c>
      <c r="C104">
        <v>1</v>
      </c>
      <c r="D104">
        <v>0.10492937372362152</v>
      </c>
      <c r="E104">
        <v>0.10674536125063387</v>
      </c>
      <c r="F104">
        <v>4.8934869218285134E-5</v>
      </c>
      <c r="G104">
        <v>-0.70748314138211099</v>
      </c>
      <c r="H104">
        <v>0.58635042753445221</v>
      </c>
      <c r="I104">
        <v>1.7054647750576477</v>
      </c>
      <c r="J104">
        <v>0.58516695757718196</v>
      </c>
      <c r="K104">
        <v>-0.85798119801213013</v>
      </c>
      <c r="L104">
        <v>0.58516695757718196</v>
      </c>
      <c r="M104">
        <v>-3.0514926390703283</v>
      </c>
    </row>
    <row r="105" spans="1:13">
      <c r="A105" t="s">
        <v>363</v>
      </c>
      <c r="B105" t="s">
        <v>33</v>
      </c>
      <c r="C105">
        <v>1</v>
      </c>
      <c r="D105">
        <v>-0.20908897100836066</v>
      </c>
      <c r="E105">
        <v>-0.57008152301006798</v>
      </c>
      <c r="F105">
        <v>3.2879135822557116E-2</v>
      </c>
      <c r="G105">
        <v>0.30515759222561306</v>
      </c>
      <c r="H105">
        <v>0.85256207211331225</v>
      </c>
      <c r="I105">
        <v>0.51130465073588149</v>
      </c>
      <c r="J105">
        <v>1.596821467957358</v>
      </c>
      <c r="K105">
        <v>-0.21099195357722164</v>
      </c>
      <c r="L105">
        <v>0.69608474166153433</v>
      </c>
      <c r="M105">
        <v>1.0096434569442334</v>
      </c>
    </row>
    <row r="106" spans="1:13">
      <c r="A106" t="s">
        <v>366</v>
      </c>
      <c r="B106" t="s">
        <v>33</v>
      </c>
      <c r="C106">
        <v>1</v>
      </c>
      <c r="D106">
        <v>2.0959020475811975E-2</v>
      </c>
      <c r="E106">
        <v>0.1736648250460405</v>
      </c>
      <c r="F106">
        <v>5.5259856728757358E-3</v>
      </c>
      <c r="G106">
        <v>0.7666641646831025</v>
      </c>
      <c r="H106">
        <v>1.0364456868219711</v>
      </c>
      <c r="I106">
        <v>0.23330021385598496</v>
      </c>
      <c r="J106">
        <v>4.2861700039261876</v>
      </c>
      <c r="K106">
        <v>3.5164106798228595E-2</v>
      </c>
      <c r="L106">
        <v>1.0364087671124502</v>
      </c>
      <c r="M106">
        <v>0.22526222514274905</v>
      </c>
    </row>
    <row r="107" spans="1:13">
      <c r="A107" t="s">
        <v>369</v>
      </c>
      <c r="B107" t="s">
        <v>33</v>
      </c>
      <c r="C107">
        <v>1</v>
      </c>
      <c r="D107">
        <v>-0.38650017638204082</v>
      </c>
      <c r="E107">
        <v>0.53354857964565749</v>
      </c>
      <c r="F107">
        <v>1.5968117349587233E-3</v>
      </c>
      <c r="G107">
        <v>-0.54288809580397102</v>
      </c>
      <c r="H107">
        <v>0.7123432416522868</v>
      </c>
      <c r="I107">
        <v>1.2393018877525059</v>
      </c>
      <c r="J107">
        <v>0.56194039469389701</v>
      </c>
      <c r="K107">
        <v>-0.42220564773503833</v>
      </c>
      <c r="L107">
        <v>0.49608565808798055</v>
      </c>
      <c r="M107">
        <v>-4.3727406359853886E-2</v>
      </c>
    </row>
    <row r="108" spans="1:13">
      <c r="A108" t="s">
        <v>372</v>
      </c>
      <c r="B108" t="s">
        <v>33</v>
      </c>
      <c r="C108">
        <v>1</v>
      </c>
      <c r="D108">
        <v>-0.20203145494262517</v>
      </c>
      <c r="E108">
        <v>-1.5584367341674192</v>
      </c>
      <c r="F108">
        <v>1.1650523894933245E-6</v>
      </c>
      <c r="G108">
        <v>-0.31595226958330436</v>
      </c>
      <c r="H108">
        <v>0.85868132882347803</v>
      </c>
      <c r="I108">
        <v>1.1645763875757607</v>
      </c>
      <c r="J108">
        <v>0.72869768530941448</v>
      </c>
      <c r="K108">
        <v>-0.20426813692804277</v>
      </c>
      <c r="L108">
        <v>0.72869768530941448</v>
      </c>
      <c r="M108">
        <v>-0.40701752175519934</v>
      </c>
    </row>
    <row r="109" spans="1:13">
      <c r="A109" t="s">
        <v>375</v>
      </c>
      <c r="B109" t="s">
        <v>33</v>
      </c>
      <c r="C109">
        <v>1</v>
      </c>
      <c r="D109">
        <v>3.759639568603328E-3</v>
      </c>
      <c r="E109">
        <v>6.1904414983258743E-2</v>
      </c>
      <c r="F109">
        <v>2.6415522738238273E-2</v>
      </c>
      <c r="G109">
        <v>0.11513147573661993</v>
      </c>
      <c r="H109">
        <v>1.1721589392987348</v>
      </c>
      <c r="I109">
        <v>0.80345964537032766</v>
      </c>
      <c r="J109">
        <v>1.1432946587921711</v>
      </c>
      <c r="K109">
        <v>9.4313788713561192E-2</v>
      </c>
      <c r="L109">
        <v>1.0767347941659553</v>
      </c>
      <c r="M109">
        <v>9.6303359580661247</v>
      </c>
    </row>
    <row r="110" spans="1:13">
      <c r="A110" t="s">
        <v>378</v>
      </c>
      <c r="B110" t="s">
        <v>33</v>
      </c>
      <c r="C110">
        <v>1</v>
      </c>
      <c r="D110">
        <v>-0.18557635375569378</v>
      </c>
      <c r="E110">
        <v>-0.49123719407618016</v>
      </c>
      <c r="F110">
        <v>9.4347653675574458E-3</v>
      </c>
      <c r="G110">
        <v>-0.22852444400690783</v>
      </c>
      <c r="H110">
        <v>0.96671498837531156</v>
      </c>
      <c r="I110">
        <v>0.67827170884465604</v>
      </c>
      <c r="J110">
        <v>0.66307831945966289</v>
      </c>
      <c r="K110">
        <v>-7.1577676112142177E-2</v>
      </c>
      <c r="L110">
        <v>0.43477742189945195</v>
      </c>
      <c r="M110">
        <v>-1.8608491997039089</v>
      </c>
    </row>
    <row r="111" spans="1:13">
      <c r="A111" t="s">
        <v>381</v>
      </c>
      <c r="B111" t="s">
        <v>33</v>
      </c>
      <c r="C111">
        <v>1</v>
      </c>
      <c r="D111">
        <v>7.1260759508293538E-4</v>
      </c>
      <c r="E111">
        <v>0.10247826086956523</v>
      </c>
      <c r="F111">
        <v>0</v>
      </c>
      <c r="G111">
        <v>-0.37667215328896247</v>
      </c>
      <c r="H111">
        <v>0.97378835635325367</v>
      </c>
      <c r="I111">
        <v>0.99111697689023226</v>
      </c>
      <c r="J111">
        <v>0.61995187039291377</v>
      </c>
      <c r="K111">
        <v>-2.6917187370063114E-2</v>
      </c>
      <c r="L111">
        <v>0.59833921484444541</v>
      </c>
      <c r="M111">
        <v>-4.3774254267513982E-2</v>
      </c>
    </row>
    <row r="112" spans="1:13">
      <c r="A112" t="s">
        <v>384</v>
      </c>
      <c r="B112" t="s">
        <v>33</v>
      </c>
      <c r="C112">
        <v>1</v>
      </c>
      <c r="D112">
        <v>-1.5962295335649357E-2</v>
      </c>
      <c r="E112">
        <v>-0.4249719146204462</v>
      </c>
      <c r="F112">
        <v>9.1223358921527879E-3</v>
      </c>
      <c r="G112">
        <v>-0.51670766414222047</v>
      </c>
      <c r="H112">
        <v>1.0282934127216568</v>
      </c>
      <c r="I112">
        <v>0.97248507831362008</v>
      </c>
      <c r="J112">
        <v>0.46867291265976041</v>
      </c>
      <c r="K112">
        <v>2.7514921686379954E-2</v>
      </c>
      <c r="L112">
        <v>0.46867291265976041</v>
      </c>
      <c r="M112">
        <v>-1.7704219349339394E-2</v>
      </c>
    </row>
    <row r="113" spans="1:13">
      <c r="A113" t="s">
        <v>387</v>
      </c>
      <c r="B113" t="s">
        <v>33</v>
      </c>
      <c r="C113">
        <v>1</v>
      </c>
      <c r="D113">
        <v>-0.65689485761872335</v>
      </c>
      <c r="E113">
        <v>-0.67821558447263863</v>
      </c>
      <c r="F113">
        <v>2.1659850991087796E-2</v>
      </c>
      <c r="G113">
        <v>-1.2242613710957546</v>
      </c>
      <c r="H113">
        <v>0.48788682530301136</v>
      </c>
      <c r="I113">
        <v>1.89464132263955</v>
      </c>
      <c r="J113">
        <v>0.35382947871623793</v>
      </c>
      <c r="K113">
        <v>-1.1452716411853867</v>
      </c>
      <c r="L113">
        <v>0.32706954630548901</v>
      </c>
      <c r="M113">
        <v>-1.303701785545641</v>
      </c>
    </row>
    <row r="114" spans="1:13">
      <c r="A114" t="s">
        <v>390</v>
      </c>
      <c r="B114" t="s">
        <v>33</v>
      </c>
      <c r="C114">
        <v>1</v>
      </c>
      <c r="D114">
        <v>-4.6431792217996294E-2</v>
      </c>
      <c r="E114">
        <v>-1.9284062637935879E-2</v>
      </c>
      <c r="F114">
        <v>1.114986773327269E-2</v>
      </c>
      <c r="G114">
        <v>-0.20692531413843041</v>
      </c>
      <c r="H114">
        <v>1.0743429131489124</v>
      </c>
      <c r="I114">
        <v>0.93080150458570765</v>
      </c>
      <c r="J114">
        <v>0.77769125520426496</v>
      </c>
      <c r="K114">
        <v>4.9125968068538195E-2</v>
      </c>
      <c r="L114">
        <v>0.77769125520426496</v>
      </c>
      <c r="M114">
        <v>-5.8500214569448978</v>
      </c>
    </row>
    <row r="115" spans="1:13">
      <c r="A115" t="s">
        <v>393</v>
      </c>
      <c r="B115" t="s">
        <v>33</v>
      </c>
      <c r="C115">
        <v>1</v>
      </c>
      <c r="D115">
        <v>7.9443672886097855E-2</v>
      </c>
      <c r="E115">
        <v>8.3294853041888717E-2</v>
      </c>
      <c r="F115">
        <v>1.8326568111584399E-2</v>
      </c>
      <c r="G115">
        <v>5.9957096722432622E-2</v>
      </c>
      <c r="H115">
        <v>1.3071266830114603</v>
      </c>
      <c r="I115">
        <v>0.76503678870369474</v>
      </c>
      <c r="J115">
        <v>1.0783715209617908</v>
      </c>
      <c r="K115">
        <v>0.19301333989708822</v>
      </c>
      <c r="L115">
        <v>1.0783715209617908</v>
      </c>
      <c r="M115">
        <v>22.479317691688102</v>
      </c>
    </row>
    <row r="116" spans="1:13">
      <c r="A116" t="s">
        <v>396</v>
      </c>
      <c r="B116" t="s">
        <v>33</v>
      </c>
      <c r="C116">
        <v>1</v>
      </c>
      <c r="D116">
        <v>8.816512504181322E-3</v>
      </c>
      <c r="E116">
        <v>3.502715610969305E-2</v>
      </c>
      <c r="F116">
        <v>2.4504865088675731E-2</v>
      </c>
      <c r="G116">
        <v>8.9268216925185412E-2</v>
      </c>
      <c r="H116">
        <v>1.2069897434163168</v>
      </c>
      <c r="I116">
        <v>0.70968516644678703</v>
      </c>
      <c r="J116">
        <v>1.1257856598188867</v>
      </c>
      <c r="K116">
        <v>0.15139196649289768</v>
      </c>
      <c r="L116">
        <v>0.9643285391977352</v>
      </c>
      <c r="M116">
        <v>19.737765780954348</v>
      </c>
    </row>
    <row r="117" spans="1:13">
      <c r="A117" t="s">
        <v>399</v>
      </c>
      <c r="B117" t="s">
        <v>33</v>
      </c>
      <c r="C117">
        <v>1</v>
      </c>
      <c r="D117">
        <v>-0.76061967472851244</v>
      </c>
      <c r="E117">
        <v>-1.7688598064052583</v>
      </c>
      <c r="F117">
        <v>1.4055821175744001E-2</v>
      </c>
      <c r="G117">
        <v>-0.79062200074126709</v>
      </c>
      <c r="H117">
        <v>0.50399123608410235</v>
      </c>
      <c r="I117">
        <v>1.7536646592032836</v>
      </c>
      <c r="J117">
        <v>0.54916009934279086</v>
      </c>
      <c r="K117">
        <v>-1.1076099640534036</v>
      </c>
      <c r="L117">
        <v>0.48536505983999173</v>
      </c>
      <c r="M117">
        <v>-0.79634161694758077</v>
      </c>
    </row>
    <row r="118" spans="1:13">
      <c r="A118" t="s">
        <v>402</v>
      </c>
      <c r="B118" t="s">
        <v>33</v>
      </c>
      <c r="C118">
        <v>1</v>
      </c>
      <c r="D118">
        <v>-6.3451226182019344E-2</v>
      </c>
      <c r="E118">
        <v>0.46872000000000003</v>
      </c>
      <c r="F118">
        <v>1.1702162261791608E-2</v>
      </c>
      <c r="G118">
        <v>9.2213143013358145E-2</v>
      </c>
      <c r="H118">
        <v>8.7784471647190365</v>
      </c>
      <c r="I118">
        <v>2.3601256072898306E-2</v>
      </c>
      <c r="J118">
        <v>4.9071286175843811</v>
      </c>
      <c r="K118">
        <v>0.8860846364697571</v>
      </c>
      <c r="L118">
        <v>1.0166705832923868</v>
      </c>
      <c r="M118">
        <v>0.10996358006228336</v>
      </c>
    </row>
    <row r="119" spans="1:13">
      <c r="A119" t="s">
        <v>405</v>
      </c>
      <c r="B119" t="s">
        <v>33</v>
      </c>
      <c r="C119">
        <v>1</v>
      </c>
      <c r="D119">
        <v>-0.23436825578682538</v>
      </c>
      <c r="E119">
        <v>-0.26337778674340684</v>
      </c>
      <c r="F119">
        <v>7.177202292866355E-3</v>
      </c>
      <c r="G119">
        <v>8.9746060707295239E-2</v>
      </c>
      <c r="H119">
        <v>0.9504898983401916</v>
      </c>
      <c r="I119">
        <v>0.87864108856823475</v>
      </c>
      <c r="J119">
        <v>1.1021418891911126</v>
      </c>
      <c r="K119">
        <v>-0.10371721896000102</v>
      </c>
      <c r="L119">
        <v>0.92044220306884639</v>
      </c>
      <c r="M119">
        <v>12.112665839457861</v>
      </c>
    </row>
    <row r="120" spans="1:13">
      <c r="A120" t="s">
        <v>408</v>
      </c>
      <c r="B120" t="s">
        <v>33</v>
      </c>
      <c r="C120">
        <v>1</v>
      </c>
      <c r="D120">
        <v>-9.7109598866879764E-3</v>
      </c>
      <c r="E120">
        <v>9.089514866979656E-2</v>
      </c>
      <c r="F120">
        <v>1.7759133870234096E-2</v>
      </c>
      <c r="G120">
        <v>-7.1389652835043754E-2</v>
      </c>
      <c r="H120">
        <v>1.300359534513966</v>
      </c>
      <c r="I120">
        <v>0.57044542977907686</v>
      </c>
      <c r="J120">
        <v>0.87485279203184829</v>
      </c>
      <c r="K120">
        <v>0.23098191426437384</v>
      </c>
      <c r="L120">
        <v>0.6489519378034484</v>
      </c>
      <c r="M120">
        <v>-3.8644830422371665</v>
      </c>
    </row>
    <row r="121" spans="1:13">
      <c r="A121" t="s">
        <v>411</v>
      </c>
      <c r="B121" t="s">
        <v>33</v>
      </c>
      <c r="C121">
        <v>1</v>
      </c>
      <c r="D121">
        <v>-1.0528253484351084</v>
      </c>
      <c r="E121">
        <v>-0.45040204286958929</v>
      </c>
      <c r="F121">
        <v>2.5460702548142262E-2</v>
      </c>
      <c r="G121">
        <v>-0.984900778777278</v>
      </c>
      <c r="H121">
        <v>0.48059804554393026</v>
      </c>
      <c r="I121">
        <v>1.9166900924537729</v>
      </c>
      <c r="J121">
        <v>0.48614500452893022</v>
      </c>
      <c r="K121">
        <v>-1.1455279304792048</v>
      </c>
      <c r="L121">
        <v>0.4478161230116437</v>
      </c>
      <c r="M121">
        <v>-2.6652748083331788</v>
      </c>
    </row>
    <row r="122" spans="1:13">
      <c r="A122" t="s">
        <v>414</v>
      </c>
      <c r="B122" t="s">
        <v>33</v>
      </c>
      <c r="C122">
        <v>1</v>
      </c>
      <c r="D122">
        <v>-8.6492246325050509E-2</v>
      </c>
      <c r="E122">
        <v>-0.18636269036221983</v>
      </c>
      <c r="F122">
        <v>1.9197708509694664E-3</v>
      </c>
      <c r="G122">
        <v>-2.2222300051834521E-3</v>
      </c>
      <c r="H122">
        <v>0.95744827112119335</v>
      </c>
      <c r="I122">
        <v>0.99637508580714751</v>
      </c>
      <c r="J122">
        <v>0.99776968529538923</v>
      </c>
      <c r="K122">
        <v>-7.1468598086325483E-2</v>
      </c>
      <c r="L122">
        <v>0.95184993301778742</v>
      </c>
      <c r="M122">
        <v>-174.17336485421595</v>
      </c>
    </row>
    <row r="123" spans="1:13">
      <c r="A123" t="s">
        <v>417</v>
      </c>
      <c r="B123" t="s">
        <v>33</v>
      </c>
      <c r="C123">
        <v>1</v>
      </c>
      <c r="D123">
        <v>-0.81073874990649419</v>
      </c>
      <c r="E123">
        <v>-3.5268763010090485</v>
      </c>
      <c r="F123">
        <v>3.0714226942632587E-3</v>
      </c>
      <c r="G123">
        <v>-0.17969772595613306</v>
      </c>
      <c r="H123">
        <v>0.58606481154719403</v>
      </c>
      <c r="I123">
        <v>1.1698504804509937</v>
      </c>
      <c r="J123">
        <v>0.84639256985486111</v>
      </c>
      <c r="K123">
        <v>-1.0125327780009616</v>
      </c>
      <c r="L123">
        <v>0.58029368746596555</v>
      </c>
      <c r="M123">
        <v>-1.4170775853634674</v>
      </c>
    </row>
    <row r="124" spans="1:13">
      <c r="A124" t="s">
        <v>420</v>
      </c>
      <c r="B124" t="s">
        <v>33</v>
      </c>
      <c r="C124">
        <v>1</v>
      </c>
      <c r="D124">
        <v>2.800805015758754E-2</v>
      </c>
      <c r="E124">
        <v>5.1143856604607456E-2</v>
      </c>
      <c r="F124">
        <v>1.6750743176290425E-2</v>
      </c>
      <c r="G124">
        <v>-0.19909050234169612</v>
      </c>
      <c r="H124">
        <v>1.1349894128700238</v>
      </c>
      <c r="I124">
        <v>0.81675731344310953</v>
      </c>
      <c r="J124">
        <v>0.75624276750897612</v>
      </c>
      <c r="K124">
        <v>8.0568996419724426E-2</v>
      </c>
      <c r="L124">
        <v>0.70104529128129311</v>
      </c>
      <c r="M124">
        <v>-8.7458421985815598</v>
      </c>
    </row>
    <row r="125" spans="1:13">
      <c r="A125" t="s">
        <v>423</v>
      </c>
      <c r="B125" t="s">
        <v>33</v>
      </c>
      <c r="C125">
        <v>1</v>
      </c>
      <c r="D125">
        <v>0</v>
      </c>
      <c r="E125">
        <v>0</v>
      </c>
      <c r="F125">
        <v>0</v>
      </c>
      <c r="G125">
        <v>-1.1742054492069076</v>
      </c>
      <c r="H125">
        <v>0.45993813526903521</v>
      </c>
      <c r="I125">
        <v>2.1742054492069074</v>
      </c>
      <c r="J125">
        <v>0.45993813526903521</v>
      </c>
      <c r="K125">
        <v>-1.1742054492069076</v>
      </c>
      <c r="L125">
        <v>0.45993813526903521</v>
      </c>
      <c r="M125">
        <v>-9.0328184877706934E-3</v>
      </c>
    </row>
    <row r="126" spans="1:13">
      <c r="A126" t="s">
        <v>426</v>
      </c>
      <c r="B126" t="s">
        <v>33</v>
      </c>
      <c r="C126">
        <v>1</v>
      </c>
      <c r="D126">
        <v>2.6308372539061678E-3</v>
      </c>
      <c r="E126">
        <v>0.10221951219512194</v>
      </c>
      <c r="F126">
        <v>4.5860528067202453E-4</v>
      </c>
      <c r="G126">
        <v>-0.40587766028169509</v>
      </c>
      <c r="H126">
        <v>0.69790517714408029</v>
      </c>
      <c r="I126">
        <v>1.3457838800889934</v>
      </c>
      <c r="J126">
        <v>0.69840799381929342</v>
      </c>
      <c r="K126">
        <v>-0.54515542870312095</v>
      </c>
      <c r="L126">
        <v>0.65596541683343557</v>
      </c>
      <c r="M126">
        <v>-8.9539396242402799E-2</v>
      </c>
    </row>
    <row r="127" spans="1:13">
      <c r="A127" t="s">
        <v>429</v>
      </c>
      <c r="B127" t="s">
        <v>33</v>
      </c>
      <c r="C127">
        <v>1</v>
      </c>
      <c r="D127">
        <v>-1.6672947925414058E-2</v>
      </c>
      <c r="E127">
        <v>-0.35640788327526135</v>
      </c>
      <c r="F127">
        <v>1.1643529172991E-4</v>
      </c>
      <c r="G127">
        <v>0.46985244343171673</v>
      </c>
      <c r="H127">
        <v>1.012860405126178</v>
      </c>
      <c r="I127">
        <v>0.48390897287459728</v>
      </c>
      <c r="J127">
        <v>1.9709521206862943</v>
      </c>
      <c r="K127">
        <v>1.2697115082286185E-2</v>
      </c>
      <c r="L127">
        <v>0.96602717451373055</v>
      </c>
      <c r="M127">
        <v>0.14460885619024</v>
      </c>
    </row>
    <row r="128" spans="1:13">
      <c r="A128" t="s">
        <v>432</v>
      </c>
      <c r="B128" t="s">
        <v>33</v>
      </c>
      <c r="C128">
        <v>1</v>
      </c>
      <c r="D128">
        <v>3.3545437981876928E-3</v>
      </c>
      <c r="E128">
        <v>0.64569081003840312</v>
      </c>
      <c r="F128">
        <v>9.892744145875011E-4</v>
      </c>
      <c r="G128">
        <v>0.34816063471623965</v>
      </c>
      <c r="H128">
        <v>1.5317614491423179</v>
      </c>
      <c r="I128">
        <v>0.62493146389411269</v>
      </c>
      <c r="J128">
        <v>1.5571181078749963</v>
      </c>
      <c r="K128">
        <v>0.34004020784878736</v>
      </c>
      <c r="L128">
        <v>1.4905449631163326</v>
      </c>
      <c r="M128">
        <v>0.14918114910920321</v>
      </c>
    </row>
    <row r="129" spans="1:13">
      <c r="A129" t="s">
        <v>435</v>
      </c>
      <c r="B129" t="s">
        <v>33</v>
      </c>
      <c r="C129">
        <v>1</v>
      </c>
      <c r="D129">
        <v>-0.39753901569492489</v>
      </c>
      <c r="E129">
        <v>-3.4572539178783184</v>
      </c>
      <c r="F129">
        <v>4.869757456416865E-2</v>
      </c>
      <c r="G129">
        <v>-0.9232849335026756</v>
      </c>
      <c r="H129">
        <v>0.53907364354433551</v>
      </c>
      <c r="I129">
        <v>1.8306911755170849</v>
      </c>
      <c r="J129">
        <v>0.4956631976762052</v>
      </c>
      <c r="K129">
        <v>-0.91751433115553171</v>
      </c>
      <c r="L129">
        <v>0.48915878905758076</v>
      </c>
      <c r="M129">
        <v>-0.12593203815314963</v>
      </c>
    </row>
    <row r="130" spans="1:13">
      <c r="A130" t="s">
        <v>438</v>
      </c>
      <c r="B130" t="s">
        <v>33</v>
      </c>
      <c r="C130">
        <v>1</v>
      </c>
      <c r="D130">
        <v>-0.15777881372752597</v>
      </c>
      <c r="E130">
        <v>-1.0016593082073624</v>
      </c>
      <c r="F130">
        <v>3.5690828449057152E-3</v>
      </c>
      <c r="G130">
        <v>-3.1719651372370244E-3</v>
      </c>
      <c r="H130">
        <v>1.0082386413223716</v>
      </c>
      <c r="I130">
        <v>0.78916242038829165</v>
      </c>
      <c r="J130">
        <v>0.99598059277116069</v>
      </c>
      <c r="K130">
        <v>-0.12772209045775171</v>
      </c>
      <c r="L130">
        <v>0.79246594869467568</v>
      </c>
      <c r="M130">
        <v>-41.480897513644635</v>
      </c>
    </row>
    <row r="131" spans="1:13">
      <c r="A131" t="s">
        <v>441</v>
      </c>
      <c r="B131" t="s">
        <v>33</v>
      </c>
      <c r="C131">
        <v>1</v>
      </c>
      <c r="D131">
        <v>-0.13743779221117697</v>
      </c>
      <c r="E131">
        <v>-81.149199999999993</v>
      </c>
      <c r="F131">
        <v>1.2396614492791698E-4</v>
      </c>
      <c r="G131">
        <v>0.17454353314154875</v>
      </c>
      <c r="H131">
        <v>1.1823545744828543</v>
      </c>
      <c r="I131">
        <v>8.0334253116499332E-2</v>
      </c>
      <c r="J131">
        <v>3.1727161997563953</v>
      </c>
      <c r="K131">
        <v>0.15423002407092115</v>
      </c>
      <c r="L131">
        <v>0.30135591651626636</v>
      </c>
      <c r="M131">
        <v>1.4015024105841463E-2</v>
      </c>
    </row>
    <row r="132" spans="1:13">
      <c r="A132" t="s">
        <v>444</v>
      </c>
      <c r="B132" t="s">
        <v>33</v>
      </c>
      <c r="C132">
        <v>1</v>
      </c>
      <c r="D132">
        <v>-1.154135148014777</v>
      </c>
      <c r="E132">
        <v>-7.7391160430854384</v>
      </c>
      <c r="F132">
        <v>1.4022529078987095E-2</v>
      </c>
      <c r="G132">
        <v>0.3492275510727143</v>
      </c>
      <c r="H132">
        <v>1.581224251852152</v>
      </c>
      <c r="I132">
        <v>0.63242136517237169</v>
      </c>
      <c r="J132">
        <v>1.552207073171112</v>
      </c>
      <c r="K132">
        <v>-0.48200675054907355</v>
      </c>
      <c r="L132">
        <v>1.552207073171112</v>
      </c>
      <c r="M132">
        <v>0.52018381512353606</v>
      </c>
    </row>
    <row r="133" spans="1:13">
      <c r="A133" t="s">
        <v>447</v>
      </c>
      <c r="B133" t="s">
        <v>33</v>
      </c>
      <c r="C133">
        <v>1</v>
      </c>
      <c r="D133">
        <v>-1.0458082235054034</v>
      </c>
      <c r="E133">
        <v>-11.878487227148771</v>
      </c>
      <c r="F133">
        <v>8.3820090343418897E-3</v>
      </c>
      <c r="G133">
        <v>-2.5900541947357354</v>
      </c>
      <c r="H133">
        <v>0.29365244120595846</v>
      </c>
      <c r="I133">
        <v>2.7849943080223811</v>
      </c>
      <c r="J133">
        <v>6.9996593072059896E-2</v>
      </c>
      <c r="K133">
        <v>-2.7961087212155262</v>
      </c>
      <c r="L133">
        <v>5.7244640155589589E-2</v>
      </c>
      <c r="M133">
        <v>-9.6592360257113041E-2</v>
      </c>
    </row>
    <row r="134" spans="1:13">
      <c r="A134" t="s">
        <v>450</v>
      </c>
      <c r="B134" t="s">
        <v>33</v>
      </c>
      <c r="C134">
        <v>1</v>
      </c>
      <c r="D134">
        <v>-0.21663725372939124</v>
      </c>
      <c r="E134">
        <v>-0.5091188933084847</v>
      </c>
      <c r="F134">
        <v>2.9546283414153152E-2</v>
      </c>
      <c r="G134">
        <v>-0.16901715780839471</v>
      </c>
      <c r="H134">
        <v>0.93396132907341145</v>
      </c>
      <c r="I134">
        <v>1.070708142693773</v>
      </c>
      <c r="J134">
        <v>0.8421445106570612</v>
      </c>
      <c r="K134">
        <v>-9.9023138592522125E-2</v>
      </c>
      <c r="L134">
        <v>0.8421445106570612</v>
      </c>
      <c r="M134">
        <v>-2.5316417069621147</v>
      </c>
    </row>
    <row r="135" spans="1:13">
      <c r="A135" t="s">
        <v>453</v>
      </c>
      <c r="B135" t="s">
        <v>33</v>
      </c>
      <c r="C135">
        <v>1</v>
      </c>
      <c r="D135">
        <v>-6.1136979454397181E-2</v>
      </c>
      <c r="E135">
        <v>-0.14444236959294579</v>
      </c>
      <c r="F135">
        <v>2.56143537103894E-3</v>
      </c>
      <c r="G135">
        <v>-0.2069470160657832</v>
      </c>
      <c r="H135">
        <v>0.84332005407165345</v>
      </c>
      <c r="I135">
        <v>0.98698647304716247</v>
      </c>
      <c r="J135">
        <v>0.79032436439896947</v>
      </c>
      <c r="K135">
        <v>-0.18584096734287955</v>
      </c>
      <c r="L135">
        <v>0.65782291703955997</v>
      </c>
      <c r="M135">
        <v>-1.5430406329361204</v>
      </c>
    </row>
    <row r="136" spans="1:13">
      <c r="A136" t="s">
        <v>456</v>
      </c>
      <c r="B136" t="s">
        <v>33</v>
      </c>
      <c r="C136">
        <v>1</v>
      </c>
      <c r="D136">
        <v>2.0246001772210705E-2</v>
      </c>
      <c r="E136">
        <v>0.51876123549599606</v>
      </c>
      <c r="F136">
        <v>0</v>
      </c>
      <c r="G136">
        <v>0.65599136456680585</v>
      </c>
      <c r="H136">
        <v>1.1988826972653803</v>
      </c>
      <c r="I136">
        <v>0.3143568339160262</v>
      </c>
      <c r="J136">
        <v>3.0867730355817238</v>
      </c>
      <c r="K136">
        <v>0.14265407439216846</v>
      </c>
      <c r="L136">
        <v>1.1633336654837003</v>
      </c>
      <c r="M136">
        <v>9.9395569676797899E-2</v>
      </c>
    </row>
    <row r="137" spans="1:13">
      <c r="A137" t="s">
        <v>459</v>
      </c>
      <c r="B137" t="s">
        <v>33</v>
      </c>
      <c r="C137">
        <v>1</v>
      </c>
      <c r="D137">
        <v>0.26554859457716912</v>
      </c>
      <c r="E137">
        <v>1.0027850628719031</v>
      </c>
      <c r="F137">
        <v>7.3627663631912598E-4</v>
      </c>
      <c r="G137">
        <v>-1.32136117300762</v>
      </c>
      <c r="H137">
        <v>0.50687518580264235</v>
      </c>
      <c r="I137">
        <v>1.9597447112871724</v>
      </c>
      <c r="J137">
        <v>0.32574831538147536</v>
      </c>
      <c r="K137">
        <v>-1.1090842067618498</v>
      </c>
      <c r="L137">
        <v>0.32358077457879625</v>
      </c>
      <c r="M137">
        <v>-0.21020469345946938</v>
      </c>
    </row>
    <row r="138" spans="1:13">
      <c r="A138" t="s">
        <v>462</v>
      </c>
      <c r="B138" t="s">
        <v>33</v>
      </c>
      <c r="C138">
        <v>1</v>
      </c>
      <c r="D138">
        <v>5.3540476565652022E-3</v>
      </c>
      <c r="E138">
        <v>3.2577140096078205E-2</v>
      </c>
      <c r="F138">
        <v>6.8571714365247703E-4</v>
      </c>
      <c r="G138">
        <v>-0.1491987279555409</v>
      </c>
      <c r="H138">
        <v>1.1444088421337395</v>
      </c>
      <c r="I138">
        <v>0.87048517880877418</v>
      </c>
      <c r="J138">
        <v>0.82860279349073607</v>
      </c>
      <c r="K138">
        <v>5.1491708518059287E-2</v>
      </c>
      <c r="L138">
        <v>0.82544659206770299</v>
      </c>
      <c r="M138">
        <v>-3.7430738761630726</v>
      </c>
    </row>
    <row r="139" spans="1:13">
      <c r="A139" t="s">
        <v>465</v>
      </c>
      <c r="B139" t="s">
        <v>33</v>
      </c>
      <c r="C139">
        <v>1</v>
      </c>
      <c r="D139">
        <v>-1.4994920016770825</v>
      </c>
      <c r="E139">
        <v>-3.7508736070263442</v>
      </c>
      <c r="F139">
        <v>5.2519390680898104E-3</v>
      </c>
      <c r="G139">
        <v>-2.3429254093839655</v>
      </c>
      <c r="H139">
        <v>0.30903576275617084</v>
      </c>
      <c r="I139">
        <v>3.2358714443965497</v>
      </c>
      <c r="J139">
        <v>0.27595225903021231</v>
      </c>
      <c r="K139">
        <v>-2.2772988305963819</v>
      </c>
      <c r="L139">
        <v>0.27595225903021231</v>
      </c>
      <c r="M139">
        <v>-0.11081903940445727</v>
      </c>
    </row>
    <row r="140" spans="1:13">
      <c r="A140" t="s">
        <v>468</v>
      </c>
      <c r="B140" t="s">
        <v>33</v>
      </c>
      <c r="C140">
        <v>1</v>
      </c>
      <c r="D140">
        <v>-7.6313456402869583E-3</v>
      </c>
      <c r="E140">
        <v>-1.1229206320735681E-2</v>
      </c>
      <c r="F140">
        <v>3.4694840127114389E-4</v>
      </c>
      <c r="G140">
        <v>0.29822866980171642</v>
      </c>
      <c r="H140">
        <v>1.3515375443220685</v>
      </c>
      <c r="I140">
        <v>0.69122042897788949</v>
      </c>
      <c r="J140">
        <v>1.4314523374876353</v>
      </c>
      <c r="K140">
        <v>0.25936364913290838</v>
      </c>
      <c r="L140">
        <v>1.3372776051962723</v>
      </c>
      <c r="M140">
        <v>3.2985983254640785</v>
      </c>
    </row>
    <row r="141" spans="1:13">
      <c r="A141" t="s">
        <v>471</v>
      </c>
      <c r="B141" t="s">
        <v>33</v>
      </c>
      <c r="C141">
        <v>1</v>
      </c>
      <c r="D141">
        <v>-0.53209329196944277</v>
      </c>
      <c r="E141">
        <v>-1.2477778530046133</v>
      </c>
      <c r="F141">
        <v>3.8154966719838846E-3</v>
      </c>
      <c r="G141">
        <v>-0.5373632976515671</v>
      </c>
      <c r="H141">
        <v>0.63226520095662753</v>
      </c>
      <c r="I141">
        <v>1.4856637484194166</v>
      </c>
      <c r="J141">
        <v>0.63830086166990163</v>
      </c>
      <c r="K141">
        <v>-0.63437732261271618</v>
      </c>
      <c r="L141">
        <v>0.59957737507199493</v>
      </c>
      <c r="M141">
        <v>-0.92858313630658496</v>
      </c>
    </row>
    <row r="142" spans="1:13">
      <c r="A142" t="s">
        <v>474</v>
      </c>
      <c r="B142" t="s">
        <v>33</v>
      </c>
      <c r="C142">
        <v>1</v>
      </c>
      <c r="D142">
        <v>-0.69332265568394158</v>
      </c>
      <c r="E142">
        <v>-6.602527423658465</v>
      </c>
      <c r="F142">
        <v>2.2103507964860951E-5</v>
      </c>
      <c r="G142">
        <v>-2.0492387693266365</v>
      </c>
      <c r="H142">
        <v>0.3283232405895225</v>
      </c>
      <c r="I142">
        <v>3.0457789043640187</v>
      </c>
      <c r="J142">
        <v>0.32718728651299372</v>
      </c>
      <c r="K142">
        <v>-2.0457789043640187</v>
      </c>
      <c r="L142">
        <v>0.32718728651299372</v>
      </c>
      <c r="M142">
        <v>-7.9509366158546105E-2</v>
      </c>
    </row>
    <row r="143" spans="1:13">
      <c r="A143" t="s">
        <v>477</v>
      </c>
      <c r="B143" t="s">
        <v>33</v>
      </c>
      <c r="C143">
        <v>1</v>
      </c>
      <c r="D143">
        <v>-0.33189327396366192</v>
      </c>
      <c r="E143">
        <v>-2.4088712110483765</v>
      </c>
      <c r="F143">
        <v>1.9320968304237139E-3</v>
      </c>
      <c r="G143">
        <v>-1.3296048581730064</v>
      </c>
      <c r="H143">
        <v>0.44933149959004204</v>
      </c>
      <c r="I143">
        <v>2.2255283702842399</v>
      </c>
      <c r="J143">
        <v>0.40256665521491791</v>
      </c>
      <c r="K143">
        <v>-1.2255283702842401</v>
      </c>
      <c r="L143">
        <v>0.40256665521491791</v>
      </c>
      <c r="M143">
        <v>-0.14919355579520965</v>
      </c>
    </row>
    <row r="144" spans="1:13">
      <c r="A144" t="s">
        <v>480</v>
      </c>
      <c r="B144" t="s">
        <v>33</v>
      </c>
      <c r="C144">
        <v>1</v>
      </c>
      <c r="D144">
        <v>-0.74567743162170153</v>
      </c>
      <c r="E144">
        <v>-0.38412781668074442</v>
      </c>
      <c r="F144">
        <v>2.7047719870046248E-2</v>
      </c>
      <c r="G144">
        <v>-0.42852277916375353</v>
      </c>
      <c r="H144">
        <v>0.5690237444940065</v>
      </c>
      <c r="I144">
        <v>1.3832830684213377</v>
      </c>
      <c r="J144">
        <v>0.69021324055328592</v>
      </c>
      <c r="K144">
        <v>-0.90875564029070233</v>
      </c>
      <c r="L144">
        <v>0.54328127488753131</v>
      </c>
      <c r="M144">
        <v>-5.3029421857785319</v>
      </c>
    </row>
    <row r="145" spans="1:13">
      <c r="A145" t="s">
        <v>483</v>
      </c>
      <c r="B145" t="s">
        <v>33</v>
      </c>
      <c r="C145">
        <v>1</v>
      </c>
      <c r="D145">
        <v>8.483759372699376E-2</v>
      </c>
      <c r="E145">
        <v>6.8358702147853917E-2</v>
      </c>
      <c r="F145">
        <v>6.3611791032178503E-4</v>
      </c>
      <c r="G145">
        <v>0.23097508454854593</v>
      </c>
      <c r="H145">
        <v>1.3530171005532636</v>
      </c>
      <c r="I145">
        <v>0.73908895873606395</v>
      </c>
      <c r="J145">
        <v>1.3125132391959184</v>
      </c>
      <c r="K145">
        <v>0.23184279343884709</v>
      </c>
      <c r="L145">
        <v>1.3125132391959184</v>
      </c>
      <c r="M145">
        <v>8.1702931850558329</v>
      </c>
    </row>
    <row r="146" spans="1:13">
      <c r="A146" t="s">
        <v>486</v>
      </c>
      <c r="B146" t="s">
        <v>33</v>
      </c>
      <c r="C146">
        <v>1</v>
      </c>
      <c r="D146">
        <v>0.38790538634532395</v>
      </c>
      <c r="E146">
        <v>0.42758440281656535</v>
      </c>
      <c r="F146">
        <v>6.1953646281851923E-5</v>
      </c>
      <c r="G146">
        <v>0.57654441798291023</v>
      </c>
      <c r="H146">
        <v>2.4404546713989785</v>
      </c>
      <c r="I146">
        <v>0.40975971064717825</v>
      </c>
      <c r="J146">
        <v>2.4070305181353988</v>
      </c>
      <c r="K146">
        <v>0.58939958748841004</v>
      </c>
      <c r="L146">
        <v>2.4070305181353988</v>
      </c>
      <c r="M146">
        <v>1.6310469077107377</v>
      </c>
    </row>
    <row r="147" spans="1:13">
      <c r="A147" t="s">
        <v>489</v>
      </c>
      <c r="B147" t="s">
        <v>33</v>
      </c>
      <c r="C147">
        <v>1</v>
      </c>
      <c r="D147">
        <v>-0.52050746490864275</v>
      </c>
      <c r="E147">
        <v>-0.4323049520274671</v>
      </c>
      <c r="F147">
        <v>7.2311416250423971E-3</v>
      </c>
      <c r="G147">
        <v>-0.2727250593133449</v>
      </c>
      <c r="H147">
        <v>0.66429986018409692</v>
      </c>
      <c r="I147">
        <v>1.2428736064407395</v>
      </c>
      <c r="J147">
        <v>0.78056895093753165</v>
      </c>
      <c r="K147">
        <v>-0.54576122625099088</v>
      </c>
      <c r="L147">
        <v>0.64446954421453295</v>
      </c>
      <c r="M147">
        <v>-4.6529232631035988</v>
      </c>
    </row>
    <row r="148" spans="1:13">
      <c r="A148" t="s">
        <v>492</v>
      </c>
      <c r="B148" t="s">
        <v>33</v>
      </c>
      <c r="C148">
        <v>1</v>
      </c>
      <c r="D148">
        <v>-1.3652864645540276E-2</v>
      </c>
      <c r="E148">
        <v>0.17500366999412803</v>
      </c>
      <c r="F148">
        <v>1.6932565602312294E-2</v>
      </c>
      <c r="G148">
        <v>-0.42298523883744382</v>
      </c>
      <c r="H148">
        <v>1.5517678455177646</v>
      </c>
      <c r="I148">
        <v>0.64442629281723451</v>
      </c>
      <c r="J148">
        <v>0.34362510724340267</v>
      </c>
      <c r="K148">
        <v>0.10713303383148437</v>
      </c>
      <c r="L148">
        <v>0.34362510724340267</v>
      </c>
      <c r="M148">
        <v>-0.17897409118824531</v>
      </c>
    </row>
    <row r="149" spans="1:13">
      <c r="A149" t="s">
        <v>495</v>
      </c>
      <c r="B149" t="s">
        <v>33</v>
      </c>
      <c r="C149">
        <v>1</v>
      </c>
      <c r="D149">
        <v>-1.7740904149195458</v>
      </c>
      <c r="E149">
        <v>-3.755088655824891</v>
      </c>
      <c r="F149">
        <v>2.7936902657518654E-2</v>
      </c>
      <c r="G149">
        <v>-5.0655211315273645</v>
      </c>
      <c r="H149">
        <v>0.15637628129515807</v>
      </c>
      <c r="I149">
        <v>5.7246344111798972</v>
      </c>
      <c r="J149">
        <v>0.11513630955460141</v>
      </c>
      <c r="K149">
        <v>-5.5107427411052985</v>
      </c>
      <c r="L149">
        <v>0.10306968362431852</v>
      </c>
      <c r="M149">
        <v>-0.28056745430892627</v>
      </c>
    </row>
    <row r="150" spans="1:13">
      <c r="A150" t="s">
        <v>498</v>
      </c>
      <c r="B150" t="s">
        <v>33</v>
      </c>
      <c r="C150">
        <v>1</v>
      </c>
      <c r="D150">
        <v>-6.0626496227754872E-2</v>
      </c>
      <c r="E150">
        <v>-0.2155656108597285</v>
      </c>
      <c r="F150">
        <v>6.5219362329166659E-3</v>
      </c>
      <c r="G150">
        <v>-3.6087462548639544</v>
      </c>
      <c r="H150">
        <v>0.21899606095637394</v>
      </c>
      <c r="I150">
        <v>4.5662921772789753</v>
      </c>
      <c r="J150">
        <v>0.2096987851937272</v>
      </c>
      <c r="K150">
        <v>-3.5662921772789753</v>
      </c>
      <c r="L150">
        <v>0.2096987851937272</v>
      </c>
      <c r="M150">
        <v>-4.4491275482327709E-2</v>
      </c>
    </row>
    <row r="151" spans="1:13">
      <c r="A151" t="s">
        <v>501</v>
      </c>
      <c r="B151" t="s">
        <v>33</v>
      </c>
      <c r="C151">
        <v>1</v>
      </c>
      <c r="D151">
        <v>2.6258235823195003E-2</v>
      </c>
      <c r="E151">
        <v>3.6480298363927473E-2</v>
      </c>
      <c r="F151">
        <v>8.5541199052417815E-3</v>
      </c>
      <c r="G151">
        <v>0.55483908086003209</v>
      </c>
      <c r="H151">
        <v>1.2931125960064449</v>
      </c>
      <c r="I151">
        <v>0.40997021894450608</v>
      </c>
      <c r="J151">
        <v>2.3533643548267968</v>
      </c>
      <c r="K151">
        <v>0.18263039242256093</v>
      </c>
      <c r="L151">
        <v>1.2476070583214069</v>
      </c>
      <c r="M151">
        <v>1.5833233278030039</v>
      </c>
    </row>
    <row r="152" spans="1:13">
      <c r="A152" t="s">
        <v>504</v>
      </c>
      <c r="B152" t="s">
        <v>33</v>
      </c>
      <c r="C152">
        <v>1</v>
      </c>
      <c r="D152">
        <v>-0.54254870718362458</v>
      </c>
      <c r="E152">
        <v>-0.45491533644518717</v>
      </c>
      <c r="F152">
        <v>5.0104807382494454E-3</v>
      </c>
      <c r="G152">
        <v>-0.47393116370563121</v>
      </c>
      <c r="H152">
        <v>0.68876188189492904</v>
      </c>
      <c r="I152">
        <v>1.4518805791760561</v>
      </c>
      <c r="J152">
        <v>0.67357427979745577</v>
      </c>
      <c r="K152">
        <v>-0.50374746330349474</v>
      </c>
      <c r="L152">
        <v>0.67357427979745577</v>
      </c>
      <c r="M152">
        <v>-2.7351518554639398</v>
      </c>
    </row>
    <row r="153" spans="1:13">
      <c r="A153" t="s">
        <v>507</v>
      </c>
      <c r="B153" t="s">
        <v>33</v>
      </c>
      <c r="C153">
        <v>1</v>
      </c>
      <c r="D153">
        <v>-0.11115336878049023</v>
      </c>
      <c r="E153">
        <v>-1.7594159140008852</v>
      </c>
      <c r="F153">
        <v>5.0346604908164644E-5</v>
      </c>
      <c r="G153">
        <v>-0.59469032629864294</v>
      </c>
      <c r="H153">
        <v>0.47503781811545231</v>
      </c>
      <c r="I153">
        <v>1.5795802924552906</v>
      </c>
      <c r="J153">
        <v>0.62351370858504473</v>
      </c>
      <c r="K153">
        <v>-1.1050955563225535</v>
      </c>
      <c r="L153">
        <v>0.46785998060685563</v>
      </c>
      <c r="M153">
        <v>-0.1008950002888792</v>
      </c>
    </row>
    <row r="154" spans="1:13">
      <c r="A154" t="s">
        <v>511</v>
      </c>
      <c r="B154" t="s">
        <v>33</v>
      </c>
      <c r="C154">
        <v>1</v>
      </c>
      <c r="D154">
        <v>4.9270366750665852E-3</v>
      </c>
      <c r="E154">
        <v>0.13693831263614112</v>
      </c>
      <c r="F154">
        <v>8.4573551445160265E-4</v>
      </c>
      <c r="G154">
        <v>0.29758080897849326</v>
      </c>
      <c r="H154">
        <v>1.0202535867581795</v>
      </c>
      <c r="I154">
        <v>0.68145519640454</v>
      </c>
      <c r="J154">
        <v>1.4366843345660496</v>
      </c>
      <c r="K154">
        <v>1.9851522230403981E-2</v>
      </c>
      <c r="L154">
        <v>0.99886499605743995</v>
      </c>
      <c r="M154">
        <v>0.23748093475687146</v>
      </c>
    </row>
    <row r="155" spans="1:13">
      <c r="A155" t="s">
        <v>514</v>
      </c>
      <c r="B155" t="s">
        <v>33</v>
      </c>
      <c r="C155">
        <v>1</v>
      </c>
      <c r="D155">
        <v>-6.2547178063374911E-2</v>
      </c>
      <c r="E155">
        <v>-0.19893361041233731</v>
      </c>
      <c r="F155">
        <v>6.4762952184908157E-4</v>
      </c>
      <c r="G155">
        <v>-2.1379429592725518</v>
      </c>
      <c r="H155">
        <v>0.24885209405871711</v>
      </c>
      <c r="I155">
        <v>3.1379413432963652</v>
      </c>
      <c r="J155">
        <v>0.31867975676477378</v>
      </c>
      <c r="K155">
        <v>-3.0184512161028794</v>
      </c>
      <c r="L155">
        <v>0.24885169191965906</v>
      </c>
      <c r="M155">
        <v>-0.13821575747314446</v>
      </c>
    </row>
    <row r="156" spans="1:13">
      <c r="A156" t="s">
        <v>517</v>
      </c>
      <c r="B156" t="s">
        <v>33</v>
      </c>
      <c r="C156">
        <v>1</v>
      </c>
      <c r="D156">
        <v>-0.43149057343230912</v>
      </c>
      <c r="E156">
        <v>-0.40240504158449797</v>
      </c>
      <c r="F156">
        <v>3.7818640694188631E-2</v>
      </c>
      <c r="G156">
        <v>-0.5235170682599658</v>
      </c>
      <c r="H156">
        <v>0.6656875480040122</v>
      </c>
      <c r="I156">
        <v>1.4735592322878399</v>
      </c>
      <c r="J156">
        <v>0.64472614551967755</v>
      </c>
      <c r="K156">
        <v>-0.61269725574280598</v>
      </c>
      <c r="L156">
        <v>0.63243123867214102</v>
      </c>
      <c r="M156">
        <v>-2.3301387909021094</v>
      </c>
    </row>
    <row r="157" spans="1:13">
      <c r="A157" t="s">
        <v>520</v>
      </c>
      <c r="B157" t="s">
        <v>33</v>
      </c>
      <c r="C157">
        <v>1</v>
      </c>
      <c r="D157">
        <v>7.0986763100267568E-3</v>
      </c>
      <c r="E157">
        <v>2.1755425882787095E-2</v>
      </c>
      <c r="F157">
        <v>5.0222166191116954E-3</v>
      </c>
      <c r="G157">
        <v>0.39667613678670061</v>
      </c>
      <c r="H157">
        <v>1.0356328279894373</v>
      </c>
      <c r="I157">
        <v>0.58989967850128322</v>
      </c>
      <c r="J157">
        <v>1.6724467756865167</v>
      </c>
      <c r="K157">
        <v>2.1932400882259992E-2</v>
      </c>
      <c r="L157">
        <v>1.0217303016126795</v>
      </c>
      <c r="M157">
        <v>1.4468369109095913</v>
      </c>
    </row>
    <row r="158" spans="1:13">
      <c r="A158" t="s">
        <v>523</v>
      </c>
      <c r="B158" t="s">
        <v>33</v>
      </c>
      <c r="C158">
        <v>1</v>
      </c>
      <c r="D158">
        <v>-0.80604871132376721</v>
      </c>
      <c r="E158">
        <v>-0.57407554295929986</v>
      </c>
      <c r="F158">
        <v>1.2883475150165321E-2</v>
      </c>
      <c r="G158">
        <v>-0.47752624442611719</v>
      </c>
      <c r="H158">
        <v>0.6858085072983211</v>
      </c>
      <c r="I158">
        <v>1.458132976418457</v>
      </c>
      <c r="J158">
        <v>0.67250843911435132</v>
      </c>
      <c r="K158">
        <v>-0.50425991417268901</v>
      </c>
      <c r="L158">
        <v>0.67250843911435132</v>
      </c>
      <c r="M158">
        <v>-2.3987866546649395</v>
      </c>
    </row>
    <row r="159" spans="1:13">
      <c r="A159" t="s">
        <v>526</v>
      </c>
      <c r="B159" t="s">
        <v>33</v>
      </c>
      <c r="C159">
        <v>1</v>
      </c>
      <c r="D159">
        <v>-0.89045717535191071</v>
      </c>
      <c r="E159">
        <v>-5.2738804813248725</v>
      </c>
      <c r="F159">
        <v>3.881895365104449E-4</v>
      </c>
      <c r="G159">
        <v>-1.3787548804678775</v>
      </c>
      <c r="H159">
        <v>0.36163446135915911</v>
      </c>
      <c r="I159">
        <v>2.3146806991545614</v>
      </c>
      <c r="J159">
        <v>0.40434338050536806</v>
      </c>
      <c r="K159">
        <v>-1.7658130756074621</v>
      </c>
      <c r="L159">
        <v>0.33846302931288907</v>
      </c>
      <c r="M159">
        <v>-0.24400669408476131</v>
      </c>
    </row>
    <row r="160" spans="1:13">
      <c r="A160" t="s">
        <v>529</v>
      </c>
      <c r="B160" t="s">
        <v>33</v>
      </c>
      <c r="C160">
        <v>1</v>
      </c>
      <c r="D160">
        <v>-1.4365564570183873</v>
      </c>
      <c r="E160">
        <v>-4.2887809762202753</v>
      </c>
      <c r="F160">
        <v>2.7303754266211604E-2</v>
      </c>
      <c r="G160">
        <v>-3.3446666904407532</v>
      </c>
      <c r="H160">
        <v>0.22816759061194514</v>
      </c>
      <c r="I160">
        <v>3.5061684368976316</v>
      </c>
      <c r="J160">
        <v>4.6062175666546398E-2</v>
      </c>
      <c r="K160">
        <v>-3.5636616847443565</v>
      </c>
      <c r="L160">
        <v>3.6849464368687357E-2</v>
      </c>
      <c r="M160">
        <v>-0.22418442044539466</v>
      </c>
    </row>
    <row r="161" spans="1:13">
      <c r="A161" t="s">
        <v>532</v>
      </c>
      <c r="B161" t="s">
        <v>33</v>
      </c>
      <c r="C161">
        <v>1</v>
      </c>
      <c r="D161">
        <v>2.2445714688655503E-2</v>
      </c>
      <c r="E161">
        <v>1.3177042251738873E-2</v>
      </c>
      <c r="F161">
        <v>2.6771709118079054E-5</v>
      </c>
      <c r="G161">
        <v>0.11775940093679113</v>
      </c>
      <c r="H161">
        <v>1.0792270373976056</v>
      </c>
      <c r="I161">
        <v>0.86583543123719076</v>
      </c>
      <c r="J161">
        <v>1.1360066782766385</v>
      </c>
      <c r="K161">
        <v>7.0206494129014474E-2</v>
      </c>
      <c r="L161">
        <v>1.0615221367267218</v>
      </c>
      <c r="M161">
        <v>15.197371794871795</v>
      </c>
    </row>
    <row r="162" spans="1:13">
      <c r="A162" t="s">
        <v>535</v>
      </c>
      <c r="B162" t="s">
        <v>33</v>
      </c>
      <c r="C162">
        <v>1</v>
      </c>
      <c r="D162">
        <v>-0.36239651693070407</v>
      </c>
      <c r="E162">
        <v>-0.30946882883715021</v>
      </c>
      <c r="F162">
        <v>1.7475563985781345E-2</v>
      </c>
      <c r="G162">
        <v>-0.35563100293988509</v>
      </c>
      <c r="H162">
        <v>0.74052093290861198</v>
      </c>
      <c r="I162">
        <v>1.3504007186835465</v>
      </c>
      <c r="J162">
        <v>0.73664779793173096</v>
      </c>
      <c r="K162">
        <v>-0.35100164495980674</v>
      </c>
      <c r="L162">
        <v>0.73664779793173096</v>
      </c>
      <c r="M162">
        <v>-3.9420820864103412</v>
      </c>
    </row>
    <row r="163" spans="1:13">
      <c r="A163" t="s">
        <v>538</v>
      </c>
      <c r="B163" t="s">
        <v>33</v>
      </c>
      <c r="C163">
        <v>1</v>
      </c>
      <c r="D163">
        <v>-1.1663646539371643E-2</v>
      </c>
      <c r="E163">
        <v>5.3416017849137687E-2</v>
      </c>
      <c r="F163">
        <v>2.5351769664005895E-2</v>
      </c>
      <c r="G163">
        <v>-0.10954709497301807</v>
      </c>
      <c r="H163">
        <v>1.0833469728370244</v>
      </c>
      <c r="I163">
        <v>0.75640501847028585</v>
      </c>
      <c r="J163">
        <v>0.85517402410343546</v>
      </c>
      <c r="K163">
        <v>7.165747408201828E-2</v>
      </c>
      <c r="L163">
        <v>0.7007715732764086</v>
      </c>
      <c r="M163">
        <v>-7.5395194343544221</v>
      </c>
    </row>
    <row r="164" spans="1:13">
      <c r="A164" t="s">
        <v>541</v>
      </c>
      <c r="B164" t="s">
        <v>33</v>
      </c>
      <c r="C164">
        <v>1</v>
      </c>
      <c r="D164">
        <v>1.2998470768144924E-2</v>
      </c>
      <c r="E164">
        <v>0.89630044843049328</v>
      </c>
      <c r="F164">
        <v>0</v>
      </c>
      <c r="G164">
        <v>0.21557916645975339</v>
      </c>
      <c r="H164">
        <v>0.87992772979607037</v>
      </c>
      <c r="I164">
        <v>0.7823567386436997</v>
      </c>
      <c r="J164">
        <v>1.2755509805328491</v>
      </c>
      <c r="K164">
        <v>-0.13696219640424306</v>
      </c>
      <c r="L164">
        <v>0.87811147545966828</v>
      </c>
      <c r="M164">
        <v>7.1469348102596975E-2</v>
      </c>
    </row>
    <row r="165" spans="1:13">
      <c r="A165" t="s">
        <v>544</v>
      </c>
      <c r="B165" t="s">
        <v>33</v>
      </c>
      <c r="C165">
        <v>1</v>
      </c>
      <c r="D165">
        <v>-1.0155701806759626E-2</v>
      </c>
      <c r="E165">
        <v>-5.4119988833731834E-2</v>
      </c>
      <c r="F165">
        <v>1.6115516018822921E-5</v>
      </c>
      <c r="G165">
        <v>6.3159684528558538E-2</v>
      </c>
      <c r="H165">
        <v>1.2906131750341123</v>
      </c>
      <c r="I165">
        <v>0.77482550104415981</v>
      </c>
      <c r="J165">
        <v>1.0815147209835558</v>
      </c>
      <c r="K165">
        <v>0.20677199820378339</v>
      </c>
      <c r="L165">
        <v>1.0815147209835558</v>
      </c>
      <c r="M165">
        <v>2.8436184165113554</v>
      </c>
    </row>
    <row r="166" spans="1:13">
      <c r="A166" t="s">
        <v>547</v>
      </c>
      <c r="B166" t="s">
        <v>33</v>
      </c>
      <c r="C166">
        <v>1</v>
      </c>
      <c r="D166">
        <v>-6.0273478572881928E-2</v>
      </c>
      <c r="E166">
        <v>-3.8614594949664689E-2</v>
      </c>
      <c r="F166">
        <v>1.9481814877668192E-2</v>
      </c>
      <c r="G166">
        <v>4.8107224411260668E-2</v>
      </c>
      <c r="H166">
        <v>1.0714941519300627</v>
      </c>
      <c r="I166">
        <v>0.74802438671616467</v>
      </c>
      <c r="J166">
        <v>1.0643123743898937</v>
      </c>
      <c r="K166">
        <v>3.3702669652914435E-2</v>
      </c>
      <c r="L166">
        <v>0.85305036548969515</v>
      </c>
      <c r="M166">
        <v>11.928024781341106</v>
      </c>
    </row>
    <row r="167" spans="1:13">
      <c r="A167" t="s">
        <v>550</v>
      </c>
      <c r="B167" t="s">
        <v>33</v>
      </c>
      <c r="C167">
        <v>1</v>
      </c>
      <c r="D167">
        <v>-0.17983397306798965</v>
      </c>
      <c r="E167">
        <v>-0.36565677325066936</v>
      </c>
      <c r="F167">
        <v>3.0483932427283116E-5</v>
      </c>
      <c r="G167">
        <v>-0.61049878657582823</v>
      </c>
      <c r="H167">
        <v>0.62605298203374937</v>
      </c>
      <c r="I167">
        <v>1.5973088998817224</v>
      </c>
      <c r="J167">
        <v>0.61779541413621719</v>
      </c>
      <c r="K167">
        <v>-0.73415227167988317</v>
      </c>
      <c r="L167">
        <v>0.61779541413621719</v>
      </c>
      <c r="M167">
        <v>-0.65137699968019991</v>
      </c>
    </row>
    <row r="168" spans="1:13">
      <c r="A168" t="s">
        <v>553</v>
      </c>
      <c r="B168" t="s">
        <v>33</v>
      </c>
      <c r="C168">
        <v>1</v>
      </c>
      <c r="D168">
        <v>-3.205385358505395E-2</v>
      </c>
      <c r="E168">
        <v>-4.2551351351351352E-2</v>
      </c>
      <c r="F168">
        <v>1.7529722036168788E-2</v>
      </c>
      <c r="G168">
        <v>0.32992610414160506</v>
      </c>
      <c r="H168">
        <v>0.69879990713090545</v>
      </c>
      <c r="I168">
        <v>0.63914074583261726</v>
      </c>
      <c r="J168">
        <v>1.5162025833790425</v>
      </c>
      <c r="K168">
        <v>-0.43102480380363178</v>
      </c>
      <c r="L168">
        <v>0.67718382476562566</v>
      </c>
      <c r="M168">
        <v>0.64241464566491657</v>
      </c>
    </row>
    <row r="169" spans="1:13">
      <c r="A169" t="s">
        <v>556</v>
      </c>
      <c r="B169" t="s">
        <v>33</v>
      </c>
      <c r="C169">
        <v>1</v>
      </c>
      <c r="D169">
        <v>-0.39417542185668797</v>
      </c>
      <c r="E169">
        <v>-338.59499999999997</v>
      </c>
      <c r="F169">
        <v>5.5477965872352351E-3</v>
      </c>
      <c r="G169">
        <v>-0.62582594700182959</v>
      </c>
      <c r="H169">
        <v>0.49745096384360438</v>
      </c>
      <c r="I169">
        <v>1.6258259470018295</v>
      </c>
      <c r="J169">
        <v>0.615071989621085</v>
      </c>
      <c r="K169">
        <v>-1.0102483916673928</v>
      </c>
      <c r="L169">
        <v>0.49745096384360438</v>
      </c>
      <c r="M169">
        <v>-1.4653947040635395E-3</v>
      </c>
    </row>
    <row r="170" spans="1:13">
      <c r="A170" t="s">
        <v>559</v>
      </c>
      <c r="B170" t="s">
        <v>33</v>
      </c>
      <c r="C170">
        <v>1</v>
      </c>
      <c r="D170">
        <v>-0.48006415143849873</v>
      </c>
      <c r="E170">
        <v>-778.98113207547169</v>
      </c>
      <c r="F170">
        <v>1.7952610521071765E-3</v>
      </c>
      <c r="G170">
        <v>-1.4027976357874288</v>
      </c>
      <c r="H170">
        <v>0.42036146816515119</v>
      </c>
      <c r="I170">
        <v>2.3515879974382186</v>
      </c>
      <c r="J170">
        <v>0.4034679385523256</v>
      </c>
      <c r="K170">
        <v>-1.4112983081369657</v>
      </c>
      <c r="L170">
        <v>0.39883490940447064</v>
      </c>
      <c r="M170">
        <v>-5.357287258416669E-4</v>
      </c>
    </row>
    <row r="171" spans="1:13">
      <c r="A171" t="s">
        <v>562</v>
      </c>
      <c r="B171" t="s">
        <v>33</v>
      </c>
      <c r="C171">
        <v>1</v>
      </c>
      <c r="D171">
        <v>-1.0336310062400254</v>
      </c>
      <c r="E171">
        <v>-1.3040966098283875</v>
      </c>
      <c r="F171">
        <v>9.4754142079803618E-3</v>
      </c>
      <c r="G171">
        <v>-2.3948512457853171</v>
      </c>
      <c r="H171">
        <v>0.29442421321212342</v>
      </c>
      <c r="I171">
        <v>3.3268523784255826</v>
      </c>
      <c r="J171">
        <v>0.28014502196858238</v>
      </c>
      <c r="K171">
        <v>-2.4214230815905506</v>
      </c>
      <c r="L171">
        <v>0.27440370019041804</v>
      </c>
      <c r="M171">
        <v>-0.86892085373087469</v>
      </c>
    </row>
    <row r="172" spans="1:13">
      <c r="A172" t="s">
        <v>565</v>
      </c>
      <c r="B172" t="s">
        <v>33</v>
      </c>
      <c r="C172">
        <v>1</v>
      </c>
      <c r="D172">
        <v>-1.7415609192412854E-3</v>
      </c>
      <c r="E172">
        <v>1.3349493604708669E-2</v>
      </c>
      <c r="F172">
        <v>5.0540779421150671E-3</v>
      </c>
      <c r="G172">
        <v>-9.8538516163196189E-3</v>
      </c>
      <c r="H172">
        <v>1.0237788898021589</v>
      </c>
      <c r="I172">
        <v>0.97677341265870976</v>
      </c>
      <c r="J172">
        <v>0.98991183473196909</v>
      </c>
      <c r="K172">
        <v>2.1472025847448322E-2</v>
      </c>
      <c r="L172">
        <v>0.98991183473196909</v>
      </c>
      <c r="M172">
        <v>-157.73972263496779</v>
      </c>
    </row>
    <row r="173" spans="1:13">
      <c r="A173" t="s">
        <v>568</v>
      </c>
      <c r="B173" t="s">
        <v>33</v>
      </c>
      <c r="C173">
        <v>1</v>
      </c>
      <c r="D173">
        <v>-4.0732263716718294E-2</v>
      </c>
      <c r="E173">
        <v>2.1342025246475629E-2</v>
      </c>
      <c r="F173">
        <v>4.0142267894835368E-2</v>
      </c>
      <c r="G173">
        <v>6.7680034389854997E-3</v>
      </c>
      <c r="H173">
        <v>0.98395640391302419</v>
      </c>
      <c r="I173">
        <v>0.97359279012691258</v>
      </c>
      <c r="J173">
        <v>1.006951575142728</v>
      </c>
      <c r="K173">
        <v>-3.6934104439190443E-2</v>
      </c>
      <c r="L173">
        <v>0.96463228097441978</v>
      </c>
      <c r="M173">
        <v>32.062038404726735</v>
      </c>
    </row>
    <row r="174" spans="1:13">
      <c r="A174" t="s">
        <v>571</v>
      </c>
      <c r="B174" t="s">
        <v>33</v>
      </c>
      <c r="C174">
        <v>1</v>
      </c>
      <c r="D174">
        <v>-0.67085780755115076</v>
      </c>
      <c r="E174">
        <v>-0.33133656107830084</v>
      </c>
      <c r="F174">
        <v>1.7203484488101585E-2</v>
      </c>
      <c r="G174">
        <v>-4.5133740939174283</v>
      </c>
      <c r="H174">
        <v>0.18908198995535447</v>
      </c>
      <c r="I174">
        <v>5.2887109990545227</v>
      </c>
      <c r="J174">
        <v>0.14660224490914767</v>
      </c>
      <c r="K174">
        <v>-4.7987897888433659</v>
      </c>
      <c r="L174">
        <v>0.14660224490914767</v>
      </c>
      <c r="M174">
        <v>-1.7857262961024336</v>
      </c>
    </row>
    <row r="175" spans="1:13">
      <c r="A175" t="s">
        <v>574</v>
      </c>
      <c r="B175" t="s">
        <v>33</v>
      </c>
      <c r="C175">
        <v>1</v>
      </c>
      <c r="D175">
        <v>5.8993701862259419E-3</v>
      </c>
      <c r="E175">
        <v>4.1628880172197152E-2</v>
      </c>
      <c r="F175">
        <v>1.8071859557822124E-2</v>
      </c>
      <c r="G175">
        <v>0.25560264941689081</v>
      </c>
      <c r="H175">
        <v>1.1285751740612346</v>
      </c>
      <c r="I175">
        <v>0.61936314873801646</v>
      </c>
      <c r="J175">
        <v>1.4126862405968035</v>
      </c>
      <c r="K175">
        <v>3.1731568432084169E-2</v>
      </c>
      <c r="L175">
        <v>0.98746467795030157</v>
      </c>
      <c r="M175">
        <v>7.3941548342792505</v>
      </c>
    </row>
    <row r="176" spans="1:13">
      <c r="A176" t="s">
        <v>577</v>
      </c>
      <c r="B176" t="s">
        <v>33</v>
      </c>
      <c r="C176">
        <v>1</v>
      </c>
      <c r="D176">
        <v>1.5433705153834326E-2</v>
      </c>
      <c r="E176">
        <v>6.4924177502887592E-2</v>
      </c>
      <c r="F176">
        <v>2.1744027738327277E-2</v>
      </c>
      <c r="G176">
        <v>0.29110512129380056</v>
      </c>
      <c r="H176">
        <v>1.1068566587932676</v>
      </c>
      <c r="I176">
        <v>0.66879600016759078</v>
      </c>
      <c r="J176">
        <v>1.4352674376354728</v>
      </c>
      <c r="K176">
        <v>5.7142857142857141E-2</v>
      </c>
      <c r="L176">
        <v>1.062472948072666</v>
      </c>
      <c r="M176">
        <v>2.5752254845519094</v>
      </c>
    </row>
    <row r="177" spans="1:13">
      <c r="A177" t="s">
        <v>580</v>
      </c>
      <c r="B177" t="s">
        <v>33</v>
      </c>
      <c r="C177">
        <v>1</v>
      </c>
      <c r="D177">
        <v>1.8005795935531647E-2</v>
      </c>
      <c r="E177">
        <v>2.7928921028264032E-2</v>
      </c>
      <c r="F177">
        <v>1.5342041220229249E-5</v>
      </c>
      <c r="G177">
        <v>4.1756627293472279E-2</v>
      </c>
      <c r="H177">
        <v>1.0471075105287786</v>
      </c>
      <c r="I177">
        <v>0.95501177285511996</v>
      </c>
      <c r="J177">
        <v>1.0437236780533459</v>
      </c>
      <c r="K177">
        <v>3.8245718898295381E-2</v>
      </c>
      <c r="L177">
        <v>1.0437236780533459</v>
      </c>
      <c r="M177">
        <v>15.16989966555184</v>
      </c>
    </row>
    <row r="178" spans="1:13">
      <c r="A178" t="s">
        <v>583</v>
      </c>
      <c r="B178" t="s">
        <v>33</v>
      </c>
      <c r="C178">
        <v>1</v>
      </c>
      <c r="D178">
        <v>-0.47248306258241585</v>
      </c>
      <c r="E178">
        <v>-0.45419843001672</v>
      </c>
      <c r="F178">
        <v>3.3266700526694282E-2</v>
      </c>
      <c r="G178">
        <v>0.17821879520779785</v>
      </c>
      <c r="H178">
        <v>1.0828053569201663</v>
      </c>
      <c r="I178">
        <v>0.79421621090183858</v>
      </c>
      <c r="J178">
        <v>1.2243958166069526</v>
      </c>
      <c r="K178">
        <v>-0.38290425427323421</v>
      </c>
      <c r="L178">
        <v>1.052957833872209</v>
      </c>
      <c r="M178">
        <v>5.561825202931673</v>
      </c>
    </row>
    <row r="179" spans="1:13">
      <c r="A179" t="s">
        <v>586</v>
      </c>
      <c r="B179" t="s">
        <v>33</v>
      </c>
      <c r="C179">
        <v>1</v>
      </c>
      <c r="D179">
        <v>-0.11127058633056086</v>
      </c>
      <c r="E179">
        <v>-0.12426309527028856</v>
      </c>
      <c r="F179">
        <v>9.6151300403314773E-3</v>
      </c>
      <c r="G179">
        <v>-0.89126189860357508</v>
      </c>
      <c r="H179">
        <v>0.52874749961301293</v>
      </c>
      <c r="I179">
        <v>1.8912618986035752</v>
      </c>
      <c r="J179">
        <v>0.52874749961301293</v>
      </c>
      <c r="K179">
        <v>-0.89126189860357508</v>
      </c>
      <c r="L179">
        <v>0.52874749961301293</v>
      </c>
      <c r="M179">
        <v>-0.94343208852887717</v>
      </c>
    </row>
    <row r="180" spans="1:13">
      <c r="A180" t="s">
        <v>589</v>
      </c>
      <c r="B180" t="s">
        <v>33</v>
      </c>
      <c r="C180">
        <v>1</v>
      </c>
      <c r="D180">
        <v>-0.11310628200125813</v>
      </c>
      <c r="E180">
        <v>-1.6971063659948116</v>
      </c>
      <c r="F180">
        <v>2.2675228434238098E-4</v>
      </c>
      <c r="G180">
        <v>-0.47511173592241901</v>
      </c>
      <c r="H180">
        <v>0.88375982732749836</v>
      </c>
      <c r="I180">
        <v>1.1315291429618537</v>
      </c>
      <c r="J180">
        <v>0.58011533429993489</v>
      </c>
      <c r="K180">
        <v>-0.13153773252667775</v>
      </c>
      <c r="L180">
        <v>0.58011533429993489</v>
      </c>
      <c r="M180">
        <v>-0.15099012884330293</v>
      </c>
    </row>
    <row r="181" spans="1:13">
      <c r="A181" t="s">
        <v>592</v>
      </c>
      <c r="B181" t="s">
        <v>33</v>
      </c>
      <c r="C181">
        <v>1</v>
      </c>
      <c r="D181">
        <v>-3.3742778937369544</v>
      </c>
      <c r="E181">
        <v>-2782.6701030927834</v>
      </c>
      <c r="F181">
        <v>2.8245803472288812E-2</v>
      </c>
      <c r="G181">
        <v>-16.384976837678916</v>
      </c>
      <c r="H181">
        <v>5.7520927944676573E-2</v>
      </c>
      <c r="I181">
        <v>17.384976837678913</v>
      </c>
      <c r="J181">
        <v>5.7520927944676573E-2</v>
      </c>
      <c r="K181">
        <v>-16.384976837678916</v>
      </c>
      <c r="L181">
        <v>5.7520927944676573E-2</v>
      </c>
      <c r="M181">
        <v>-6.8390157387256264E-5</v>
      </c>
    </row>
    <row r="182" spans="1:13">
      <c r="A182" t="s">
        <v>595</v>
      </c>
      <c r="B182" t="s">
        <v>33</v>
      </c>
      <c r="C182">
        <v>1</v>
      </c>
      <c r="D182">
        <v>-0.56139391836882491</v>
      </c>
      <c r="E182">
        <v>-1.4376725017959093</v>
      </c>
      <c r="F182">
        <v>1.4505125965854515E-2</v>
      </c>
      <c r="G182">
        <v>-0.58653070844652844</v>
      </c>
      <c r="H182">
        <v>0.66348830749287546</v>
      </c>
      <c r="I182">
        <v>0.91593477478818563</v>
      </c>
      <c r="J182">
        <v>0.35963703465438718</v>
      </c>
      <c r="K182">
        <v>-0.50805391190006577</v>
      </c>
      <c r="L182">
        <v>0.2185557464582969</v>
      </c>
      <c r="M182">
        <v>-0.83908252611987644</v>
      </c>
    </row>
    <row r="183" spans="1:13">
      <c r="A183" t="s">
        <v>598</v>
      </c>
      <c r="B183" t="s">
        <v>33</v>
      </c>
      <c r="C183">
        <v>1</v>
      </c>
      <c r="D183">
        <v>-8.6306558765709648E-4</v>
      </c>
      <c r="E183">
        <v>3.3525275144657897E-2</v>
      </c>
      <c r="F183">
        <v>1.5239710560913682E-2</v>
      </c>
      <c r="G183">
        <v>0.24711194324506766</v>
      </c>
      <c r="H183">
        <v>1.3852281498798051</v>
      </c>
      <c r="I183">
        <v>0.72190274222103346</v>
      </c>
      <c r="J183">
        <v>1.3423064199545687</v>
      </c>
      <c r="K183">
        <v>0.11054538738807584</v>
      </c>
      <c r="L183">
        <v>1.3423064199545687</v>
      </c>
      <c r="M183">
        <v>4.5918872252145455</v>
      </c>
    </row>
    <row r="184" spans="1:13">
      <c r="A184" t="s">
        <v>601</v>
      </c>
      <c r="B184" t="s">
        <v>33</v>
      </c>
      <c r="C184">
        <v>1</v>
      </c>
      <c r="D184">
        <v>-5.0518881804806279E-2</v>
      </c>
      <c r="E184">
        <v>0.16416015252621546</v>
      </c>
      <c r="F184">
        <v>4.5710712294501459E-2</v>
      </c>
      <c r="G184">
        <v>4.2797326278961739E-2</v>
      </c>
      <c r="H184">
        <v>1.6299925896491361</v>
      </c>
      <c r="I184">
        <v>0.61349972162465771</v>
      </c>
      <c r="J184">
        <v>1.069759324691504</v>
      </c>
      <c r="K184">
        <v>0.36286308215861135</v>
      </c>
      <c r="L184">
        <v>1.069759324691504</v>
      </c>
      <c r="M184">
        <v>20.187052574859518</v>
      </c>
    </row>
    <row r="185" spans="1:13">
      <c r="A185" t="s">
        <v>604</v>
      </c>
      <c r="B185" t="s">
        <v>33</v>
      </c>
      <c r="C185">
        <v>1</v>
      </c>
      <c r="D185">
        <v>-0.39347920849736007</v>
      </c>
      <c r="E185">
        <v>-0.52352297311880447</v>
      </c>
      <c r="F185">
        <v>4.4892648015614836E-3</v>
      </c>
      <c r="G185">
        <v>-0.53263493950555851</v>
      </c>
      <c r="H185">
        <v>0.65174684844685893</v>
      </c>
      <c r="I185">
        <v>1.5326349395055585</v>
      </c>
      <c r="J185">
        <v>0.65247109681749049</v>
      </c>
      <c r="K185">
        <v>-0.57025403324105273</v>
      </c>
      <c r="L185">
        <v>0.65174684844685893</v>
      </c>
      <c r="M185">
        <v>-1.2200668351128861</v>
      </c>
    </row>
    <row r="186" spans="1:13">
      <c r="A186" t="s">
        <v>607</v>
      </c>
      <c r="B186" t="s">
        <v>33</v>
      </c>
      <c r="C186">
        <v>1</v>
      </c>
      <c r="D186">
        <v>-0.5819697092620616</v>
      </c>
      <c r="E186">
        <v>-0.94200959199701106</v>
      </c>
      <c r="F186">
        <v>8.3957347940616898E-4</v>
      </c>
      <c r="G186">
        <v>-0.68903655608535397</v>
      </c>
      <c r="H186">
        <v>0.61344258894305559</v>
      </c>
      <c r="I186">
        <v>1.6301443982279937</v>
      </c>
      <c r="J186">
        <v>0.57731563115859352</v>
      </c>
      <c r="K186">
        <v>-0.64953839910723343</v>
      </c>
      <c r="L186">
        <v>0.57731563115859352</v>
      </c>
      <c r="M186">
        <v>-1.2873401879708475</v>
      </c>
    </row>
    <row r="187" spans="1:13">
      <c r="A187" t="s">
        <v>610</v>
      </c>
      <c r="B187" t="s">
        <v>33</v>
      </c>
      <c r="C187">
        <v>1</v>
      </c>
      <c r="D187">
        <v>-0.67957115553077962</v>
      </c>
      <c r="E187">
        <v>-1.0650604883764474</v>
      </c>
      <c r="F187">
        <v>1.4058368493375063E-2</v>
      </c>
      <c r="G187">
        <v>-3.1518440354276223</v>
      </c>
      <c r="H187">
        <v>0.24452455016670208</v>
      </c>
      <c r="I187">
        <v>4.0895689177968446</v>
      </c>
      <c r="J187">
        <v>0.22929675504145769</v>
      </c>
      <c r="K187">
        <v>-3.2249308054248544</v>
      </c>
      <c r="L187">
        <v>0.22929675504145769</v>
      </c>
      <c r="M187">
        <v>-0.18174244162242084</v>
      </c>
    </row>
    <row r="188" spans="1:13">
      <c r="A188" t="s">
        <v>613</v>
      </c>
      <c r="B188" t="s">
        <v>33</v>
      </c>
      <c r="C188">
        <v>1</v>
      </c>
      <c r="D188">
        <v>1.4100973988349771E-2</v>
      </c>
      <c r="E188">
        <v>4.5554287069847432E-2</v>
      </c>
      <c r="F188">
        <v>0</v>
      </c>
      <c r="G188">
        <v>0.74736879762458419</v>
      </c>
      <c r="H188">
        <v>2.8294514793558245</v>
      </c>
      <c r="I188">
        <v>0.24669266268379067</v>
      </c>
      <c r="J188">
        <v>4.0295542214101339</v>
      </c>
      <c r="K188">
        <v>0.31245304618466718</v>
      </c>
      <c r="L188">
        <v>2.8126486694401422</v>
      </c>
      <c r="M188">
        <v>0.64569771004059129</v>
      </c>
    </row>
    <row r="189" spans="1:13">
      <c r="A189" t="s">
        <v>616</v>
      </c>
      <c r="B189" t="s">
        <v>33</v>
      </c>
      <c r="C189">
        <v>1</v>
      </c>
      <c r="D189">
        <v>9.5498062694190311E-2</v>
      </c>
      <c r="E189">
        <v>0.14587714285714287</v>
      </c>
      <c r="F189">
        <v>0</v>
      </c>
      <c r="G189">
        <v>0.19605821885602262</v>
      </c>
      <c r="H189">
        <v>1.2599874217275984</v>
      </c>
      <c r="I189">
        <v>0.79365871655200848</v>
      </c>
      <c r="J189">
        <v>1.2470308896849052</v>
      </c>
      <c r="K189">
        <v>0.20634128344799152</v>
      </c>
      <c r="L189">
        <v>1.2470308896849052</v>
      </c>
      <c r="M189">
        <v>6.4569689143067981</v>
      </c>
    </row>
    <row r="190" spans="1:13">
      <c r="A190" t="s">
        <v>619</v>
      </c>
      <c r="B190" t="s">
        <v>33</v>
      </c>
      <c r="C190">
        <v>1</v>
      </c>
      <c r="D190">
        <v>-0.23449840332806496</v>
      </c>
      <c r="E190">
        <v>-8.5783088570646733</v>
      </c>
      <c r="F190">
        <v>3.5624118239990124E-3</v>
      </c>
      <c r="G190">
        <v>-2.7686564596593843</v>
      </c>
      <c r="H190">
        <v>0.26534655273152202</v>
      </c>
      <c r="I190">
        <v>3.7686564596593843</v>
      </c>
      <c r="J190">
        <v>0.26534655273152202</v>
      </c>
      <c r="K190">
        <v>-2.7686564596593843</v>
      </c>
      <c r="L190">
        <v>0.26534655273152202</v>
      </c>
      <c r="M190">
        <v>-1.5137268222230505E-2</v>
      </c>
    </row>
    <row r="191" spans="1:13">
      <c r="A191" t="s">
        <v>622</v>
      </c>
      <c r="B191" t="s">
        <v>33</v>
      </c>
      <c r="C191">
        <v>1</v>
      </c>
      <c r="D191">
        <v>2.2939261558183074E-3</v>
      </c>
      <c r="E191">
        <v>4.4417818722787064E-2</v>
      </c>
      <c r="F191">
        <v>6.768960546156522E-3</v>
      </c>
      <c r="G191">
        <v>0.2090066849396619</v>
      </c>
      <c r="H191">
        <v>1.3109056519924778</v>
      </c>
      <c r="I191">
        <v>0.76283140474684463</v>
      </c>
      <c r="J191">
        <v>1.2739880445916139</v>
      </c>
      <c r="K191">
        <v>0.2371685952531554</v>
      </c>
      <c r="L191">
        <v>1.2739880445916139</v>
      </c>
      <c r="M191">
        <v>6.900644829496005</v>
      </c>
    </row>
    <row r="192" spans="1:13">
      <c r="A192" t="s">
        <v>625</v>
      </c>
      <c r="B192" t="s">
        <v>33</v>
      </c>
      <c r="C192">
        <v>1</v>
      </c>
      <c r="D192">
        <v>7.0115212698086626E-2</v>
      </c>
      <c r="E192">
        <v>0.176678420507654</v>
      </c>
      <c r="F192">
        <v>1.1473947286015609E-2</v>
      </c>
      <c r="G192">
        <v>-0.40416971621616032</v>
      </c>
      <c r="H192">
        <v>0.60208080224660909</v>
      </c>
      <c r="I192">
        <v>1.1974247329835139</v>
      </c>
      <c r="J192">
        <v>0.66246753964307425</v>
      </c>
      <c r="K192">
        <v>-0.71940836672331587</v>
      </c>
      <c r="L192">
        <v>0.4776036168814356</v>
      </c>
      <c r="M192">
        <v>-1.4623097069896873</v>
      </c>
    </row>
    <row r="193" spans="1:13">
      <c r="A193" t="s">
        <v>628</v>
      </c>
      <c r="B193" t="s">
        <v>33</v>
      </c>
      <c r="C193">
        <v>1</v>
      </c>
      <c r="D193">
        <v>-3.9475450217509728E-2</v>
      </c>
      <c r="E193">
        <v>-0.17241379310344829</v>
      </c>
      <c r="F193">
        <v>0</v>
      </c>
      <c r="G193">
        <v>-0.1341315508704097</v>
      </c>
      <c r="H193">
        <v>1.0697381769939129</v>
      </c>
      <c r="I193">
        <v>0.93480818157777146</v>
      </c>
      <c r="J193">
        <v>0.85651435929452158</v>
      </c>
      <c r="K193">
        <v>6.518725891611421E-2</v>
      </c>
      <c r="L193">
        <v>0.85651435929452158</v>
      </c>
      <c r="M193">
        <v>-1.9715820246107825</v>
      </c>
    </row>
    <row r="194" spans="1:13">
      <c r="A194" t="s">
        <v>631</v>
      </c>
      <c r="B194" t="s">
        <v>33</v>
      </c>
      <c r="C194">
        <v>1</v>
      </c>
      <c r="D194">
        <v>-0.20642191800000875</v>
      </c>
      <c r="E194">
        <v>-1.8356973995271868</v>
      </c>
      <c r="F194">
        <v>7.0643422134829036E-3</v>
      </c>
      <c r="G194">
        <v>-0.53604937473148329</v>
      </c>
      <c r="H194">
        <v>0.65291761427046069</v>
      </c>
      <c r="I194">
        <v>1.5315868007594691</v>
      </c>
      <c r="J194">
        <v>0.65000392111914773</v>
      </c>
      <c r="K194">
        <v>-0.58992363732116204</v>
      </c>
      <c r="L194">
        <v>0.65000392111914773</v>
      </c>
      <c r="M194">
        <v>-0.21143256030404092</v>
      </c>
    </row>
    <row r="195" spans="1:13">
      <c r="A195" t="s">
        <v>634</v>
      </c>
      <c r="B195" t="s">
        <v>33</v>
      </c>
      <c r="C195">
        <v>1</v>
      </c>
      <c r="D195">
        <v>-0.31850746423513426</v>
      </c>
      <c r="E195">
        <v>-214.17441860465115</v>
      </c>
      <c r="F195">
        <v>0</v>
      </c>
      <c r="G195">
        <v>7.4221112764629643E-2</v>
      </c>
      <c r="H195">
        <v>1.1197114583501311</v>
      </c>
      <c r="I195">
        <v>0.89308722576928612</v>
      </c>
      <c r="J195">
        <v>1.0831062304140531</v>
      </c>
      <c r="K195">
        <v>8.6793720896740423E-2</v>
      </c>
      <c r="L195">
        <v>1.0831062304140531</v>
      </c>
      <c r="M195">
        <v>2.781191384774594E-2</v>
      </c>
    </row>
    <row r="196" spans="1:13">
      <c r="A196" t="s">
        <v>637</v>
      </c>
      <c r="B196" t="s">
        <v>33</v>
      </c>
      <c r="C196">
        <v>1</v>
      </c>
      <c r="D196">
        <v>-0.12157071984848271</v>
      </c>
      <c r="E196">
        <v>-2.0622609759828667</v>
      </c>
      <c r="F196">
        <v>4.7575878212291417E-3</v>
      </c>
      <c r="G196">
        <v>-0.58894153432189766</v>
      </c>
      <c r="H196">
        <v>0.37162245393349608</v>
      </c>
      <c r="I196">
        <v>1.4602039523071375</v>
      </c>
      <c r="J196">
        <v>0.59667172973243643</v>
      </c>
      <c r="K196">
        <v>-1.7043958936562253</v>
      </c>
      <c r="L196">
        <v>0.32378067779170616</v>
      </c>
      <c r="M196">
        <v>-0.10821145680729025</v>
      </c>
    </row>
    <row r="197" spans="1:13">
      <c r="A197" t="s">
        <v>640</v>
      </c>
      <c r="B197" t="s">
        <v>33</v>
      </c>
      <c r="C197">
        <v>1</v>
      </c>
      <c r="D197">
        <v>-0.29845171137455079</v>
      </c>
      <c r="E197">
        <v>0.13552377339571453</v>
      </c>
      <c r="F197">
        <v>0</v>
      </c>
      <c r="G197">
        <v>0.57946410410330962</v>
      </c>
      <c r="H197">
        <v>2.4482163895400384</v>
      </c>
      <c r="I197">
        <v>0.40846062638600183</v>
      </c>
      <c r="J197">
        <v>2.4186535168158576</v>
      </c>
      <c r="K197">
        <v>3.7684366147572299E-2</v>
      </c>
      <c r="L197">
        <v>2.4186535168158576</v>
      </c>
      <c r="M197">
        <v>3.8593260389376889</v>
      </c>
    </row>
    <row r="198" spans="1:13">
      <c r="A198" t="s">
        <v>643</v>
      </c>
      <c r="B198" t="s">
        <v>33</v>
      </c>
      <c r="C198">
        <v>1</v>
      </c>
      <c r="D198">
        <v>-1.4607028392860926</v>
      </c>
      <c r="E198">
        <v>-2.104233665784653</v>
      </c>
      <c r="F198">
        <v>0</v>
      </c>
      <c r="G198">
        <v>-1.0973916668838106</v>
      </c>
      <c r="H198">
        <v>0.47797029826283194</v>
      </c>
      <c r="I198">
        <v>2.0921802121062099</v>
      </c>
      <c r="J198">
        <v>0.47547937766839865</v>
      </c>
      <c r="K198">
        <v>-1.2040336659978634</v>
      </c>
      <c r="L198">
        <v>0.47547937766839865</v>
      </c>
      <c r="M198">
        <v>-0.69994728668917661</v>
      </c>
    </row>
    <row r="199" spans="1:13">
      <c r="A199" t="s">
        <v>646</v>
      </c>
      <c r="B199" t="s">
        <v>33</v>
      </c>
      <c r="C199">
        <v>1</v>
      </c>
      <c r="D199">
        <v>-0.39664520979185264</v>
      </c>
      <c r="E199">
        <v>-17.255964125560538</v>
      </c>
      <c r="F199">
        <v>3.8133662717936861E-2</v>
      </c>
      <c r="G199">
        <v>-1.3284091211451987</v>
      </c>
      <c r="H199">
        <v>0.25747388814824052</v>
      </c>
      <c r="I199">
        <v>2.2236649548998217</v>
      </c>
      <c r="J199">
        <v>0.40260374288039052</v>
      </c>
      <c r="K199">
        <v>-2.8838889923635689</v>
      </c>
      <c r="L199">
        <v>0.23050500040419764</v>
      </c>
      <c r="M199">
        <v>-2.2333231848991299E-2</v>
      </c>
    </row>
    <row r="200" spans="1:13">
      <c r="A200" t="s">
        <v>649</v>
      </c>
      <c r="B200" t="s">
        <v>33</v>
      </c>
      <c r="C200">
        <v>1</v>
      </c>
      <c r="D200">
        <v>-0.53573981345689037</v>
      </c>
      <c r="E200">
        <v>-13733.199999999999</v>
      </c>
      <c r="F200">
        <v>2.7367360084371565E-4</v>
      </c>
      <c r="G200">
        <v>-0.41328104631963158</v>
      </c>
      <c r="H200">
        <v>0.24705658179710208</v>
      </c>
      <c r="I200">
        <v>1.3759830972451552</v>
      </c>
      <c r="J200">
        <v>0.69964671285057334</v>
      </c>
      <c r="K200">
        <v>-3.0477100895107325</v>
      </c>
      <c r="L200">
        <v>0.23784187799071957</v>
      </c>
      <c r="M200">
        <v>-1.3142331449599159E-4</v>
      </c>
    </row>
    <row r="201" spans="1:13">
      <c r="A201" t="s">
        <v>652</v>
      </c>
      <c r="B201" t="s">
        <v>33</v>
      </c>
      <c r="C201">
        <v>1</v>
      </c>
      <c r="D201">
        <v>6.1082345804718476E-2</v>
      </c>
      <c r="E201">
        <v>15.164897959183675</v>
      </c>
      <c r="F201">
        <v>0</v>
      </c>
      <c r="G201">
        <v>-0.39508139784886964</v>
      </c>
      <c r="H201">
        <v>0.9161077553988809</v>
      </c>
      <c r="I201">
        <v>1.0915746473127408</v>
      </c>
      <c r="J201">
        <v>0.63806286741681983</v>
      </c>
      <c r="K201">
        <v>-9.1574647312740842E-2</v>
      </c>
      <c r="L201">
        <v>0.63806286741681983</v>
      </c>
      <c r="M201">
        <v>-1.7093420777227378E-2</v>
      </c>
    </row>
    <row r="202" spans="1:13">
      <c r="A202" t="s">
        <v>655</v>
      </c>
      <c r="B202" t="s">
        <v>33</v>
      </c>
      <c r="C202">
        <v>1</v>
      </c>
      <c r="D202">
        <v>1.8199179625132837E-2</v>
      </c>
      <c r="E202">
        <v>5.5470393448932592E-2</v>
      </c>
      <c r="F202">
        <v>2.8956515135111554E-3</v>
      </c>
      <c r="G202">
        <v>-1.0311133998395228</v>
      </c>
      <c r="H202">
        <v>0.59668717530959481</v>
      </c>
      <c r="I202">
        <v>1.6753212536376807</v>
      </c>
      <c r="J202">
        <v>0.38452795390697048</v>
      </c>
      <c r="K202">
        <v>-0.70269817127938583</v>
      </c>
      <c r="L202">
        <v>0.38439056459507936</v>
      </c>
      <c r="M202">
        <v>-0.8751146935504478</v>
      </c>
    </row>
    <row r="203" spans="1:13">
      <c r="A203" t="s">
        <v>658</v>
      </c>
      <c r="B203" t="s">
        <v>33</v>
      </c>
      <c r="C203">
        <v>1</v>
      </c>
      <c r="D203">
        <v>-0.26639260137754867</v>
      </c>
      <c r="E203">
        <v>-0.14831718579016201</v>
      </c>
      <c r="F203">
        <v>2.3453612178254229E-3</v>
      </c>
      <c r="G203">
        <v>-0.81447894999330961</v>
      </c>
      <c r="H203">
        <v>0.52552042880840744</v>
      </c>
      <c r="I203">
        <v>1.7508241190137332</v>
      </c>
      <c r="J203">
        <v>0.53480253033518943</v>
      </c>
      <c r="K203">
        <v>-0.90287559756231073</v>
      </c>
      <c r="L203">
        <v>0.49206851473629365</v>
      </c>
      <c r="M203">
        <v>-1.9584736586640781</v>
      </c>
    </row>
    <row r="204" spans="1:13">
      <c r="A204" t="s">
        <v>661</v>
      </c>
      <c r="B204" t="s">
        <v>33</v>
      </c>
      <c r="C204">
        <v>1</v>
      </c>
      <c r="D204">
        <v>1.0815722979690834</v>
      </c>
      <c r="E204">
        <v>1.1239868421052632</v>
      </c>
      <c r="F204">
        <v>1.2149982859845608E-4</v>
      </c>
      <c r="G204">
        <v>-0.9509420294541856</v>
      </c>
      <c r="H204">
        <v>0.41898838800590765</v>
      </c>
      <c r="I204">
        <v>1.9086493373778399</v>
      </c>
      <c r="J204">
        <v>0.50177226857154489</v>
      </c>
      <c r="K204">
        <v>-2.0374612742783595</v>
      </c>
      <c r="L204">
        <v>0.40126824112840948</v>
      </c>
      <c r="M204">
        <v>-1.0338166879778001</v>
      </c>
    </row>
    <row r="205" spans="1:13">
      <c r="A205" t="s">
        <v>664</v>
      </c>
      <c r="B205" t="s">
        <v>33</v>
      </c>
      <c r="C205">
        <v>1</v>
      </c>
      <c r="D205">
        <v>0.30593455881475828</v>
      </c>
      <c r="E205">
        <v>0.47341983556012329</v>
      </c>
      <c r="F205">
        <v>4.1694893031183752E-3</v>
      </c>
      <c r="G205">
        <v>-1.8419665621585335</v>
      </c>
      <c r="H205">
        <v>0.37930651496681567</v>
      </c>
      <c r="I205">
        <v>2.6363902557473522</v>
      </c>
      <c r="J205">
        <v>0.30133008262224031</v>
      </c>
      <c r="K205">
        <v>-1.6408538719192123</v>
      </c>
      <c r="L205">
        <v>0.30133008262224031</v>
      </c>
      <c r="M205">
        <v>-0.60361205673208906</v>
      </c>
    </row>
    <row r="206" spans="1:13">
      <c r="A206" t="s">
        <v>667</v>
      </c>
      <c r="B206" t="s">
        <v>33</v>
      </c>
      <c r="C206">
        <v>1</v>
      </c>
      <c r="D206">
        <v>0.10402765834225446</v>
      </c>
      <c r="E206">
        <v>0.1818828141663027</v>
      </c>
      <c r="F206">
        <v>0</v>
      </c>
      <c r="G206">
        <v>-0.54121452038957141</v>
      </c>
      <c r="H206">
        <v>0.65735917305204028</v>
      </c>
      <c r="I206">
        <v>1.5212383746881013</v>
      </c>
      <c r="J206">
        <v>0.64422767043295481</v>
      </c>
      <c r="K206">
        <v>-1.1857049823287942</v>
      </c>
      <c r="L206">
        <v>0.64422767043295481</v>
      </c>
      <c r="M206">
        <v>-3.9935238764804502</v>
      </c>
    </row>
    <row r="207" spans="1:13">
      <c r="A207" t="s">
        <v>670</v>
      </c>
      <c r="B207" t="s">
        <v>33</v>
      </c>
      <c r="C207">
        <v>1</v>
      </c>
      <c r="D207">
        <v>-0.10408033971439334</v>
      </c>
      <c r="E207">
        <v>-3.8268921855806486E-2</v>
      </c>
      <c r="F207">
        <v>1.0458632253987403E-2</v>
      </c>
      <c r="G207">
        <v>-7.7211374441984537</v>
      </c>
      <c r="H207">
        <v>9.7680127980714265E-2</v>
      </c>
      <c r="I207">
        <v>8.6915308677820917</v>
      </c>
      <c r="J207">
        <v>0.11164815938015119</v>
      </c>
      <c r="K207">
        <v>-9.8583094399883855</v>
      </c>
      <c r="L207">
        <v>9.4788153807293302E-2</v>
      </c>
      <c r="M207">
        <v>-1.2436513028783895E-2</v>
      </c>
    </row>
    <row r="208" spans="1:13">
      <c r="A208" t="s">
        <v>673</v>
      </c>
      <c r="B208" t="s">
        <v>33</v>
      </c>
      <c r="C208">
        <v>1</v>
      </c>
      <c r="D208">
        <v>-0.7349772789209521</v>
      </c>
      <c r="E208">
        <v>-0.59193157921540429</v>
      </c>
      <c r="F208">
        <v>4.3698191496145622E-5</v>
      </c>
      <c r="G208">
        <v>-60.315199597028084</v>
      </c>
      <c r="H208">
        <v>1.5574570439186805E-3</v>
      </c>
      <c r="I208">
        <v>61.315199597028084</v>
      </c>
      <c r="J208">
        <v>1.6309169774739989E-2</v>
      </c>
      <c r="K208">
        <v>-641.07228308777235</v>
      </c>
      <c r="L208">
        <v>1.5574570439186805E-3</v>
      </c>
      <c r="M208">
        <v>-3.3617502813369717</v>
      </c>
    </row>
    <row r="209" spans="1:13">
      <c r="A209" t="s">
        <v>675</v>
      </c>
      <c r="B209" t="s">
        <v>677</v>
      </c>
      <c r="C209">
        <v>0</v>
      </c>
      <c r="D209">
        <v>1.5500850618551547E-2</v>
      </c>
      <c r="E209">
        <v>-4.7234686369556043E-2</v>
      </c>
      <c r="F209">
        <v>1.8685303412760888E-2</v>
      </c>
      <c r="G209">
        <v>0.14382229731165991</v>
      </c>
      <c r="H209">
        <v>1.5886950936846675</v>
      </c>
      <c r="I209">
        <v>0.52696514718150866</v>
      </c>
      <c r="J209">
        <v>1.272925634799376</v>
      </c>
      <c r="K209">
        <v>0.31429207254458458</v>
      </c>
      <c r="L209">
        <v>1.0656767219715733</v>
      </c>
      <c r="M209">
        <v>3.7682076911637652</v>
      </c>
    </row>
    <row r="210" spans="1:13">
      <c r="A210" t="s">
        <v>678</v>
      </c>
      <c r="B210" t="s">
        <v>677</v>
      </c>
      <c r="C210">
        <v>0</v>
      </c>
      <c r="D210">
        <v>3.0669006921464023E-3</v>
      </c>
      <c r="E210">
        <v>3.3970352047548787E-2</v>
      </c>
      <c r="F210">
        <v>3.8369082015712576E-2</v>
      </c>
      <c r="G210">
        <v>4.3778399107035806E-2</v>
      </c>
      <c r="H210">
        <v>1.2090253451113442</v>
      </c>
      <c r="I210">
        <v>0.64674755870086009</v>
      </c>
      <c r="J210">
        <v>1.0676900879146336</v>
      </c>
      <c r="K210">
        <v>0.15439126367681597</v>
      </c>
      <c r="L210">
        <v>0.83486338444703279</v>
      </c>
      <c r="M210">
        <v>5.9227320936152159</v>
      </c>
    </row>
    <row r="211" spans="1:13">
      <c r="A211" t="s">
        <v>680</v>
      </c>
      <c r="B211" t="s">
        <v>677</v>
      </c>
      <c r="C211">
        <v>0</v>
      </c>
      <c r="D211">
        <v>4.0360793093350035E-2</v>
      </c>
      <c r="E211">
        <v>0.10743777051923603</v>
      </c>
      <c r="F211">
        <v>1.2511650885976663E-2</v>
      </c>
      <c r="G211">
        <v>-6.2608778247423544E-2</v>
      </c>
      <c r="H211">
        <v>2.2943688100679793</v>
      </c>
      <c r="I211">
        <v>0.26321452417336516</v>
      </c>
      <c r="J211">
        <v>0.76213782866257584</v>
      </c>
      <c r="K211">
        <v>0.53481562423797857</v>
      </c>
      <c r="L211">
        <v>0.46026356657290202</v>
      </c>
      <c r="M211">
        <v>-15.846554944319434</v>
      </c>
    </row>
    <row r="212" spans="1:13">
      <c r="A212" t="s">
        <v>682</v>
      </c>
      <c r="B212" t="s">
        <v>677</v>
      </c>
      <c r="C212">
        <v>0</v>
      </c>
      <c r="D212">
        <v>2.1627243222208103E-2</v>
      </c>
      <c r="E212">
        <v>8.2790743095640953E-2</v>
      </c>
      <c r="F212">
        <v>9.9982236420587192E-3</v>
      </c>
      <c r="G212">
        <v>-0.14534891529657912</v>
      </c>
      <c r="H212">
        <v>1.2540406909012989</v>
      </c>
      <c r="I212">
        <v>0.66014690542030863</v>
      </c>
      <c r="J212">
        <v>0.77982337854929884</v>
      </c>
      <c r="K212">
        <v>0.18496517637156745</v>
      </c>
      <c r="L212">
        <v>0.64557762720936174</v>
      </c>
      <c r="M212">
        <v>-4.8363193938211646</v>
      </c>
    </row>
    <row r="213" spans="1:13">
      <c r="A213" t="s">
        <v>684</v>
      </c>
      <c r="B213" t="s">
        <v>677</v>
      </c>
      <c r="C213">
        <v>0</v>
      </c>
      <c r="D213">
        <v>5.9975092696797679E-4</v>
      </c>
      <c r="E213">
        <v>7.1617898410098454E-2</v>
      </c>
      <c r="F213">
        <v>3.7966230915340682E-2</v>
      </c>
      <c r="G213">
        <v>0.16926667099820242</v>
      </c>
      <c r="H213">
        <v>1.3300360644782172</v>
      </c>
      <c r="I213">
        <v>0.52048924696251053</v>
      </c>
      <c r="J213">
        <v>1.3252068548697495</v>
      </c>
      <c r="K213">
        <v>0.2296266216186949</v>
      </c>
      <c r="L213">
        <v>0.91740024657502683</v>
      </c>
      <c r="M213">
        <v>5.7492562903442499</v>
      </c>
    </row>
    <row r="214" spans="1:13">
      <c r="A214" t="s">
        <v>686</v>
      </c>
      <c r="B214" t="s">
        <v>677</v>
      </c>
      <c r="C214">
        <v>0</v>
      </c>
      <c r="D214">
        <v>4.9380159117386416E-3</v>
      </c>
      <c r="E214">
        <v>4.4790987399002599E-2</v>
      </c>
      <c r="F214">
        <v>2.8026950967066564E-2</v>
      </c>
      <c r="G214">
        <v>0.22366673517238025</v>
      </c>
      <c r="H214">
        <v>1.6756248025120468</v>
      </c>
      <c r="I214">
        <v>0.39788560429773911</v>
      </c>
      <c r="J214">
        <v>1.5621382949180782</v>
      </c>
      <c r="K214">
        <v>0.34883624998250529</v>
      </c>
      <c r="L214">
        <v>1.0414885160755194</v>
      </c>
      <c r="M214">
        <v>2.651487457144833</v>
      </c>
    </row>
    <row r="215" spans="1:13">
      <c r="A215" t="s">
        <v>689</v>
      </c>
      <c r="B215" t="s">
        <v>677</v>
      </c>
      <c r="C215">
        <v>0</v>
      </c>
      <c r="D215">
        <v>1.4914166726673873E-4</v>
      </c>
      <c r="E215">
        <v>3.0468851620774257E-2</v>
      </c>
      <c r="F215">
        <v>1.4275658477422055E-2</v>
      </c>
      <c r="G215">
        <v>0.13173534009366175</v>
      </c>
      <c r="H215">
        <v>1.1185288258277963</v>
      </c>
      <c r="I215">
        <v>0.72236312921409163</v>
      </c>
      <c r="J215">
        <v>1.1823671983881372</v>
      </c>
      <c r="K215">
        <v>8.7672617113556381E-2</v>
      </c>
      <c r="L215">
        <v>0.95533375801611953</v>
      </c>
      <c r="M215">
        <v>8.2074501255431969</v>
      </c>
    </row>
    <row r="216" spans="1:13">
      <c r="A216" t="s">
        <v>691</v>
      </c>
      <c r="B216" t="s">
        <v>677</v>
      </c>
      <c r="C216">
        <v>0</v>
      </c>
      <c r="D216">
        <v>6.0877927407074685E-2</v>
      </c>
      <c r="E216">
        <v>5.4627735320041795E-2</v>
      </c>
      <c r="F216">
        <v>4.2858007838150027E-3</v>
      </c>
      <c r="G216">
        <v>0.34256707566930644</v>
      </c>
      <c r="H216">
        <v>1.7653434039824607</v>
      </c>
      <c r="I216">
        <v>0.56646202531705003</v>
      </c>
      <c r="J216">
        <v>1.6047485274543707</v>
      </c>
      <c r="K216">
        <v>0.42831775292009155</v>
      </c>
      <c r="L216">
        <v>1.6047485274543707</v>
      </c>
      <c r="M216">
        <v>1.7869840231369454</v>
      </c>
    </row>
    <row r="217" spans="1:13">
      <c r="A217" t="s">
        <v>694</v>
      </c>
      <c r="B217" t="s">
        <v>677</v>
      </c>
      <c r="C217">
        <v>0</v>
      </c>
      <c r="D217">
        <v>-6.7421403618731224E-2</v>
      </c>
      <c r="E217">
        <v>0.20437492001299482</v>
      </c>
      <c r="F217">
        <v>5.5047514884359293E-2</v>
      </c>
      <c r="G217">
        <v>0.36720995784147414</v>
      </c>
      <c r="H217">
        <v>1.3845604521376917</v>
      </c>
      <c r="I217">
        <v>0.53348756143024634</v>
      </c>
      <c r="J217">
        <v>1.6883196242795382</v>
      </c>
      <c r="K217">
        <v>0.11184292485397036</v>
      </c>
      <c r="L217">
        <v>1.2470701645221507</v>
      </c>
      <c r="M217">
        <v>1.6103355453602919</v>
      </c>
    </row>
    <row r="218" spans="1:13">
      <c r="A218" t="s">
        <v>696</v>
      </c>
      <c r="B218" t="s">
        <v>677</v>
      </c>
      <c r="C218">
        <v>0</v>
      </c>
      <c r="D218">
        <v>0.10806435919436017</v>
      </c>
      <c r="E218">
        <v>0.12720001930106034</v>
      </c>
      <c r="F218">
        <v>2.1647447709872907E-2</v>
      </c>
      <c r="G218">
        <v>0.32173253274315261</v>
      </c>
      <c r="H218">
        <v>1.5207265059663584</v>
      </c>
      <c r="I218">
        <v>0.56199442948253331</v>
      </c>
      <c r="J218">
        <v>1.5724834906982863</v>
      </c>
      <c r="K218">
        <v>0.31031030545731331</v>
      </c>
      <c r="L218">
        <v>1.3439070154937314</v>
      </c>
      <c r="M218">
        <v>3.7474910340254963</v>
      </c>
    </row>
    <row r="219" spans="1:13">
      <c r="A219" t="s">
        <v>699</v>
      </c>
      <c r="B219" t="s">
        <v>677</v>
      </c>
      <c r="C219">
        <v>0</v>
      </c>
      <c r="D219">
        <v>1.1194994577144238E-2</v>
      </c>
      <c r="E219">
        <v>0.1050432972493214</v>
      </c>
      <c r="F219">
        <v>3.1550328235880228E-2</v>
      </c>
      <c r="G219">
        <v>0.19810906112589774</v>
      </c>
      <c r="H219">
        <v>1.5724673348951113</v>
      </c>
      <c r="I219">
        <v>0.51416871710352519</v>
      </c>
      <c r="J219">
        <v>1.3852997168748591</v>
      </c>
      <c r="K219">
        <v>0.25092340647871214</v>
      </c>
      <c r="L219">
        <v>1.1200335396374319</v>
      </c>
      <c r="M219">
        <v>5.1839803061234875</v>
      </c>
    </row>
    <row r="220" spans="1:13">
      <c r="A220" t="s">
        <v>701</v>
      </c>
      <c r="B220" t="s">
        <v>677</v>
      </c>
      <c r="C220">
        <v>0</v>
      </c>
      <c r="D220">
        <v>4.099018344711854E-3</v>
      </c>
      <c r="E220">
        <v>8.5526663764377522E-2</v>
      </c>
      <c r="F220">
        <v>4.1088166506517761E-2</v>
      </c>
      <c r="G220">
        <v>0.11347858911596595</v>
      </c>
      <c r="H220">
        <v>1.1663712508817878</v>
      </c>
      <c r="I220">
        <v>0.72331929530877859</v>
      </c>
      <c r="J220">
        <v>1.1568858868440983</v>
      </c>
      <c r="K220">
        <v>0.12850145362377074</v>
      </c>
      <c r="L220">
        <v>0.97601699519172291</v>
      </c>
      <c r="M220">
        <v>6.0227645862432304</v>
      </c>
    </row>
    <row r="221" spans="1:13">
      <c r="A221" t="s">
        <v>703</v>
      </c>
      <c r="B221" t="s">
        <v>677</v>
      </c>
      <c r="C221">
        <v>0</v>
      </c>
      <c r="D221">
        <v>4.7266974507933742E-3</v>
      </c>
      <c r="E221">
        <v>3.0764021874646063E-2</v>
      </c>
      <c r="F221">
        <v>2.9705379743839647E-2</v>
      </c>
      <c r="G221">
        <v>0.24068774359824666</v>
      </c>
      <c r="H221">
        <v>1.1933619820311618</v>
      </c>
      <c r="I221">
        <v>0.6951839289312125</v>
      </c>
      <c r="J221">
        <v>1.3462216739795525</v>
      </c>
      <c r="K221">
        <v>0.12854624990574745</v>
      </c>
      <c r="L221">
        <v>1.1168336740565739</v>
      </c>
      <c r="M221">
        <v>5.7240802911433937</v>
      </c>
    </row>
    <row r="222" spans="1:13">
      <c r="A222" t="s">
        <v>705</v>
      </c>
      <c r="B222" t="s">
        <v>677</v>
      </c>
      <c r="C222">
        <v>0</v>
      </c>
      <c r="D222">
        <v>2.7111521294656805E-2</v>
      </c>
      <c r="E222">
        <v>0.5311271825952617</v>
      </c>
      <c r="F222">
        <v>7.910822140142857E-3</v>
      </c>
      <c r="G222">
        <v>-4.6478596728182497E-2</v>
      </c>
      <c r="H222">
        <v>2.8105097049076848</v>
      </c>
      <c r="I222">
        <v>0.25962573170972542</v>
      </c>
      <c r="J222">
        <v>0.8209784661092534</v>
      </c>
      <c r="K222">
        <v>0.20487833589353485</v>
      </c>
      <c r="L222">
        <v>0.59905209143889471</v>
      </c>
      <c r="M222">
        <v>-3.9259185203699074</v>
      </c>
    </row>
    <row r="223" spans="1:13">
      <c r="A223" t="s">
        <v>707</v>
      </c>
      <c r="B223" t="s">
        <v>677</v>
      </c>
      <c r="C223">
        <v>0</v>
      </c>
      <c r="D223">
        <v>1.4456987359794495E-4</v>
      </c>
      <c r="E223">
        <v>0.11624320016913521</v>
      </c>
      <c r="F223">
        <v>4.5464215756132138E-2</v>
      </c>
      <c r="G223">
        <v>0.2099771719482165</v>
      </c>
      <c r="H223">
        <v>1.563200705943699</v>
      </c>
      <c r="I223">
        <v>0.53940670031829385</v>
      </c>
      <c r="J223">
        <v>1.3892743116173989</v>
      </c>
      <c r="K223">
        <v>0.21602968947678722</v>
      </c>
      <c r="L223">
        <v>1.1714373981498316</v>
      </c>
      <c r="M223">
        <v>2.8455655297382316</v>
      </c>
    </row>
    <row r="224" spans="1:13">
      <c r="A224" t="s">
        <v>709</v>
      </c>
      <c r="B224" t="s">
        <v>677</v>
      </c>
      <c r="C224">
        <v>0</v>
      </c>
      <c r="D224">
        <v>7.6035105087996671E-2</v>
      </c>
      <c r="E224">
        <v>0.21568943507634822</v>
      </c>
      <c r="F224">
        <v>7.4386555561178755E-3</v>
      </c>
      <c r="G224">
        <v>0.32615006412988468</v>
      </c>
      <c r="H224">
        <v>1.9952255392626321</v>
      </c>
      <c r="I224">
        <v>0.432713337878534</v>
      </c>
      <c r="J224">
        <v>1.7537324033710224</v>
      </c>
      <c r="K224">
        <v>0.47875505669577412</v>
      </c>
      <c r="L224">
        <v>1.5141036404989228</v>
      </c>
      <c r="M224">
        <v>1.6365700273745487</v>
      </c>
    </row>
    <row r="225" spans="1:13">
      <c r="A225" t="s">
        <v>711</v>
      </c>
      <c r="B225" t="s">
        <v>677</v>
      </c>
      <c r="C225">
        <v>0</v>
      </c>
      <c r="D225">
        <v>4.2261785314822962E-3</v>
      </c>
      <c r="E225">
        <v>5.9444808049771015E-2</v>
      </c>
      <c r="F225">
        <v>4.4721891311989545E-2</v>
      </c>
      <c r="G225">
        <v>1.2651026657590518E-2</v>
      </c>
      <c r="H225">
        <v>1.0968099236375848</v>
      </c>
      <c r="I225">
        <v>0.86612227662864372</v>
      </c>
      <c r="J225">
        <v>1.0146065134207543</v>
      </c>
      <c r="K225">
        <v>7.6082763160433955E-2</v>
      </c>
      <c r="L225">
        <v>0.9638472796721228</v>
      </c>
      <c r="M225">
        <v>52.84753129740524</v>
      </c>
    </row>
    <row r="226" spans="1:13">
      <c r="A226" t="s">
        <v>713</v>
      </c>
      <c r="B226" t="s">
        <v>677</v>
      </c>
      <c r="C226">
        <v>0</v>
      </c>
      <c r="D226">
        <v>-8.4855106064114817E-3</v>
      </c>
      <c r="E226">
        <v>0.30046116480971946</v>
      </c>
      <c r="F226">
        <v>2.6829718010544599E-2</v>
      </c>
      <c r="G226">
        <v>0.19327082402795936</v>
      </c>
      <c r="H226">
        <v>2.6045533603553293</v>
      </c>
      <c r="I226">
        <v>0.24361564425537652</v>
      </c>
      <c r="J226">
        <v>1.7933432379464029</v>
      </c>
      <c r="K226">
        <v>0.48602989635045629</v>
      </c>
      <c r="L226">
        <v>1.1378941190611345</v>
      </c>
      <c r="M226">
        <v>0.95658043197534315</v>
      </c>
    </row>
    <row r="227" spans="1:13">
      <c r="A227" t="s">
        <v>715</v>
      </c>
      <c r="B227" t="s">
        <v>677</v>
      </c>
      <c r="C227">
        <v>0</v>
      </c>
      <c r="D227">
        <v>0.15760678035692649</v>
      </c>
      <c r="E227">
        <v>0.26576881182317486</v>
      </c>
      <c r="F227">
        <v>1.1455887116280556E-2</v>
      </c>
      <c r="G227">
        <v>0.17363222592495797</v>
      </c>
      <c r="H227">
        <v>3.1984176674587239</v>
      </c>
      <c r="I227">
        <v>0.30721516981430752</v>
      </c>
      <c r="J227">
        <v>1.5651811596084526</v>
      </c>
      <c r="K227">
        <v>0.6434186129024364</v>
      </c>
      <c r="L227">
        <v>1.5379508058839835</v>
      </c>
      <c r="M227">
        <v>5.1575425588865187</v>
      </c>
    </row>
    <row r="228" spans="1:13">
      <c r="A228" t="s">
        <v>717</v>
      </c>
      <c r="B228" t="s">
        <v>677</v>
      </c>
      <c r="C228">
        <v>0</v>
      </c>
      <c r="D228">
        <v>6.7598243407418879E-2</v>
      </c>
      <c r="E228">
        <v>0.11236281763986697</v>
      </c>
      <c r="F228">
        <v>6.3266557624410535E-3</v>
      </c>
      <c r="G228">
        <v>0.16749652630307563</v>
      </c>
      <c r="H228">
        <v>1.2024749872066094</v>
      </c>
      <c r="I228">
        <v>0.77333982313918537</v>
      </c>
      <c r="J228">
        <v>1.216588518127987</v>
      </c>
      <c r="K228">
        <v>0.15707239039215834</v>
      </c>
      <c r="L228">
        <v>1.1313321772590959</v>
      </c>
      <c r="M228">
        <v>3.2399375336221619</v>
      </c>
    </row>
    <row r="229" spans="1:13">
      <c r="A229" t="s">
        <v>719</v>
      </c>
      <c r="B229" t="s">
        <v>677</v>
      </c>
      <c r="C229">
        <v>0</v>
      </c>
      <c r="D229">
        <v>4.3315778256727458E-2</v>
      </c>
      <c r="E229">
        <v>0.17469548937966631</v>
      </c>
      <c r="F229">
        <v>2.4503677620160643E-2</v>
      </c>
      <c r="G229">
        <v>0.25175048741453315</v>
      </c>
      <c r="H229">
        <v>1.3118695853470708</v>
      </c>
      <c r="I229">
        <v>0.31775211695659683</v>
      </c>
      <c r="J229">
        <v>1.7922857912821424</v>
      </c>
      <c r="K229">
        <v>0.20548531520546642</v>
      </c>
      <c r="L229">
        <v>0.74711314545043117</v>
      </c>
      <c r="M229">
        <v>2.9461991808070214</v>
      </c>
    </row>
    <row r="230" spans="1:13">
      <c r="A230" t="s">
        <v>721</v>
      </c>
      <c r="B230" t="s">
        <v>677</v>
      </c>
      <c r="C230">
        <v>0</v>
      </c>
      <c r="D230">
        <v>1.9052842329780266E-2</v>
      </c>
      <c r="E230">
        <v>5.8117461457158612E-2</v>
      </c>
      <c r="F230">
        <v>1.7362076519342393E-2</v>
      </c>
      <c r="G230">
        <v>0.25851733681762168</v>
      </c>
      <c r="H230">
        <v>1.5561411194716956</v>
      </c>
      <c r="I230">
        <v>0.54746231145253299</v>
      </c>
      <c r="J230">
        <v>1.472210289931595</v>
      </c>
      <c r="K230">
        <v>0.24462408274125799</v>
      </c>
      <c r="L230">
        <v>1.2542180721305221</v>
      </c>
      <c r="M230">
        <v>4.7186272743085365</v>
      </c>
    </row>
    <row r="231" spans="1:13">
      <c r="A231" t="s">
        <v>723</v>
      </c>
      <c r="B231" t="s">
        <v>677</v>
      </c>
      <c r="C231">
        <v>0</v>
      </c>
      <c r="D231">
        <v>6.3739768517650869E-2</v>
      </c>
      <c r="E231">
        <v>9.2993001217813481E-2</v>
      </c>
      <c r="F231">
        <v>1.5640618548758253E-3</v>
      </c>
      <c r="G231">
        <v>9.7152523999955442E-2</v>
      </c>
      <c r="H231">
        <v>1.5108257216925349</v>
      </c>
      <c r="I231">
        <v>0.66188971079981918</v>
      </c>
      <c r="J231">
        <v>1.1467805321864839</v>
      </c>
      <c r="K231">
        <v>0.30671062863170956</v>
      </c>
      <c r="L231">
        <v>1.1467805321864839</v>
      </c>
      <c r="M231">
        <v>4.5837947285184724</v>
      </c>
    </row>
    <row r="232" spans="1:13">
      <c r="A232" t="s">
        <v>725</v>
      </c>
      <c r="B232" t="s">
        <v>677</v>
      </c>
      <c r="C232">
        <v>0</v>
      </c>
      <c r="D232">
        <v>3.1820542656225289E-3</v>
      </c>
      <c r="E232">
        <v>5.9666151701361029E-3</v>
      </c>
      <c r="F232">
        <v>1.8008937312805417E-4</v>
      </c>
      <c r="G232">
        <v>0.30107003004759531</v>
      </c>
      <c r="H232">
        <v>1.2056156190807723</v>
      </c>
      <c r="I232">
        <v>0.6487339860573772</v>
      </c>
      <c r="J232">
        <v>1.464088573310798</v>
      </c>
      <c r="K232">
        <v>0.13063454513464867</v>
      </c>
      <c r="L232">
        <v>1.1450985568818004</v>
      </c>
      <c r="M232">
        <v>4.6699808894460579</v>
      </c>
    </row>
    <row r="233" spans="1:13">
      <c r="A233" t="s">
        <v>727</v>
      </c>
      <c r="B233" t="s">
        <v>677</v>
      </c>
      <c r="C233">
        <v>0</v>
      </c>
      <c r="D233">
        <v>1.8417679617459035E-2</v>
      </c>
      <c r="E233">
        <v>0.10008598023700639</v>
      </c>
      <c r="F233">
        <v>7.5381844573368176E-2</v>
      </c>
      <c r="G233">
        <v>0.43030617680713273</v>
      </c>
      <c r="H233">
        <v>1.2282695762820444</v>
      </c>
      <c r="I233">
        <v>0.32378171475256062</v>
      </c>
      <c r="J233">
        <v>2.3290008582973249</v>
      </c>
      <c r="K233">
        <v>0.17023385885019066</v>
      </c>
      <c r="L233">
        <v>0.9262232150454448</v>
      </c>
      <c r="M233">
        <v>0.44551135554046378</v>
      </c>
    </row>
    <row r="234" spans="1:13">
      <c r="A234" t="s">
        <v>730</v>
      </c>
      <c r="B234" t="s">
        <v>677</v>
      </c>
      <c r="C234">
        <v>0</v>
      </c>
      <c r="D234">
        <v>3.4280911388093749E-2</v>
      </c>
      <c r="E234">
        <v>6.2039192267533731E-2</v>
      </c>
      <c r="F234">
        <v>3.19318424006882E-2</v>
      </c>
      <c r="G234">
        <v>0.12210653617737789</v>
      </c>
      <c r="H234">
        <v>1.0502071981296905</v>
      </c>
      <c r="I234">
        <v>0.84179917319989417</v>
      </c>
      <c r="J234">
        <v>1.1450542362891849</v>
      </c>
      <c r="K234">
        <v>3.9063518316621644E-2</v>
      </c>
      <c r="L234">
        <v>1.0123007143063167</v>
      </c>
      <c r="M234">
        <v>10.636463322118136</v>
      </c>
    </row>
    <row r="235" spans="1:13">
      <c r="A235" t="s">
        <v>732</v>
      </c>
      <c r="B235" t="s">
        <v>677</v>
      </c>
      <c r="C235">
        <v>0</v>
      </c>
      <c r="D235">
        <v>2.9695843313961762E-2</v>
      </c>
      <c r="E235">
        <v>4.5104374851427619E-2</v>
      </c>
      <c r="F235">
        <v>2.5771478367849088E-2</v>
      </c>
      <c r="G235">
        <v>0.36771262690253564</v>
      </c>
      <c r="H235">
        <v>1.6744704421095036</v>
      </c>
      <c r="I235">
        <v>0.40976487947266282</v>
      </c>
      <c r="J235">
        <v>1.8973746783173675</v>
      </c>
      <c r="K235">
        <v>0.20575050921396609</v>
      </c>
      <c r="L235">
        <v>1.3018631038302728</v>
      </c>
      <c r="M235">
        <v>2.476986991462125</v>
      </c>
    </row>
    <row r="236" spans="1:13">
      <c r="A236" t="s">
        <v>735</v>
      </c>
      <c r="B236" t="s">
        <v>677</v>
      </c>
      <c r="C236">
        <v>0</v>
      </c>
      <c r="D236">
        <v>3.5052438805761983E-2</v>
      </c>
      <c r="E236">
        <v>3.385158581617137E-2</v>
      </c>
      <c r="F236">
        <v>2.6589974049611178E-3</v>
      </c>
      <c r="G236">
        <v>0.12773364299478779</v>
      </c>
      <c r="H236">
        <v>1.2044512472313167</v>
      </c>
      <c r="I236">
        <v>0.82190861977444618</v>
      </c>
      <c r="J236">
        <v>1.1554110030259097</v>
      </c>
      <c r="K236">
        <v>0.15842708727367158</v>
      </c>
      <c r="L236">
        <v>1.1437978078159736</v>
      </c>
      <c r="M236">
        <v>15.593700599105631</v>
      </c>
    </row>
    <row r="237" spans="1:13">
      <c r="A237" t="s">
        <v>737</v>
      </c>
      <c r="B237" t="s">
        <v>677</v>
      </c>
      <c r="C237">
        <v>0</v>
      </c>
      <c r="D237">
        <v>7.6121531115187199E-2</v>
      </c>
      <c r="E237">
        <v>4.4400594520948224E-2</v>
      </c>
      <c r="F237">
        <v>2.2682697053584959E-4</v>
      </c>
      <c r="G237">
        <v>0.22011814906613794</v>
      </c>
      <c r="H237">
        <v>1.3132829713810619</v>
      </c>
      <c r="I237">
        <v>0.76139226060581799</v>
      </c>
      <c r="J237">
        <v>1.2890995357517769</v>
      </c>
      <c r="K237">
        <v>0.20657717617993074</v>
      </c>
      <c r="L237">
        <v>1.2890009072554296</v>
      </c>
      <c r="M237">
        <v>6.7203850647853711</v>
      </c>
    </row>
    <row r="238" spans="1:13">
      <c r="A238" t="s">
        <v>740</v>
      </c>
      <c r="B238" t="s">
        <v>677</v>
      </c>
      <c r="C238">
        <v>0</v>
      </c>
      <c r="D238">
        <v>1.5158239937017648E-2</v>
      </c>
      <c r="E238">
        <v>4.7231822954292957E-2</v>
      </c>
      <c r="F238">
        <v>1.4668488601086344E-2</v>
      </c>
      <c r="G238">
        <v>0.15426291691285893</v>
      </c>
      <c r="H238">
        <v>1.1322878280346222</v>
      </c>
      <c r="I238">
        <v>0.78768163636961186</v>
      </c>
      <c r="J238">
        <v>1.1958442469521693</v>
      </c>
      <c r="K238">
        <v>8.8444696179528076E-2</v>
      </c>
      <c r="L238">
        <v>1.0665523523652514</v>
      </c>
      <c r="M238">
        <v>4.6732828922927387</v>
      </c>
    </row>
    <row r="239" spans="1:13">
      <c r="A239" t="s">
        <v>742</v>
      </c>
      <c r="B239" t="s">
        <v>677</v>
      </c>
      <c r="C239">
        <v>0</v>
      </c>
      <c r="D239">
        <v>3.5150136414022648E-2</v>
      </c>
      <c r="E239">
        <v>8.3863087354563187E-2</v>
      </c>
      <c r="F239">
        <v>1.3854278947603198E-2</v>
      </c>
      <c r="G239">
        <v>0.12552186265201523</v>
      </c>
      <c r="H239">
        <v>1.3457993294353299</v>
      </c>
      <c r="I239">
        <v>0.74084851683973474</v>
      </c>
      <c r="J239">
        <v>1.1694298629191544</v>
      </c>
      <c r="K239">
        <v>0.24365808999914151</v>
      </c>
      <c r="L239">
        <v>1.1659606757626293</v>
      </c>
      <c r="M239">
        <v>5.871152882882031</v>
      </c>
    </row>
    <row r="240" spans="1:13">
      <c r="A240" t="s">
        <v>745</v>
      </c>
      <c r="B240" t="s">
        <v>677</v>
      </c>
      <c r="C240">
        <v>0</v>
      </c>
      <c r="D240">
        <v>3.9314080693283231E-2</v>
      </c>
      <c r="E240">
        <v>0.14292412642760641</v>
      </c>
      <c r="F240">
        <v>7.9651703812109887E-3</v>
      </c>
      <c r="G240">
        <v>0.68228804801822807</v>
      </c>
      <c r="H240">
        <v>1.3618283792511818</v>
      </c>
      <c r="I240">
        <v>0.27444428383276731</v>
      </c>
      <c r="J240">
        <v>3.4860712655031301</v>
      </c>
      <c r="K240">
        <v>0.24874678587559762</v>
      </c>
      <c r="L240">
        <v>1.3029052408618449</v>
      </c>
      <c r="M240">
        <v>0.65956249823221746</v>
      </c>
    </row>
    <row r="241" spans="1:13">
      <c r="A241" t="s">
        <v>747</v>
      </c>
      <c r="B241" t="s">
        <v>677</v>
      </c>
      <c r="C241">
        <v>0</v>
      </c>
      <c r="D241">
        <v>1.8317321092515507E-2</v>
      </c>
      <c r="E241">
        <v>5.7341739645396184E-2</v>
      </c>
      <c r="F241">
        <v>3.9859309672275805E-3</v>
      </c>
      <c r="G241">
        <v>0.91016994858274369</v>
      </c>
      <c r="H241">
        <v>11.396547654014027</v>
      </c>
      <c r="I241">
        <v>7.0262312535893587E-2</v>
      </c>
      <c r="J241">
        <v>13.953885457695153</v>
      </c>
      <c r="K241">
        <v>0.85348765094769319</v>
      </c>
      <c r="L241">
        <v>11.173542985371274</v>
      </c>
      <c r="M241">
        <v>0.27591994584357554</v>
      </c>
    </row>
    <row r="242" spans="1:13">
      <c r="A242" t="s">
        <v>750</v>
      </c>
      <c r="B242" t="s">
        <v>677</v>
      </c>
      <c r="C242">
        <v>0</v>
      </c>
      <c r="D242">
        <v>1.1419359353948322E-2</v>
      </c>
      <c r="E242">
        <v>5.6271493304516931E-2</v>
      </c>
      <c r="F242">
        <v>2.5308435388031108E-2</v>
      </c>
      <c r="G242">
        <v>0.20327269323461339</v>
      </c>
      <c r="H242">
        <v>1.3178295849669899</v>
      </c>
      <c r="I242">
        <v>0.64270256691424887</v>
      </c>
      <c r="J242">
        <v>1.3162780167668673</v>
      </c>
      <c r="K242">
        <v>0.23138384635527739</v>
      </c>
      <c r="L242">
        <v>1.1148512259743164</v>
      </c>
      <c r="M242">
        <v>5.2265420315325954</v>
      </c>
    </row>
    <row r="243" spans="1:13">
      <c r="A243" t="s">
        <v>752</v>
      </c>
      <c r="B243" t="s">
        <v>677</v>
      </c>
      <c r="C243">
        <v>0</v>
      </c>
      <c r="D243">
        <v>2.8948442730767309E-2</v>
      </c>
      <c r="E243">
        <v>8.7189341115805327E-2</v>
      </c>
      <c r="F243">
        <v>1.4273398653747193E-2</v>
      </c>
      <c r="G243">
        <v>0.12543192094580227</v>
      </c>
      <c r="H243">
        <v>1.1543582413583342</v>
      </c>
      <c r="I243">
        <v>0.73288362409958396</v>
      </c>
      <c r="J243">
        <v>1.171148483635321</v>
      </c>
      <c r="K243">
        <v>8.6556566402671953E-2</v>
      </c>
      <c r="L243">
        <v>0.9908036231091123</v>
      </c>
      <c r="M243">
        <v>4.801236887628229</v>
      </c>
    </row>
    <row r="244" spans="1:13">
      <c r="A244" t="s">
        <v>754</v>
      </c>
      <c r="B244" t="s">
        <v>677</v>
      </c>
      <c r="C244">
        <v>0</v>
      </c>
      <c r="D244">
        <v>5.0752526326453593E-2</v>
      </c>
      <c r="E244">
        <v>4.1721291702937688E-2</v>
      </c>
      <c r="F244">
        <v>3.7448051151476709E-2</v>
      </c>
      <c r="G244">
        <v>0.10653917535843364</v>
      </c>
      <c r="H244">
        <v>1.7052996679610142</v>
      </c>
      <c r="I244">
        <v>0.50244527171494624</v>
      </c>
      <c r="J244">
        <v>1.2120413532697683</v>
      </c>
      <c r="K244">
        <v>0.37848964042675581</v>
      </c>
      <c r="L244">
        <v>1.0385009753876564</v>
      </c>
      <c r="M244">
        <v>1.9426458303620546</v>
      </c>
    </row>
    <row r="245" spans="1:13">
      <c r="A245" t="s">
        <v>756</v>
      </c>
      <c r="B245" t="s">
        <v>677</v>
      </c>
      <c r="C245">
        <v>0</v>
      </c>
      <c r="D245">
        <v>3.4218741049115022E-2</v>
      </c>
      <c r="E245">
        <v>0.69296532940373301</v>
      </c>
      <c r="F245">
        <v>1.4761382876416339E-2</v>
      </c>
      <c r="G245">
        <v>-1.5838917890184246E-3</v>
      </c>
      <c r="H245">
        <v>1.4781897089345064</v>
      </c>
      <c r="I245">
        <v>8.9755162865216676E-2</v>
      </c>
      <c r="J245">
        <v>0.98235319575546942</v>
      </c>
      <c r="K245">
        <v>0.29728707002414279</v>
      </c>
      <c r="L245">
        <v>0.13033386552851095</v>
      </c>
      <c r="M245">
        <v>-61.760141736550217</v>
      </c>
    </row>
    <row r="246" spans="1:13">
      <c r="A246" t="s">
        <v>759</v>
      </c>
      <c r="B246" t="s">
        <v>677</v>
      </c>
      <c r="C246">
        <v>0</v>
      </c>
      <c r="D246">
        <v>7.4393946924331406E-2</v>
      </c>
      <c r="E246">
        <v>0.14043279447185572</v>
      </c>
      <c r="F246">
        <v>1.7076530808217964E-2</v>
      </c>
      <c r="G246">
        <v>0.16415983501350331</v>
      </c>
      <c r="H246">
        <v>1.167567603720165</v>
      </c>
      <c r="I246">
        <v>0.77785788431684511</v>
      </c>
      <c r="J246">
        <v>1.2110409090443006</v>
      </c>
      <c r="K246">
        <v>0.13384044796279643</v>
      </c>
      <c r="L246">
        <v>1.0998693712204699</v>
      </c>
      <c r="M246">
        <v>4.3581184230458554</v>
      </c>
    </row>
    <row r="247" spans="1:13">
      <c r="A247" t="s">
        <v>762</v>
      </c>
      <c r="B247" t="s">
        <v>677</v>
      </c>
      <c r="C247">
        <v>0</v>
      </c>
      <c r="D247">
        <v>-1.9237027580645015E-2</v>
      </c>
      <c r="E247">
        <v>3.3215146762300231E-2</v>
      </c>
      <c r="F247">
        <v>5.0518706014462358E-2</v>
      </c>
      <c r="G247">
        <v>9.2549145592447007E-2</v>
      </c>
      <c r="H247">
        <v>1.5902267821342719</v>
      </c>
      <c r="I247">
        <v>0.62884112582853247</v>
      </c>
      <c r="J247">
        <v>1.1471741299847533</v>
      </c>
      <c r="K247">
        <v>0.32739436930913707</v>
      </c>
      <c r="L247">
        <v>1.1471741299847533</v>
      </c>
      <c r="M247">
        <v>8.6911628243923449</v>
      </c>
    </row>
    <row r="248" spans="1:13">
      <c r="A248" t="s">
        <v>764</v>
      </c>
      <c r="B248" t="s">
        <v>677</v>
      </c>
      <c r="C248">
        <v>0</v>
      </c>
      <c r="D248">
        <v>2.0277057469528723E-2</v>
      </c>
      <c r="E248">
        <v>3.3965015266346182E-2</v>
      </c>
      <c r="F248">
        <v>1.8714635470842924E-2</v>
      </c>
      <c r="G248">
        <v>0.1477789535245074</v>
      </c>
      <c r="H248">
        <v>1.1782229489545184</v>
      </c>
      <c r="I248">
        <v>0.78574714365347664</v>
      </c>
      <c r="J248">
        <v>1.1880744393640197</v>
      </c>
      <c r="K248">
        <v>0.14811159581820671</v>
      </c>
      <c r="L248">
        <v>1.0999018711430468</v>
      </c>
      <c r="M248">
        <v>6.5957238596568848</v>
      </c>
    </row>
    <row r="249" spans="1:13">
      <c r="A249" t="s">
        <v>766</v>
      </c>
      <c r="B249" t="s">
        <v>677</v>
      </c>
      <c r="C249">
        <v>0</v>
      </c>
      <c r="D249">
        <v>4.041550092162117E-3</v>
      </c>
      <c r="E249">
        <v>2.430468725259053E-2</v>
      </c>
      <c r="F249">
        <v>1.144890890280029E-2</v>
      </c>
      <c r="G249">
        <v>-0.20469034842636008</v>
      </c>
      <c r="H249">
        <v>1.5199526197668427</v>
      </c>
      <c r="I249">
        <v>0.59190904378165921</v>
      </c>
      <c r="J249">
        <v>0.65418614468430836</v>
      </c>
      <c r="K249">
        <v>0.33270825396087106</v>
      </c>
      <c r="L249">
        <v>0.58855407042798591</v>
      </c>
      <c r="M249">
        <v>-4.7476231014124117</v>
      </c>
    </row>
    <row r="250" spans="1:13">
      <c r="A250" t="s">
        <v>768</v>
      </c>
      <c r="B250" t="s">
        <v>677</v>
      </c>
      <c r="C250">
        <v>0</v>
      </c>
      <c r="D250">
        <v>-7.7408695688637565E-3</v>
      </c>
      <c r="E250">
        <v>0.16337565947076174</v>
      </c>
      <c r="F250">
        <v>4.6444020799422378E-2</v>
      </c>
      <c r="G250">
        <v>-1.9801492780350739E-2</v>
      </c>
      <c r="H250">
        <v>1.4263160168951399</v>
      </c>
      <c r="I250">
        <v>0.63843814731644144</v>
      </c>
      <c r="J250">
        <v>0.96898447741009408</v>
      </c>
      <c r="K250">
        <v>0.2518868031703595</v>
      </c>
      <c r="L250">
        <v>0.88237136900325153</v>
      </c>
      <c r="M250">
        <v>-27.621724995218973</v>
      </c>
    </row>
    <row r="251" spans="1:13">
      <c r="A251" t="s">
        <v>771</v>
      </c>
      <c r="B251" t="s">
        <v>677</v>
      </c>
      <c r="C251">
        <v>0</v>
      </c>
      <c r="D251">
        <v>0.14742012891569853</v>
      </c>
      <c r="E251">
        <v>0.42907596502021877</v>
      </c>
      <c r="F251">
        <v>4.924006923934867E-2</v>
      </c>
      <c r="G251">
        <v>9.9878455748141581E-2</v>
      </c>
      <c r="H251">
        <v>2.1892684698871778</v>
      </c>
      <c r="I251">
        <v>0.31651850722839175</v>
      </c>
      <c r="J251">
        <v>1.3155532882507619</v>
      </c>
      <c r="K251">
        <v>0.53652925433966936</v>
      </c>
      <c r="L251">
        <v>0.91160474200130293</v>
      </c>
      <c r="M251">
        <v>5.5828311328480078</v>
      </c>
    </row>
    <row r="252" spans="1:13">
      <c r="A252" t="s">
        <v>773</v>
      </c>
      <c r="B252" t="s">
        <v>677</v>
      </c>
      <c r="C252">
        <v>0</v>
      </c>
      <c r="D252">
        <v>-8.0461754011701223E-3</v>
      </c>
      <c r="E252">
        <v>7.3012466491279765E-2</v>
      </c>
      <c r="F252">
        <v>3.9165318705058134E-2</v>
      </c>
      <c r="G252">
        <v>0.21586088554224228</v>
      </c>
      <c r="H252">
        <v>1.4641457952155945</v>
      </c>
      <c r="I252">
        <v>0.43193317833802708</v>
      </c>
      <c r="J252">
        <v>1.4997552778251999</v>
      </c>
      <c r="K252">
        <v>0.2919232094771117</v>
      </c>
      <c r="L252">
        <v>0.94846495479591864</v>
      </c>
      <c r="M252">
        <v>4.1224782163389992</v>
      </c>
    </row>
    <row r="253" spans="1:13">
      <c r="A253" t="s">
        <v>775</v>
      </c>
      <c r="B253" t="s">
        <v>677</v>
      </c>
      <c r="C253">
        <v>0</v>
      </c>
      <c r="D253">
        <v>2.7767521283589641E-2</v>
      </c>
      <c r="E253">
        <v>8.7208115489599045E-2</v>
      </c>
      <c r="F253">
        <v>5.2971180621022122E-2</v>
      </c>
      <c r="G253">
        <v>0.27991576804491891</v>
      </c>
      <c r="H253">
        <v>1.3326101592860786</v>
      </c>
      <c r="I253">
        <v>0.67104390836638306</v>
      </c>
      <c r="J253">
        <v>1.4171348022908925</v>
      </c>
      <c r="K253">
        <v>0.21924928574683347</v>
      </c>
      <c r="L253">
        <v>1.2672585258571027</v>
      </c>
      <c r="M253">
        <v>3.0014919528619863</v>
      </c>
    </row>
    <row r="254" spans="1:13">
      <c r="A254" t="s">
        <v>778</v>
      </c>
      <c r="B254" t="s">
        <v>677</v>
      </c>
      <c r="C254">
        <v>0</v>
      </c>
      <c r="D254">
        <v>-8.9393392884585237E-3</v>
      </c>
      <c r="E254">
        <v>-7.5907886388648883E-3</v>
      </c>
      <c r="F254">
        <v>9.3295111078688491E-5</v>
      </c>
      <c r="G254">
        <v>0.57210865959997248</v>
      </c>
      <c r="H254">
        <v>1.4105658272808475</v>
      </c>
      <c r="I254">
        <v>0.37576054040719237</v>
      </c>
      <c r="J254">
        <v>2.5225352267697074</v>
      </c>
      <c r="K254">
        <v>0.2608247597836541</v>
      </c>
      <c r="L254">
        <v>1.3370319022621415</v>
      </c>
      <c r="M254">
        <v>1.5682456983273032</v>
      </c>
    </row>
    <row r="255" spans="1:13">
      <c r="A255" t="s">
        <v>780</v>
      </c>
      <c r="B255" t="s">
        <v>677</v>
      </c>
      <c r="C255">
        <v>0</v>
      </c>
      <c r="D255">
        <v>-3.2206380084405427E-2</v>
      </c>
      <c r="E255">
        <v>0.70590882064632243</v>
      </c>
      <c r="F255">
        <v>6.8117034601604967E-2</v>
      </c>
      <c r="G255">
        <v>0.18033445739564283</v>
      </c>
      <c r="H255">
        <v>0.97016719855154832</v>
      </c>
      <c r="I255">
        <v>4.3535822157329637E-2</v>
      </c>
      <c r="J255">
        <v>5.1422086102784652</v>
      </c>
      <c r="K255">
        <v>-7.2210758846080372E-2</v>
      </c>
      <c r="L255">
        <v>0.21719160195285928</v>
      </c>
      <c r="M255">
        <v>0.32632053655236787</v>
      </c>
    </row>
    <row r="256" spans="1:13">
      <c r="A256" t="s">
        <v>783</v>
      </c>
      <c r="B256" t="s">
        <v>677</v>
      </c>
      <c r="C256">
        <v>0</v>
      </c>
      <c r="D256">
        <v>2.514428412545042E-2</v>
      </c>
      <c r="E256">
        <v>7.3362875053486501E-2</v>
      </c>
      <c r="F256">
        <v>7.9148007976682522E-3</v>
      </c>
      <c r="G256">
        <v>8.3200226096456206E-2</v>
      </c>
      <c r="H256">
        <v>1.0999208175584663</v>
      </c>
      <c r="I256">
        <v>0.87247957627158335</v>
      </c>
      <c r="J256">
        <v>1.0953606575548742</v>
      </c>
      <c r="K256">
        <v>8.2759377985077501E-2</v>
      </c>
      <c r="L256">
        <v>1.0511721095447677</v>
      </c>
      <c r="M256">
        <v>7.2995243047513991</v>
      </c>
    </row>
    <row r="257" spans="1:13">
      <c r="A257" t="s">
        <v>785</v>
      </c>
      <c r="B257" t="s">
        <v>677</v>
      </c>
      <c r="C257">
        <v>0</v>
      </c>
      <c r="D257">
        <v>3.1992972783645039E-2</v>
      </c>
      <c r="E257">
        <v>0.39634332483519386</v>
      </c>
      <c r="F257">
        <v>1.0162443225921088E-2</v>
      </c>
      <c r="G257">
        <v>0.63709169768618079</v>
      </c>
      <c r="H257">
        <v>5.2926664869236992</v>
      </c>
      <c r="I257">
        <v>0.14409428476823602</v>
      </c>
      <c r="J257">
        <v>5.421352996136461</v>
      </c>
      <c r="K257">
        <v>0.74734287388065945</v>
      </c>
      <c r="L257">
        <v>4.1345568693910568</v>
      </c>
      <c r="M257">
        <v>0.23074418870295277</v>
      </c>
    </row>
    <row r="258" spans="1:13">
      <c r="A258" t="s">
        <v>788</v>
      </c>
      <c r="B258" t="s">
        <v>677</v>
      </c>
      <c r="C258">
        <v>0</v>
      </c>
      <c r="D258">
        <v>3.5192905270282744E-2</v>
      </c>
      <c r="E258">
        <v>8.3065883102021149E-2</v>
      </c>
      <c r="F258">
        <v>3.2075648542536682E-3</v>
      </c>
      <c r="G258">
        <v>0.2307783853903233</v>
      </c>
      <c r="H258">
        <v>1.557950457967145</v>
      </c>
      <c r="I258">
        <v>0.63554652401325773</v>
      </c>
      <c r="J258">
        <v>1.363118004222629</v>
      </c>
      <c r="K258">
        <v>0.3536711632639703</v>
      </c>
      <c r="L258">
        <v>1.3496912893536546</v>
      </c>
      <c r="M258">
        <v>1.4983497924348297</v>
      </c>
    </row>
    <row r="259" spans="1:13">
      <c r="A259" t="s">
        <v>790</v>
      </c>
      <c r="B259" t="s">
        <v>677</v>
      </c>
      <c r="C259">
        <v>0</v>
      </c>
      <c r="D259">
        <v>8.6024582717915715E-2</v>
      </c>
      <c r="E259">
        <v>0.15547118703994398</v>
      </c>
      <c r="F259">
        <v>6.2262511057895265E-2</v>
      </c>
      <c r="G259">
        <v>0.32284034432215686</v>
      </c>
      <c r="H259">
        <v>3.1133065958357076</v>
      </c>
      <c r="I259">
        <v>0.24434446935223578</v>
      </c>
      <c r="J259">
        <v>2.3212508765924431</v>
      </c>
      <c r="K259">
        <v>0.66199336802924891</v>
      </c>
      <c r="L259">
        <v>1.7658202214703331</v>
      </c>
      <c r="M259">
        <v>2.1354356885431365</v>
      </c>
    </row>
    <row r="260" spans="1:13">
      <c r="A260" t="s">
        <v>793</v>
      </c>
      <c r="B260" t="s">
        <v>677</v>
      </c>
      <c r="C260">
        <v>0</v>
      </c>
      <c r="D260">
        <v>2.0269880065560533E-2</v>
      </c>
      <c r="E260">
        <v>9.7746046260177633E-2</v>
      </c>
      <c r="F260">
        <v>2.0208446166454525E-2</v>
      </c>
      <c r="G260">
        <v>6.4028563461082072E-2</v>
      </c>
      <c r="H260">
        <v>1.1448224355906627</v>
      </c>
      <c r="I260">
        <v>0.76820464039036229</v>
      </c>
      <c r="J260">
        <v>1.0833483164441002</v>
      </c>
      <c r="K260">
        <v>0.11752763616061383</v>
      </c>
      <c r="L260">
        <v>0.95275924341263096</v>
      </c>
      <c r="M260">
        <v>9.5617173274024321</v>
      </c>
    </row>
    <row r="261" spans="1:13">
      <c r="A261" t="s">
        <v>795</v>
      </c>
      <c r="B261" t="s">
        <v>677</v>
      </c>
      <c r="C261">
        <v>0</v>
      </c>
      <c r="D261">
        <v>6.1155006699123871E-3</v>
      </c>
      <c r="E261">
        <v>2.1664780246988986E-2</v>
      </c>
      <c r="F261">
        <v>1.3077799439512552E-2</v>
      </c>
      <c r="G261">
        <v>0.12264047781964359</v>
      </c>
      <c r="H261">
        <v>1.0855942089255446</v>
      </c>
      <c r="I261">
        <v>0.79399030375187551</v>
      </c>
      <c r="J261">
        <v>1.1544609263364116</v>
      </c>
      <c r="K261">
        <v>7.2383873129996071E-2</v>
      </c>
      <c r="L261">
        <v>0.99508906819693688</v>
      </c>
      <c r="M261">
        <v>7.0988895627291209</v>
      </c>
    </row>
    <row r="262" spans="1:13">
      <c r="A262" t="s">
        <v>798</v>
      </c>
      <c r="B262" t="s">
        <v>677</v>
      </c>
      <c r="C262">
        <v>0</v>
      </c>
      <c r="D262">
        <v>6.6693549783937586E-2</v>
      </c>
      <c r="E262">
        <v>0.14356055476195026</v>
      </c>
      <c r="F262">
        <v>1.9743792171474806E-2</v>
      </c>
      <c r="G262">
        <v>8.4501908153388997E-2</v>
      </c>
      <c r="H262">
        <v>1.4507724061770448</v>
      </c>
      <c r="I262">
        <v>0.67348154065295485</v>
      </c>
      <c r="J262">
        <v>1.1254702661508176</v>
      </c>
      <c r="K262">
        <v>0.29412009776020059</v>
      </c>
      <c r="L262">
        <v>1.0996614718671542</v>
      </c>
      <c r="M262">
        <v>8.651052652873231</v>
      </c>
    </row>
    <row r="263" spans="1:13">
      <c r="A263" t="s">
        <v>801</v>
      </c>
      <c r="B263" t="s">
        <v>677</v>
      </c>
      <c r="C263">
        <v>0</v>
      </c>
      <c r="D263">
        <v>7.231800012713667E-2</v>
      </c>
      <c r="E263">
        <v>6.1457334393182954E-2</v>
      </c>
      <c r="F263">
        <v>1.7593386075390825E-2</v>
      </c>
      <c r="G263">
        <v>0.24502616689613196</v>
      </c>
      <c r="H263">
        <v>1.1540504618436593</v>
      </c>
      <c r="I263">
        <v>0.69572601304847936</v>
      </c>
      <c r="J263">
        <v>1.3521877323840386</v>
      </c>
      <c r="K263">
        <v>0.11777611407961197</v>
      </c>
      <c r="L263">
        <v>1.0856754877455079</v>
      </c>
      <c r="M263">
        <v>6.1707269065204482</v>
      </c>
    </row>
    <row r="264" spans="1:13">
      <c r="A264" t="s">
        <v>804</v>
      </c>
      <c r="B264" t="s">
        <v>677</v>
      </c>
      <c r="C264">
        <v>0</v>
      </c>
      <c r="D264">
        <v>1.2380560974274455E-2</v>
      </c>
      <c r="E264">
        <v>5.3913639429431989E-2</v>
      </c>
      <c r="F264">
        <v>2.9244108454636625E-2</v>
      </c>
      <c r="G264">
        <v>0.14163246577535132</v>
      </c>
      <c r="H264">
        <v>1.2028319524321356</v>
      </c>
      <c r="I264">
        <v>0.83082449715714302</v>
      </c>
      <c r="J264">
        <v>1.1704721830663145</v>
      </c>
      <c r="K264">
        <v>0.14848055401519536</v>
      </c>
      <c r="L264">
        <v>1.169702307380317</v>
      </c>
      <c r="M264">
        <v>4.4777937631832296</v>
      </c>
    </row>
    <row r="265" spans="1:13">
      <c r="A265" t="s">
        <v>806</v>
      </c>
      <c r="B265" t="s">
        <v>677</v>
      </c>
      <c r="C265">
        <v>0</v>
      </c>
      <c r="D265">
        <v>2.9960343236451848E-2</v>
      </c>
      <c r="E265">
        <v>0.10180402266889703</v>
      </c>
      <c r="F265">
        <v>4.9971615448412797E-3</v>
      </c>
      <c r="G265">
        <v>0.25249637219851934</v>
      </c>
      <c r="H265">
        <v>1.2381595498942224</v>
      </c>
      <c r="I265">
        <v>0.71493289554229533</v>
      </c>
      <c r="J265">
        <v>1.3531749256089192</v>
      </c>
      <c r="K265">
        <v>0.17763480474895829</v>
      </c>
      <c r="L265">
        <v>1.1978317867004644</v>
      </c>
      <c r="M265">
        <v>1.5255248798831296</v>
      </c>
    </row>
    <row r="266" spans="1:13">
      <c r="A266" t="s">
        <v>808</v>
      </c>
      <c r="B266" t="s">
        <v>677</v>
      </c>
      <c r="C266">
        <v>0</v>
      </c>
      <c r="D266">
        <v>7.29650999674228E-2</v>
      </c>
      <c r="E266">
        <v>0.17533647724386675</v>
      </c>
      <c r="F266">
        <v>1.0555565591881694E-2</v>
      </c>
      <c r="G266">
        <v>0.34033685314683471</v>
      </c>
      <c r="H266">
        <v>2.2388043488114362</v>
      </c>
      <c r="I266">
        <v>0.4023628834772055</v>
      </c>
      <c r="J266">
        <v>1.8458455467006696</v>
      </c>
      <c r="K266">
        <v>0.48634380861696225</v>
      </c>
      <c r="L266">
        <v>1.6627594002150095</v>
      </c>
      <c r="M266">
        <v>2.3822267551555756</v>
      </c>
    </row>
    <row r="267" spans="1:13">
      <c r="A267" t="s">
        <v>811</v>
      </c>
      <c r="B267" t="s">
        <v>677</v>
      </c>
      <c r="C267">
        <v>0</v>
      </c>
      <c r="D267">
        <v>3.8877001228441741E-3</v>
      </c>
      <c r="E267">
        <v>2.8961148889416057E-2</v>
      </c>
      <c r="F267">
        <v>2.2235072722408999E-2</v>
      </c>
      <c r="G267">
        <v>0.21312660899193675</v>
      </c>
      <c r="H267">
        <v>1.2502226435952886</v>
      </c>
      <c r="I267">
        <v>0.75315149008368554</v>
      </c>
      <c r="J267">
        <v>1.2829797348847514</v>
      </c>
      <c r="K267">
        <v>0.16938436590874403</v>
      </c>
      <c r="L267">
        <v>1.2080627594745545</v>
      </c>
      <c r="M267">
        <v>8.0195530225621905</v>
      </c>
    </row>
    <row r="268" spans="1:13">
      <c r="A268" t="s">
        <v>813</v>
      </c>
      <c r="B268" t="s">
        <v>677</v>
      </c>
      <c r="C268">
        <v>0</v>
      </c>
      <c r="D268">
        <v>9.6419631706164497E-3</v>
      </c>
      <c r="E268">
        <v>4.2685355126362498E-2</v>
      </c>
      <c r="F268">
        <v>0.32589548358303888</v>
      </c>
      <c r="G268">
        <v>8.2679426962442279E-2</v>
      </c>
      <c r="H268">
        <v>1.1009449197899603</v>
      </c>
      <c r="I268">
        <v>0.80729734257964436</v>
      </c>
      <c r="J268">
        <v>1.102415086241022</v>
      </c>
      <c r="K268">
        <v>9.0364904706288759E-2</v>
      </c>
      <c r="L268">
        <v>0.97981540315844062</v>
      </c>
      <c r="M268">
        <v>15.751341666397336</v>
      </c>
    </row>
    <row r="269" spans="1:13">
      <c r="A269" t="s">
        <v>816</v>
      </c>
      <c r="B269" t="s">
        <v>677</v>
      </c>
      <c r="C269">
        <v>0</v>
      </c>
      <c r="D269">
        <v>2.7145250456709336E-2</v>
      </c>
      <c r="E269">
        <v>9.0812901505753288E-2</v>
      </c>
      <c r="F269">
        <v>3.8861974982085948E-2</v>
      </c>
      <c r="G269">
        <v>0.11866658121918292</v>
      </c>
      <c r="H269">
        <v>1.2643488100021969</v>
      </c>
      <c r="I269">
        <v>0.66446584311200807</v>
      </c>
      <c r="J269">
        <v>1.1785894375900665</v>
      </c>
      <c r="K269">
        <v>0.18462431580455765</v>
      </c>
      <c r="L269">
        <v>0.99015254877727665</v>
      </c>
      <c r="M269">
        <v>7.0828888252834776</v>
      </c>
    </row>
    <row r="270" spans="1:13">
      <c r="A270" t="s">
        <v>818</v>
      </c>
      <c r="B270" t="s">
        <v>677</v>
      </c>
      <c r="C270">
        <v>0</v>
      </c>
      <c r="D270">
        <v>7.6270817181424266E-3</v>
      </c>
      <c r="E270">
        <v>4.3321921052203255E-2</v>
      </c>
      <c r="F270">
        <v>3.0767943242820756E-2</v>
      </c>
      <c r="G270">
        <v>0.25560436818255972</v>
      </c>
      <c r="H270">
        <v>1.3449265014348548</v>
      </c>
      <c r="I270">
        <v>0.64223879954277818</v>
      </c>
      <c r="J270">
        <v>1.397989608171492</v>
      </c>
      <c r="K270">
        <v>0.2326979819455075</v>
      </c>
      <c r="L270">
        <v>1.2075330704060261</v>
      </c>
      <c r="M270">
        <v>5.7873792866593616</v>
      </c>
    </row>
    <row r="271" spans="1:13">
      <c r="A271" t="s">
        <v>821</v>
      </c>
      <c r="B271" t="s">
        <v>677</v>
      </c>
      <c r="C271">
        <v>0</v>
      </c>
      <c r="D271">
        <v>1.1606224533807727E-2</v>
      </c>
      <c r="E271">
        <v>1.4789025134838773E-2</v>
      </c>
      <c r="F271">
        <v>2.7659243310054028E-4</v>
      </c>
      <c r="G271">
        <v>3.0685509165490191E-2</v>
      </c>
      <c r="H271">
        <v>1.0766700098618107</v>
      </c>
      <c r="I271">
        <v>0.92878968564225994</v>
      </c>
      <c r="J271">
        <v>1.0330381674558231</v>
      </c>
      <c r="K271">
        <v>7.0480415570141855E-2</v>
      </c>
      <c r="L271">
        <v>1.0330381674558231</v>
      </c>
      <c r="M271">
        <v>56.347665349171137</v>
      </c>
    </row>
    <row r="272" spans="1:13">
      <c r="A272" t="s">
        <v>823</v>
      </c>
      <c r="B272" t="s">
        <v>677</v>
      </c>
      <c r="C272">
        <v>0</v>
      </c>
      <c r="D272">
        <v>5.3515378265535367E-2</v>
      </c>
      <c r="E272">
        <v>8.0074545778603137E-2</v>
      </c>
      <c r="F272">
        <v>1.4994190016705777E-2</v>
      </c>
      <c r="G272">
        <v>0.28602840388764039</v>
      </c>
      <c r="H272">
        <v>1.6555118172499033</v>
      </c>
      <c r="I272">
        <v>0.54107863085909302</v>
      </c>
      <c r="J272">
        <v>1.5286263170909211</v>
      </c>
      <c r="K272">
        <v>0.28398747865396562</v>
      </c>
      <c r="L272">
        <v>1.3692854701537434</v>
      </c>
      <c r="M272">
        <v>4.5865359655007385</v>
      </c>
    </row>
    <row r="273" spans="1:13">
      <c r="A273" t="s">
        <v>826</v>
      </c>
      <c r="B273" t="s">
        <v>677</v>
      </c>
      <c r="C273">
        <v>0</v>
      </c>
      <c r="D273">
        <v>2.6904044621864603E-2</v>
      </c>
      <c r="E273">
        <v>7.6606865435756982E-2</v>
      </c>
      <c r="F273">
        <v>3.0790822620397128E-2</v>
      </c>
      <c r="G273">
        <v>0.19749925060487628</v>
      </c>
      <c r="H273">
        <v>1.1687664581072175</v>
      </c>
      <c r="I273">
        <v>0.77032438026933214</v>
      </c>
      <c r="J273">
        <v>1.2563845253551804</v>
      </c>
      <c r="K273">
        <v>5.4444178011100006E-2</v>
      </c>
      <c r="L273">
        <v>1.1311597971293155</v>
      </c>
      <c r="M273">
        <v>5.4306099663911498</v>
      </c>
    </row>
    <row r="274" spans="1:13">
      <c r="A274" t="s">
        <v>829</v>
      </c>
      <c r="B274" t="s">
        <v>677</v>
      </c>
      <c r="C274">
        <v>0</v>
      </c>
      <c r="D274">
        <v>3.5463906724993798E-2</v>
      </c>
      <c r="E274">
        <v>0.19545712539446355</v>
      </c>
      <c r="F274">
        <v>3.0289078238491106E-2</v>
      </c>
      <c r="G274">
        <v>-3.7444866678937289E-2</v>
      </c>
      <c r="H274">
        <v>1.9128520722816971</v>
      </c>
      <c r="I274">
        <v>0.26862936755288858</v>
      </c>
      <c r="J274">
        <v>0.8606076952045647</v>
      </c>
      <c r="K274">
        <v>0.19789577883735807</v>
      </c>
      <c r="L274">
        <v>0.44222175157614763</v>
      </c>
      <c r="M274">
        <v>-8.6133731295254705</v>
      </c>
    </row>
    <row r="275" spans="1:13">
      <c r="A275" t="s">
        <v>831</v>
      </c>
      <c r="B275" t="s">
        <v>677</v>
      </c>
      <c r="C275">
        <v>0</v>
      </c>
      <c r="D275">
        <v>4.8203640926328527E-2</v>
      </c>
      <c r="E275">
        <v>0.10414646888863874</v>
      </c>
      <c r="F275">
        <v>1.1275173974146239E-2</v>
      </c>
      <c r="G275">
        <v>0.24369134310240773</v>
      </c>
      <c r="H275">
        <v>1.4677323881583613</v>
      </c>
      <c r="I275">
        <v>0.53591775528514418</v>
      </c>
      <c r="J275">
        <v>1.4547178008176789</v>
      </c>
      <c r="K275">
        <v>0.31329705975488586</v>
      </c>
      <c r="L275">
        <v>1.1442575238063484</v>
      </c>
      <c r="M275">
        <v>3.5680673244156824</v>
      </c>
    </row>
    <row r="276" spans="1:13">
      <c r="A276" t="s">
        <v>834</v>
      </c>
      <c r="B276" t="s">
        <v>677</v>
      </c>
      <c r="C276">
        <v>0</v>
      </c>
      <c r="D276">
        <v>6.7979899535086069E-2</v>
      </c>
      <c r="E276">
        <v>0.15599821495192806</v>
      </c>
      <c r="F276">
        <v>1.7489379358198477E-2</v>
      </c>
      <c r="G276">
        <v>5.3202803486494817E-2</v>
      </c>
      <c r="H276">
        <v>1.7298630151387697</v>
      </c>
      <c r="I276">
        <v>0.50094790451562543</v>
      </c>
      <c r="J276">
        <v>1.1062042639701977</v>
      </c>
      <c r="K276">
        <v>0.27270135590197858</v>
      </c>
      <c r="L276">
        <v>0.95860481458583158</v>
      </c>
      <c r="M276">
        <v>13.815226988931178</v>
      </c>
    </row>
    <row r="277" spans="1:13">
      <c r="A277" t="s">
        <v>837</v>
      </c>
      <c r="B277" t="s">
        <v>677</v>
      </c>
      <c r="C277">
        <v>0</v>
      </c>
      <c r="D277">
        <v>2.8437470617732937E-2</v>
      </c>
      <c r="E277">
        <v>0.12204805392494983</v>
      </c>
      <c r="F277">
        <v>9.1490430138630088E-3</v>
      </c>
      <c r="G277">
        <v>0.31662820403716224</v>
      </c>
      <c r="H277">
        <v>1.9403450118437942</v>
      </c>
      <c r="I277">
        <v>0.49591304993628776</v>
      </c>
      <c r="J277">
        <v>1.6384752409274992</v>
      </c>
      <c r="K277">
        <v>0.44479491794924936</v>
      </c>
      <c r="L277">
        <v>1.5766103690646853</v>
      </c>
      <c r="M277">
        <v>2.5330363078496005</v>
      </c>
    </row>
    <row r="278" spans="1:13">
      <c r="A278" t="s">
        <v>839</v>
      </c>
      <c r="B278" t="s">
        <v>677</v>
      </c>
      <c r="C278">
        <v>0</v>
      </c>
      <c r="D278">
        <v>-1.0337937745038805E-2</v>
      </c>
      <c r="E278">
        <v>3.1779493401860481E-2</v>
      </c>
      <c r="F278">
        <v>1.2522917628799934E-2</v>
      </c>
      <c r="G278">
        <v>8.4848208704765907E-3</v>
      </c>
      <c r="H278">
        <v>1.0098562348109674</v>
      </c>
      <c r="I278">
        <v>0.99023996241127099</v>
      </c>
      <c r="J278">
        <v>1.0085684492573048</v>
      </c>
      <c r="K278">
        <v>4.4753554480287741E-3</v>
      </c>
      <c r="L278">
        <v>1.0085684492573048</v>
      </c>
      <c r="M278">
        <v>6.1129405966682402</v>
      </c>
    </row>
    <row r="279" spans="1:13">
      <c r="A279" t="s">
        <v>842</v>
      </c>
      <c r="B279" t="s">
        <v>677</v>
      </c>
      <c r="C279">
        <v>0</v>
      </c>
      <c r="D279">
        <v>0.16177501991132032</v>
      </c>
      <c r="E279">
        <v>0.36112354906485722</v>
      </c>
      <c r="F279">
        <v>0.14352634168253087</v>
      </c>
      <c r="G279">
        <v>6.8226639726077121E-2</v>
      </c>
      <c r="H279">
        <v>3.4132149494115218</v>
      </c>
      <c r="I279">
        <v>0.2672078982710433</v>
      </c>
      <c r="J279">
        <v>1.2553316730812769</v>
      </c>
      <c r="K279">
        <v>0.66598105286082443</v>
      </c>
      <c r="L279">
        <v>1.1449101796407186</v>
      </c>
      <c r="M279">
        <v>10.297215818407519</v>
      </c>
    </row>
    <row r="280" spans="1:13">
      <c r="A280" t="s">
        <v>844</v>
      </c>
      <c r="B280" t="s">
        <v>677</v>
      </c>
      <c r="C280">
        <v>0</v>
      </c>
      <c r="D280">
        <v>2.7846272432755309E-2</v>
      </c>
      <c r="E280">
        <v>0.49639878285157801</v>
      </c>
      <c r="F280">
        <v>4.8566309564245323E-3</v>
      </c>
      <c r="G280">
        <v>8.0906293488785461E-2</v>
      </c>
      <c r="H280">
        <v>1.1231837678881333</v>
      </c>
      <c r="I280">
        <v>0.89015170172047364</v>
      </c>
      <c r="J280">
        <v>1.0908904553374563</v>
      </c>
      <c r="K280">
        <v>0.10513897066679864</v>
      </c>
      <c r="L280">
        <v>1.0906765778970327</v>
      </c>
      <c r="M280">
        <v>1.3263686411492353</v>
      </c>
    </row>
    <row r="281" spans="1:13">
      <c r="A281" t="s">
        <v>846</v>
      </c>
      <c r="B281" t="s">
        <v>677</v>
      </c>
      <c r="C281">
        <v>0</v>
      </c>
      <c r="D281">
        <v>5.5567413096760519E-2</v>
      </c>
      <c r="E281">
        <v>0.12155108557947829</v>
      </c>
      <c r="F281">
        <v>1.4820220302296518E-3</v>
      </c>
      <c r="G281">
        <v>0.1311615966816943</v>
      </c>
      <c r="H281">
        <v>1.3714890851006059</v>
      </c>
      <c r="I281">
        <v>0.72913449393339125</v>
      </c>
      <c r="J281">
        <v>1.1798866982333116</v>
      </c>
      <c r="K281">
        <v>0.25884294683900128</v>
      </c>
      <c r="L281">
        <v>1.1798866982333116</v>
      </c>
      <c r="M281">
        <v>5.1951112861890163</v>
      </c>
    </row>
    <row r="282" spans="1:13">
      <c r="A282" t="s">
        <v>849</v>
      </c>
      <c r="B282" t="s">
        <v>677</v>
      </c>
      <c r="C282">
        <v>0</v>
      </c>
      <c r="D282">
        <v>3.0724714236317636E-3</v>
      </c>
      <c r="E282">
        <v>3.1142325699614781E-2</v>
      </c>
      <c r="F282">
        <v>9.2654153657702083E-3</v>
      </c>
      <c r="G282">
        <v>0.35299034124677414</v>
      </c>
      <c r="H282">
        <v>1.7729827767159094</v>
      </c>
      <c r="I282">
        <v>0.50926187545593893</v>
      </c>
      <c r="J282">
        <v>1.6931411092392183</v>
      </c>
      <c r="K282">
        <v>0.41681123495258449</v>
      </c>
      <c r="L282">
        <v>1.5287583293990243</v>
      </c>
      <c r="M282">
        <v>1.1473349355320239</v>
      </c>
    </row>
    <row r="283" spans="1:13">
      <c r="A283" t="s">
        <v>851</v>
      </c>
      <c r="B283" t="s">
        <v>677</v>
      </c>
      <c r="C283">
        <v>0</v>
      </c>
      <c r="D283">
        <v>2.8426915197239757E-3</v>
      </c>
      <c r="E283">
        <v>8.306294635018853E-2</v>
      </c>
      <c r="F283">
        <v>5.2900106895949393E-2</v>
      </c>
      <c r="G283">
        <v>-4.2490319108410987E-2</v>
      </c>
      <c r="H283">
        <v>1.272011038058934</v>
      </c>
      <c r="I283">
        <v>0.62322117768147955</v>
      </c>
      <c r="J283">
        <v>0.93182144537115319</v>
      </c>
      <c r="K283">
        <v>0.17196226541218937</v>
      </c>
      <c r="L283">
        <v>0.73869606224638495</v>
      </c>
      <c r="M283">
        <v>-26.323374567809473</v>
      </c>
    </row>
    <row r="284" spans="1:13">
      <c r="A284" t="s">
        <v>854</v>
      </c>
      <c r="B284" t="s">
        <v>677</v>
      </c>
      <c r="C284">
        <v>0</v>
      </c>
      <c r="D284">
        <v>1.603378351085177E-2</v>
      </c>
      <c r="E284">
        <v>2.6875120995063399E-2</v>
      </c>
      <c r="F284">
        <v>4.7028478255174509E-3</v>
      </c>
      <c r="G284">
        <v>-3.0561667224771542E-2</v>
      </c>
      <c r="H284">
        <v>1.0542433641750582</v>
      </c>
      <c r="I284">
        <v>0.9164042634411409</v>
      </c>
      <c r="J284">
        <v>0.96665045281433859</v>
      </c>
      <c r="K284">
        <v>2.3896394475510799E-2</v>
      </c>
      <c r="L284">
        <v>0.93389367876471274</v>
      </c>
      <c r="M284">
        <v>-39.080948935828147</v>
      </c>
    </row>
    <row r="285" spans="1:13">
      <c r="A285" t="s">
        <v>856</v>
      </c>
      <c r="B285" t="s">
        <v>677</v>
      </c>
      <c r="C285">
        <v>0</v>
      </c>
      <c r="D285">
        <v>4.6106330103938289E-2</v>
      </c>
      <c r="E285">
        <v>9.6306033584448836E-2</v>
      </c>
      <c r="F285">
        <v>7.8169499851658684E-5</v>
      </c>
      <c r="G285">
        <v>0.62192743370987602</v>
      </c>
      <c r="H285">
        <v>4.7591507988098245</v>
      </c>
      <c r="I285">
        <v>0.21001690283616664</v>
      </c>
      <c r="J285">
        <v>3.9613208523270109</v>
      </c>
      <c r="K285">
        <v>0.76464347722950876</v>
      </c>
      <c r="L285">
        <v>3.9593485538384088</v>
      </c>
      <c r="M285">
        <v>1.6057281803342465</v>
      </c>
    </row>
    <row r="286" spans="1:13">
      <c r="A286" t="s">
        <v>859</v>
      </c>
      <c r="B286" t="s">
        <v>677</v>
      </c>
      <c r="C286">
        <v>0</v>
      </c>
      <c r="D286">
        <v>9.6282950288027663E-2</v>
      </c>
      <c r="E286">
        <v>0.12045611632966738</v>
      </c>
      <c r="F286">
        <v>1.2153469429633797E-2</v>
      </c>
      <c r="G286">
        <v>6.490549389124893E-2</v>
      </c>
      <c r="H286">
        <v>1.4217749799122836</v>
      </c>
      <c r="I286">
        <v>0.62295261047935824</v>
      </c>
      <c r="J286">
        <v>1.1041900985715505</v>
      </c>
      <c r="K286">
        <v>0.28167702507807718</v>
      </c>
      <c r="L286">
        <v>0.97797944252402158</v>
      </c>
      <c r="M286">
        <v>13.869127072599916</v>
      </c>
    </row>
    <row r="287" spans="1:13">
      <c r="A287" t="s">
        <v>861</v>
      </c>
      <c r="B287" t="s">
        <v>677</v>
      </c>
      <c r="C287">
        <v>0</v>
      </c>
      <c r="D287">
        <v>1.8001350545412305E-2</v>
      </c>
      <c r="E287">
        <v>1.7425006173777135E-2</v>
      </c>
      <c r="F287">
        <v>1.8825267161214736E-2</v>
      </c>
      <c r="G287">
        <v>0.3812660063606419</v>
      </c>
      <c r="H287">
        <v>1.4037907416709976</v>
      </c>
      <c r="I287">
        <v>0.53245071801228827</v>
      </c>
      <c r="J287">
        <v>1.7160587702538184</v>
      </c>
      <c r="K287">
        <v>0.2570583218465301</v>
      </c>
      <c r="L287">
        <v>1.2826670781846701</v>
      </c>
      <c r="M287">
        <v>6.343717422349517</v>
      </c>
    </row>
    <row r="288" spans="1:13">
      <c r="A288" t="s">
        <v>864</v>
      </c>
      <c r="B288" t="s">
        <v>677</v>
      </c>
      <c r="C288">
        <v>0</v>
      </c>
      <c r="D288">
        <v>2.191260080122991E-2</v>
      </c>
      <c r="E288">
        <v>6.070099472166636E-2</v>
      </c>
      <c r="F288">
        <v>6.2971382592592563E-3</v>
      </c>
      <c r="G288">
        <v>0.34028110087151026</v>
      </c>
      <c r="H288">
        <v>1.1567271861848485</v>
      </c>
      <c r="I288">
        <v>0.51978017327244053</v>
      </c>
      <c r="J288">
        <v>1.6546634873145756</v>
      </c>
      <c r="K288">
        <v>0.10327426034454286</v>
      </c>
      <c r="L288">
        <v>0.99485625758708784</v>
      </c>
      <c r="M288">
        <v>2.2430473752555771</v>
      </c>
    </row>
    <row r="289" spans="1:13">
      <c r="A289" t="s">
        <v>867</v>
      </c>
      <c r="B289" t="s">
        <v>677</v>
      </c>
      <c r="C289">
        <v>0</v>
      </c>
      <c r="D289">
        <v>2.6725562121851155E-2</v>
      </c>
      <c r="E289">
        <v>5.7879195144556791E-2</v>
      </c>
      <c r="F289">
        <v>1.9504100040288977E-2</v>
      </c>
      <c r="G289">
        <v>0.35322694506789581</v>
      </c>
      <c r="H289">
        <v>1.1805378760653789</v>
      </c>
      <c r="I289">
        <v>0.58319740952715515</v>
      </c>
      <c r="J289">
        <v>1.6056730350607784</v>
      </c>
      <c r="K289">
        <v>4.7140713187430371E-2</v>
      </c>
      <c r="L289">
        <v>1.1054844186695347</v>
      </c>
      <c r="M289">
        <v>4.4665358610718773</v>
      </c>
    </row>
    <row r="290" spans="1:13">
      <c r="A290" t="s">
        <v>870</v>
      </c>
      <c r="B290" t="s">
        <v>677</v>
      </c>
      <c r="C290">
        <v>0</v>
      </c>
      <c r="D290">
        <v>2.8420728868875349E-2</v>
      </c>
      <c r="E290">
        <v>5.1263015995990847E-2</v>
      </c>
      <c r="F290">
        <v>7.9380338774903567E-2</v>
      </c>
      <c r="G290">
        <v>0.29604843817657411</v>
      </c>
      <c r="H290">
        <v>1.1693713618660051</v>
      </c>
      <c r="I290">
        <v>0.67020289413651091</v>
      </c>
      <c r="J290">
        <v>1.4417295728900168</v>
      </c>
      <c r="K290">
        <v>0.11282166560130198</v>
      </c>
      <c r="L290">
        <v>1.129906636371794</v>
      </c>
      <c r="M290">
        <v>3.6073910796879143</v>
      </c>
    </row>
    <row r="291" spans="1:13">
      <c r="A291" t="s">
        <v>873</v>
      </c>
      <c r="B291" t="s">
        <v>677</v>
      </c>
      <c r="C291">
        <v>0</v>
      </c>
      <c r="D291">
        <v>3.2895471382745248E-2</v>
      </c>
      <c r="E291">
        <v>6.2247269565418976E-2</v>
      </c>
      <c r="F291">
        <v>1.5197376657395385E-2</v>
      </c>
      <c r="G291">
        <v>9.2788434213174106E-2</v>
      </c>
      <c r="H291">
        <v>1.1187300223406085</v>
      </c>
      <c r="I291">
        <v>0.85471605510999416</v>
      </c>
      <c r="J291">
        <v>1.1085605373368506</v>
      </c>
      <c r="K291">
        <v>9.1648437992039811E-2</v>
      </c>
      <c r="L291">
        <v>1.0600017185083348</v>
      </c>
      <c r="M291">
        <v>10.979904663165259</v>
      </c>
    </row>
    <row r="292" spans="1:13">
      <c r="A292" t="s">
        <v>876</v>
      </c>
      <c r="B292" t="s">
        <v>677</v>
      </c>
      <c r="C292">
        <v>0</v>
      </c>
      <c r="D292">
        <v>5.8706534626869443E-3</v>
      </c>
      <c r="E292">
        <v>1.5880364967497892E-2</v>
      </c>
      <c r="F292">
        <v>7.4591929697106265E-5</v>
      </c>
      <c r="G292">
        <v>0.14450109047259938</v>
      </c>
      <c r="H292">
        <v>1.2844951347647984</v>
      </c>
      <c r="I292">
        <v>0.77181373541059906</v>
      </c>
      <c r="J292">
        <v>1.1872227505717112</v>
      </c>
      <c r="K292">
        <v>0.19566502688127319</v>
      </c>
      <c r="L292">
        <v>1.1770019357598216</v>
      </c>
      <c r="M292">
        <v>20.506363330171432</v>
      </c>
    </row>
    <row r="293" spans="1:13">
      <c r="A293" t="s">
        <v>879</v>
      </c>
      <c r="B293" t="s">
        <v>677</v>
      </c>
      <c r="C293">
        <v>0</v>
      </c>
      <c r="D293">
        <v>1.2524152421316182E-2</v>
      </c>
      <c r="E293">
        <v>0.10550019841569674</v>
      </c>
      <c r="F293">
        <v>4.3234204860928764E-2</v>
      </c>
      <c r="G293">
        <v>0.23401300874702158</v>
      </c>
      <c r="H293">
        <v>1.6573997893673658</v>
      </c>
      <c r="I293">
        <v>0.4912196951740056</v>
      </c>
      <c r="J293">
        <v>1.4763917470046204</v>
      </c>
      <c r="K293">
        <v>0.2213481358342691</v>
      </c>
      <c r="L293">
        <v>1.2020005307210355</v>
      </c>
      <c r="M293">
        <v>2.5722812018252834</v>
      </c>
    </row>
    <row r="294" spans="1:13">
      <c r="A294" t="s">
        <v>882</v>
      </c>
      <c r="B294" t="s">
        <v>677</v>
      </c>
      <c r="C294">
        <v>0</v>
      </c>
      <c r="D294">
        <v>7.8271553474894913E-4</v>
      </c>
      <c r="E294">
        <v>6.691254742030904E-2</v>
      </c>
      <c r="F294">
        <v>3.7949829853945434E-3</v>
      </c>
      <c r="G294">
        <v>5.8787793499766712E-2</v>
      </c>
      <c r="H294">
        <v>1.045661328706869</v>
      </c>
      <c r="I294">
        <v>0.89534129990984368</v>
      </c>
      <c r="J294">
        <v>1.0656596467801569</v>
      </c>
      <c r="K294">
        <v>2.3964051225427521E-2</v>
      </c>
      <c r="L294">
        <v>0.99769589557257365</v>
      </c>
      <c r="M294">
        <v>3.3862261768654687</v>
      </c>
    </row>
    <row r="295" spans="1:13">
      <c r="A295" t="s">
        <v>885</v>
      </c>
      <c r="B295" t="s">
        <v>677</v>
      </c>
      <c r="C295">
        <v>0</v>
      </c>
      <c r="D295">
        <v>1.839305177857993E-2</v>
      </c>
      <c r="E295">
        <v>1.7490996745701416E-2</v>
      </c>
      <c r="F295">
        <v>5.9226259721337554E-3</v>
      </c>
      <c r="G295">
        <v>0.2632485717991665</v>
      </c>
      <c r="H295">
        <v>1.4608960007250062</v>
      </c>
      <c r="I295">
        <v>0.47303336886212011</v>
      </c>
      <c r="J295">
        <v>1.5565116313726661</v>
      </c>
      <c r="K295">
        <v>0.27433580906942778</v>
      </c>
      <c r="L295">
        <v>1.0756313425181201</v>
      </c>
      <c r="M295">
        <v>17.162683833374391</v>
      </c>
    </row>
    <row r="296" spans="1:13">
      <c r="A296" t="s">
        <v>888</v>
      </c>
      <c r="B296" t="s">
        <v>677</v>
      </c>
      <c r="C296">
        <v>0</v>
      </c>
      <c r="D296">
        <v>1.1954331810642063E-4</v>
      </c>
      <c r="E296">
        <v>1.0021128590490504E-2</v>
      </c>
      <c r="F296">
        <v>1.263602747683E-2</v>
      </c>
      <c r="G296">
        <v>1.521784406256191E-2</v>
      </c>
      <c r="H296">
        <v>1.0250008656178415</v>
      </c>
      <c r="I296">
        <v>0.97317904511304931</v>
      </c>
      <c r="J296">
        <v>1.0156372500404529</v>
      </c>
      <c r="K296">
        <v>2.348687652709272E-2</v>
      </c>
      <c r="L296">
        <v>1.0131076669789834</v>
      </c>
      <c r="M296">
        <v>146.50766072501503</v>
      </c>
    </row>
    <row r="297" spans="1:13">
      <c r="A297" t="s">
        <v>891</v>
      </c>
      <c r="B297" t="s">
        <v>677</v>
      </c>
      <c r="C297">
        <v>0</v>
      </c>
      <c r="D297">
        <v>5.9741060212315693E-4</v>
      </c>
      <c r="E297">
        <v>3.7213164473471116E-2</v>
      </c>
      <c r="F297">
        <v>5.3308666447238244E-2</v>
      </c>
      <c r="G297">
        <v>0.14754632844037824</v>
      </c>
      <c r="H297">
        <v>1.166824393111656</v>
      </c>
      <c r="I297">
        <v>0.67832378910114222</v>
      </c>
      <c r="J297">
        <v>1.2175160753773568</v>
      </c>
      <c r="K297">
        <v>0.10969748265755663</v>
      </c>
      <c r="L297">
        <v>0.96364539868943666</v>
      </c>
      <c r="M297">
        <v>22.09783375367309</v>
      </c>
    </row>
    <row r="298" spans="1:13">
      <c r="A298" t="s">
        <v>894</v>
      </c>
      <c r="B298" t="s">
        <v>677</v>
      </c>
      <c r="C298">
        <v>0</v>
      </c>
      <c r="D298">
        <v>5.2562512531719362E-2</v>
      </c>
      <c r="E298">
        <v>5.9280358650648173E-2</v>
      </c>
      <c r="F298">
        <v>3.8884147140663107E-2</v>
      </c>
      <c r="G298">
        <v>9.5682469031656545E-2</v>
      </c>
      <c r="H298">
        <v>1.2343775208251195</v>
      </c>
      <c r="I298">
        <v>0.79848155219109362</v>
      </c>
      <c r="J298">
        <v>1.1198305318001356</v>
      </c>
      <c r="K298">
        <v>0.11069739821515785</v>
      </c>
      <c r="L298">
        <v>1.1037359677279579</v>
      </c>
      <c r="M298">
        <v>23.57253145944566</v>
      </c>
    </row>
    <row r="299" spans="1:13">
      <c r="A299" t="s">
        <v>897</v>
      </c>
      <c r="B299" t="s">
        <v>677</v>
      </c>
      <c r="C299">
        <v>0</v>
      </c>
      <c r="D299">
        <v>1.2290924358537333E-2</v>
      </c>
      <c r="E299">
        <v>1.377828379380577E-2</v>
      </c>
      <c r="F299">
        <v>9.9377705419927253E-3</v>
      </c>
      <c r="G299">
        <v>5.4289742752303416E-2</v>
      </c>
      <c r="H299">
        <v>1.2406562449602636</v>
      </c>
      <c r="I299">
        <v>0.75914176902237473</v>
      </c>
      <c r="J299">
        <v>1.0715146300304592</v>
      </c>
      <c r="K299">
        <v>4.8362393157441563E-2</v>
      </c>
      <c r="L299">
        <v>1.0091888849307229</v>
      </c>
      <c r="M299">
        <v>51.755182211076722</v>
      </c>
    </row>
    <row r="300" spans="1:13">
      <c r="A300" t="s">
        <v>900</v>
      </c>
      <c r="B300" t="s">
        <v>677</v>
      </c>
      <c r="C300">
        <v>0</v>
      </c>
      <c r="D300">
        <v>6.8203213494417728E-2</v>
      </c>
      <c r="E300">
        <v>5.2731600014898912E-2</v>
      </c>
      <c r="F300">
        <v>2.535074381490653E-2</v>
      </c>
      <c r="G300">
        <v>0.28292845801159555</v>
      </c>
      <c r="H300">
        <v>1.2780994430575436</v>
      </c>
      <c r="I300">
        <v>0.63437552127885988</v>
      </c>
      <c r="J300">
        <v>1.4459952323526453</v>
      </c>
      <c r="K300">
        <v>0.11960633020504388</v>
      </c>
      <c r="L300">
        <v>1.1724057050455996</v>
      </c>
      <c r="M300">
        <v>7.3556015516919233</v>
      </c>
    </row>
    <row r="301" spans="1:13">
      <c r="A301" t="s">
        <v>903</v>
      </c>
      <c r="B301" t="s">
        <v>677</v>
      </c>
      <c r="C301">
        <v>0</v>
      </c>
      <c r="D301">
        <v>1.0233340390408562E-2</v>
      </c>
      <c r="E301">
        <v>1.8312517596560177E-2</v>
      </c>
      <c r="F301">
        <v>8.6080731796381402E-3</v>
      </c>
      <c r="G301">
        <v>0.10008316576628334</v>
      </c>
      <c r="H301">
        <v>1.1232125688399246</v>
      </c>
      <c r="I301">
        <v>0.85525473280391406</v>
      </c>
      <c r="J301">
        <v>1.1170214696598815</v>
      </c>
      <c r="K301">
        <v>3.5314408295263951E-2</v>
      </c>
      <c r="L301">
        <v>1.0730475351631668</v>
      </c>
      <c r="M301">
        <v>17.22365731771394</v>
      </c>
    </row>
    <row r="302" spans="1:13">
      <c r="A302" t="s">
        <v>906</v>
      </c>
      <c r="B302" t="s">
        <v>677</v>
      </c>
      <c r="C302">
        <v>0</v>
      </c>
      <c r="D302">
        <v>0.13080175669866451</v>
      </c>
      <c r="E302">
        <v>3.845316568968183E-2</v>
      </c>
      <c r="F302">
        <v>2.0358623901355535E-2</v>
      </c>
      <c r="G302">
        <v>8.9831629391345924E-2</v>
      </c>
      <c r="H302">
        <v>1.1358547026820462</v>
      </c>
      <c r="I302">
        <v>0.87319297079416869</v>
      </c>
      <c r="J302">
        <v>1.1028771788092204</v>
      </c>
      <c r="K302">
        <v>0.11284357931257855</v>
      </c>
      <c r="L302">
        <v>1.0938560209192143</v>
      </c>
      <c r="M302">
        <v>13.640101784436723</v>
      </c>
    </row>
    <row r="303" spans="1:13">
      <c r="A303" t="s">
        <v>909</v>
      </c>
      <c r="B303" t="s">
        <v>677</v>
      </c>
      <c r="C303">
        <v>0</v>
      </c>
      <c r="D303">
        <v>1.4863520246143423E-3</v>
      </c>
      <c r="E303">
        <v>1.7888157304160143E-2</v>
      </c>
      <c r="F303">
        <v>1.6682000859515281E-2</v>
      </c>
      <c r="G303">
        <v>0.15653082308151214</v>
      </c>
      <c r="H303">
        <v>1.1401496317758442</v>
      </c>
      <c r="I303">
        <v>0.77689589148262173</v>
      </c>
      <c r="J303">
        <v>1.2014823669395267</v>
      </c>
      <c r="K303">
        <v>7.8512987352021571E-2</v>
      </c>
      <c r="L303">
        <v>1.0642461249000332</v>
      </c>
      <c r="M303">
        <v>19.614215918131883</v>
      </c>
    </row>
    <row r="304" spans="1:13">
      <c r="A304" t="s">
        <v>912</v>
      </c>
      <c r="B304" t="s">
        <v>677</v>
      </c>
      <c r="C304">
        <v>0</v>
      </c>
      <c r="D304">
        <v>-5.8544447375114663E-3</v>
      </c>
      <c r="E304">
        <v>2.593069905354908E-2</v>
      </c>
      <c r="F304">
        <v>2.7448664452856496E-2</v>
      </c>
      <c r="G304">
        <v>0.15168681135655665</v>
      </c>
      <c r="H304">
        <v>1.2151149846707532</v>
      </c>
      <c r="I304">
        <v>0.75014056878036728</v>
      </c>
      <c r="J304">
        <v>1.202211182369699</v>
      </c>
      <c r="K304">
        <v>0.12084208473797053</v>
      </c>
      <c r="L304">
        <v>1.0958239631907438</v>
      </c>
      <c r="M304">
        <v>13.240726957067794</v>
      </c>
    </row>
    <row r="305" spans="1:13">
      <c r="A305" t="s">
        <v>915</v>
      </c>
      <c r="B305" t="s">
        <v>677</v>
      </c>
      <c r="C305">
        <v>0</v>
      </c>
      <c r="D305">
        <v>4.1966217524952075E-2</v>
      </c>
      <c r="E305">
        <v>2.8847283557005443E-2</v>
      </c>
      <c r="F305">
        <v>5.9500137083649159E-3</v>
      </c>
      <c r="G305">
        <v>4.0740365780516347E-2</v>
      </c>
      <c r="H305">
        <v>1.1337174875375959</v>
      </c>
      <c r="I305">
        <v>0.84113144077273172</v>
      </c>
      <c r="J305">
        <v>1.0484351955065296</v>
      </c>
      <c r="K305">
        <v>0.1019525371939238</v>
      </c>
      <c r="L305">
        <v>0.99979348885578923</v>
      </c>
      <c r="M305">
        <v>65.775268736233741</v>
      </c>
    </row>
    <row r="306" spans="1:13">
      <c r="A306" t="s">
        <v>918</v>
      </c>
      <c r="B306" t="s">
        <v>677</v>
      </c>
      <c r="C306">
        <v>0</v>
      </c>
      <c r="D306">
        <v>9.5297399872237662E-2</v>
      </c>
      <c r="E306">
        <v>9.6503799837980186E-2</v>
      </c>
      <c r="F306">
        <v>2.0463368232100859E-2</v>
      </c>
      <c r="G306">
        <v>0.31195116981952009</v>
      </c>
      <c r="H306">
        <v>1.6499224658395362</v>
      </c>
      <c r="I306">
        <v>0.50172336325632438</v>
      </c>
      <c r="J306">
        <v>1.6217593053567807</v>
      </c>
      <c r="K306">
        <v>0.29672393956657256</v>
      </c>
      <c r="L306">
        <v>1.3424998920033306</v>
      </c>
      <c r="M306">
        <v>6.2984889602352379</v>
      </c>
    </row>
    <row r="307" spans="1:13">
      <c r="A307" t="s">
        <v>921</v>
      </c>
      <c r="B307" t="s">
        <v>677</v>
      </c>
      <c r="C307">
        <v>0</v>
      </c>
      <c r="D307">
        <v>8.6096394024256454E-3</v>
      </c>
      <c r="E307">
        <v>6.0766010532197261E-2</v>
      </c>
      <c r="F307">
        <v>4.380418012779148E-3</v>
      </c>
      <c r="G307">
        <v>0.1585613414123396</v>
      </c>
      <c r="H307">
        <v>1.701669664470379</v>
      </c>
      <c r="I307">
        <v>0.47288505594176733</v>
      </c>
      <c r="J307">
        <v>1.3353063063000776</v>
      </c>
      <c r="K307">
        <v>0.10257282107298472</v>
      </c>
      <c r="L307">
        <v>1.0745131791165927</v>
      </c>
      <c r="M307">
        <v>13.130236298404057</v>
      </c>
    </row>
    <row r="308" spans="1:13">
      <c r="A308" t="s">
        <v>924</v>
      </c>
      <c r="B308" t="s">
        <v>677</v>
      </c>
      <c r="C308">
        <v>0</v>
      </c>
      <c r="D308">
        <v>4.0273434782978422E-2</v>
      </c>
      <c r="E308">
        <v>3.4491802052533362E-2</v>
      </c>
      <c r="F308">
        <v>3.3180396177904067E-2</v>
      </c>
      <c r="G308">
        <v>0.11802232092438766</v>
      </c>
      <c r="H308">
        <v>1.1065715989806431</v>
      </c>
      <c r="I308">
        <v>0.78588070370009633</v>
      </c>
      <c r="J308">
        <v>1.1501784181348556</v>
      </c>
      <c r="K308">
        <v>8.1029425209605987E-2</v>
      </c>
      <c r="L308">
        <v>1.0002334152821548</v>
      </c>
      <c r="M308">
        <v>15.975249354463065</v>
      </c>
    </row>
    <row r="309" spans="1:13">
      <c r="A309" t="s">
        <v>927</v>
      </c>
      <c r="B309" t="s">
        <v>677</v>
      </c>
      <c r="C309">
        <v>0</v>
      </c>
      <c r="D309">
        <v>2.5547019948786359E-2</v>
      </c>
      <c r="E309">
        <v>2.8049844285053145E-2</v>
      </c>
      <c r="F309">
        <v>2.1838031839483397E-2</v>
      </c>
      <c r="G309">
        <v>0.33410218538488012</v>
      </c>
      <c r="H309">
        <v>1.3156631188513419</v>
      </c>
      <c r="I309">
        <v>0.65077865091201104</v>
      </c>
      <c r="J309">
        <v>1.5133883616444153</v>
      </c>
      <c r="K309">
        <v>0.10980698634851439</v>
      </c>
      <c r="L309">
        <v>1.2957713927792855</v>
      </c>
      <c r="M309">
        <v>6.6448552402576082</v>
      </c>
    </row>
    <row r="310" spans="1:13">
      <c r="A310" t="s">
        <v>930</v>
      </c>
      <c r="B310" t="s">
        <v>677</v>
      </c>
      <c r="C310">
        <v>0</v>
      </c>
      <c r="D310">
        <v>3.0681780926495174E-2</v>
      </c>
      <c r="E310">
        <v>5.2988822458721829E-2</v>
      </c>
      <c r="F310">
        <v>2.8546153561542005E-2</v>
      </c>
      <c r="G310">
        <v>0.13491851233030561</v>
      </c>
      <c r="H310">
        <v>1.1471487232410242</v>
      </c>
      <c r="I310">
        <v>0.82606481705929058</v>
      </c>
      <c r="J310">
        <v>1.1633267868865329</v>
      </c>
      <c r="K310">
        <v>4.0268178407605625E-2</v>
      </c>
      <c r="L310">
        <v>1.1023907993651838</v>
      </c>
      <c r="M310">
        <v>14.676840629856052</v>
      </c>
    </row>
    <row r="311" spans="1:13">
      <c r="A311" t="s">
        <v>933</v>
      </c>
      <c r="B311" t="s">
        <v>677</v>
      </c>
      <c r="C311">
        <v>0</v>
      </c>
      <c r="D311">
        <v>6.0421055236267319E-2</v>
      </c>
      <c r="E311">
        <v>8.475991850522438E-2</v>
      </c>
      <c r="F311">
        <v>2.2297506281007285E-2</v>
      </c>
      <c r="G311">
        <v>4.7965327346045153E-2</v>
      </c>
      <c r="H311">
        <v>1.3906255329164667</v>
      </c>
      <c r="I311">
        <v>0.58701722996616368</v>
      </c>
      <c r="J311">
        <v>1.0817102546526784</v>
      </c>
      <c r="K311">
        <v>0.21787842716154071</v>
      </c>
      <c r="L311">
        <v>0.88302295715495127</v>
      </c>
      <c r="M311">
        <v>30.460004860168894</v>
      </c>
    </row>
    <row r="312" spans="1:13">
      <c r="A312" t="s">
        <v>936</v>
      </c>
      <c r="B312" t="s">
        <v>677</v>
      </c>
      <c r="C312">
        <v>0</v>
      </c>
      <c r="D312">
        <v>7.4116584803903818E-2</v>
      </c>
      <c r="E312">
        <v>8.2495097228946559E-2</v>
      </c>
      <c r="F312">
        <v>3.3084914652864589E-2</v>
      </c>
      <c r="G312">
        <v>0.21132501826674849</v>
      </c>
      <c r="H312">
        <v>1.3204203423681404</v>
      </c>
      <c r="I312">
        <v>0.66335799992135458</v>
      </c>
      <c r="J312">
        <v>1.3185685833167045</v>
      </c>
      <c r="K312">
        <v>0.23466873400230634</v>
      </c>
      <c r="L312">
        <v>1.1549492503395336</v>
      </c>
      <c r="M312">
        <v>6.2700297506355822</v>
      </c>
    </row>
    <row r="313" spans="1:13">
      <c r="A313" t="s">
        <v>939</v>
      </c>
      <c r="B313" t="s">
        <v>677</v>
      </c>
      <c r="C313">
        <v>0</v>
      </c>
      <c r="D313">
        <v>7.954836718003265E-2</v>
      </c>
      <c r="E313">
        <v>5.733619724919678E-2</v>
      </c>
      <c r="F313">
        <v>8.054827169179192E-3</v>
      </c>
      <c r="G313">
        <v>0.32180446522900313</v>
      </c>
      <c r="H313">
        <v>1.7689076020423167</v>
      </c>
      <c r="I313">
        <v>0.56532065261375786</v>
      </c>
      <c r="J313">
        <v>1.569242364914746</v>
      </c>
      <c r="K313">
        <v>0.41432311774214359</v>
      </c>
      <c r="L313">
        <v>1.569242364914746</v>
      </c>
      <c r="M313">
        <v>7.5314569716479429</v>
      </c>
    </row>
    <row r="314" spans="1:13">
      <c r="A314" t="s">
        <v>942</v>
      </c>
      <c r="B314" t="s">
        <v>677</v>
      </c>
      <c r="C314">
        <v>0</v>
      </c>
      <c r="D314">
        <v>2.6057314906258847E-2</v>
      </c>
      <c r="E314">
        <v>4.2629035898766807E-2</v>
      </c>
      <c r="F314">
        <v>1.8698247138596417E-2</v>
      </c>
      <c r="G314">
        <v>0.19062182068121336</v>
      </c>
      <c r="H314">
        <v>1.2292128166426661</v>
      </c>
      <c r="I314">
        <v>0.69189763374568014</v>
      </c>
      <c r="J314">
        <v>1.2755058138430921</v>
      </c>
      <c r="K314">
        <v>0.14552215729847426</v>
      </c>
      <c r="L314">
        <v>1.0848042243180307</v>
      </c>
      <c r="M314">
        <v>9.2493763490024943</v>
      </c>
    </row>
    <row r="315" spans="1:13">
      <c r="A315" t="s">
        <v>945</v>
      </c>
      <c r="B315" t="s">
        <v>677</v>
      </c>
      <c r="C315">
        <v>0</v>
      </c>
      <c r="D315">
        <v>1.4487819530838759E-2</v>
      </c>
      <c r="E315">
        <v>3.3428978567066371E-2</v>
      </c>
      <c r="F315">
        <v>6.1931205525306956E-3</v>
      </c>
      <c r="G315">
        <v>7.270622905716595E-2</v>
      </c>
      <c r="H315">
        <v>1.1345584954124448</v>
      </c>
      <c r="I315">
        <v>0.74924454706879462</v>
      </c>
      <c r="J315">
        <v>1.0970393836586578</v>
      </c>
      <c r="K315">
        <v>8.0966807076987127E-2</v>
      </c>
      <c r="L315">
        <v>0.93255123586456101</v>
      </c>
      <c r="M315">
        <v>17.694394416186725</v>
      </c>
    </row>
    <row r="316" spans="1:13">
      <c r="A316" t="s">
        <v>948</v>
      </c>
      <c r="B316" t="s">
        <v>677</v>
      </c>
      <c r="C316">
        <v>0</v>
      </c>
      <c r="D316">
        <v>0.18329995961788612</v>
      </c>
      <c r="E316">
        <v>1.6472457467884834E-2</v>
      </c>
      <c r="F316">
        <v>8.5761453190469628E-3</v>
      </c>
      <c r="G316">
        <v>0.55369274342047825</v>
      </c>
      <c r="H316">
        <v>1.8787561548549054</v>
      </c>
      <c r="I316">
        <v>0.38526267564112748</v>
      </c>
      <c r="J316">
        <v>2.4371824171626826</v>
      </c>
      <c r="K316">
        <v>0.42086571958047242</v>
      </c>
      <c r="L316">
        <v>1.7640682726963588</v>
      </c>
      <c r="M316">
        <v>4.7148305411326552</v>
      </c>
    </row>
    <row r="317" spans="1:13">
      <c r="A317" t="s">
        <v>951</v>
      </c>
      <c r="B317" t="s">
        <v>677</v>
      </c>
      <c r="C317">
        <v>0</v>
      </c>
      <c r="D317">
        <v>2.5498106384292681E-2</v>
      </c>
      <c r="E317">
        <v>5.1177784778983576E-2</v>
      </c>
      <c r="F317">
        <v>1.4028751701894568E-2</v>
      </c>
      <c r="G317">
        <v>0.26851077637498538</v>
      </c>
      <c r="H317">
        <v>1.4641975691292701</v>
      </c>
      <c r="I317">
        <v>0.62714840282966966</v>
      </c>
      <c r="J317">
        <v>1.428145515739935</v>
      </c>
      <c r="K317">
        <v>0.20514319359069461</v>
      </c>
      <c r="L317">
        <v>1.3114219929597735</v>
      </c>
      <c r="M317">
        <v>5.9554935376769871</v>
      </c>
    </row>
    <row r="318" spans="1:13">
      <c r="A318" t="s">
        <v>954</v>
      </c>
      <c r="B318" t="s">
        <v>677</v>
      </c>
      <c r="C318">
        <v>0</v>
      </c>
      <c r="D318">
        <v>5.4756100128916331E-2</v>
      </c>
      <c r="E318">
        <v>0.10881321760257438</v>
      </c>
      <c r="F318">
        <v>3.2257007095783982E-2</v>
      </c>
      <c r="G318">
        <v>0.43490898855535098</v>
      </c>
      <c r="H318">
        <v>1.7255794192230818</v>
      </c>
      <c r="I318">
        <v>0.37069535816408661</v>
      </c>
      <c r="J318">
        <v>2.1732248030007444</v>
      </c>
      <c r="K318">
        <v>0.38445685498017651</v>
      </c>
      <c r="L318">
        <v>1.3901342807357173</v>
      </c>
      <c r="M318">
        <v>3.4526374688840162</v>
      </c>
    </row>
    <row r="319" spans="1:13">
      <c r="A319" t="s">
        <v>957</v>
      </c>
      <c r="B319" t="s">
        <v>677</v>
      </c>
      <c r="C319">
        <v>0</v>
      </c>
      <c r="D319">
        <v>8.5836112827457997E-2</v>
      </c>
      <c r="E319">
        <v>8.277515873548158E-2</v>
      </c>
      <c r="F319">
        <v>8.7850021066907275E-3</v>
      </c>
      <c r="G319">
        <v>0.44372516254942213</v>
      </c>
      <c r="H319">
        <v>1.8126764589131763</v>
      </c>
      <c r="I319">
        <v>0.47743141577260267</v>
      </c>
      <c r="J319">
        <v>1.9294008477246194</v>
      </c>
      <c r="K319">
        <v>0.3651016755483199</v>
      </c>
      <c r="L319">
        <v>1.6697588444973459</v>
      </c>
      <c r="M319">
        <v>3.6845546438475378</v>
      </c>
    </row>
    <row r="320" spans="1:13">
      <c r="A320" t="s">
        <v>960</v>
      </c>
      <c r="B320" t="s">
        <v>677</v>
      </c>
      <c r="C320">
        <v>0</v>
      </c>
      <c r="D320">
        <v>4.1052661238060353E-2</v>
      </c>
      <c r="E320">
        <v>6.4595810253875799E-2</v>
      </c>
      <c r="F320">
        <v>1.529474004029186E-2</v>
      </c>
      <c r="G320">
        <v>0.13142939645014506</v>
      </c>
      <c r="H320">
        <v>1.213123997834928</v>
      </c>
      <c r="I320">
        <v>0.63159908032272538</v>
      </c>
      <c r="J320">
        <v>1.2080899110603345</v>
      </c>
      <c r="K320">
        <v>7.339658055171322E-2</v>
      </c>
      <c r="L320">
        <v>0.92564815620460006</v>
      </c>
      <c r="M320">
        <v>12.19411803616399</v>
      </c>
    </row>
    <row r="321" spans="1:13">
      <c r="A321" t="s">
        <v>963</v>
      </c>
      <c r="B321" t="s">
        <v>677</v>
      </c>
      <c r="C321">
        <v>0</v>
      </c>
      <c r="D321">
        <v>1.7024429877865416E-2</v>
      </c>
      <c r="E321">
        <v>7.7387247772524634E-2</v>
      </c>
      <c r="F321">
        <v>5.3348398116487158E-2</v>
      </c>
      <c r="G321">
        <v>0.29596589847795879</v>
      </c>
      <c r="H321">
        <v>1.2411245165696125</v>
      </c>
      <c r="I321">
        <v>0.64944824227386033</v>
      </c>
      <c r="J321">
        <v>1.4557189922351892</v>
      </c>
      <c r="K321">
        <v>0.19088453357157062</v>
      </c>
      <c r="L321">
        <v>1.173376668398677</v>
      </c>
      <c r="M321">
        <v>3.7615799396434424</v>
      </c>
    </row>
    <row r="322" spans="1:13">
      <c r="A322" t="s">
        <v>966</v>
      </c>
      <c r="B322" t="s">
        <v>677</v>
      </c>
      <c r="C322">
        <v>0</v>
      </c>
      <c r="D322">
        <v>-1.4927717688324602E-2</v>
      </c>
      <c r="E322">
        <v>5.2343693308371922E-2</v>
      </c>
      <c r="F322">
        <v>3.2547546004254191E-2</v>
      </c>
      <c r="G322">
        <v>-3.7616738180897356E-2</v>
      </c>
      <c r="H322">
        <v>1.0584302497924984</v>
      </c>
      <c r="I322">
        <v>0.73597128850478277</v>
      </c>
      <c r="J322">
        <v>0.94888830750813613</v>
      </c>
      <c r="K322">
        <v>3.1034589393177346E-2</v>
      </c>
      <c r="L322">
        <v>0.73915958114303792</v>
      </c>
      <c r="M322">
        <v>-39.864736584949704</v>
      </c>
    </row>
    <row r="323" spans="1:13">
      <c r="A323" t="s">
        <v>969</v>
      </c>
      <c r="B323" t="s">
        <v>677</v>
      </c>
      <c r="C323">
        <v>0</v>
      </c>
      <c r="D323">
        <v>2.3073902333015477E-2</v>
      </c>
      <c r="E323">
        <v>0.24849802454330958</v>
      </c>
      <c r="F323">
        <v>3.3573307760366725E-2</v>
      </c>
      <c r="G323">
        <v>0.25006718340326228</v>
      </c>
      <c r="H323">
        <v>1.1684210943072366</v>
      </c>
      <c r="I323">
        <v>0.73155388760575035</v>
      </c>
      <c r="J323">
        <v>1.3418301613045747</v>
      </c>
      <c r="K323">
        <v>0.10453476894252671</v>
      </c>
      <c r="L323">
        <v>1.1469467659833921</v>
      </c>
      <c r="M323">
        <v>5.3246962119522285</v>
      </c>
    </row>
    <row r="324" spans="1:13">
      <c r="A324" t="s">
        <v>972</v>
      </c>
      <c r="B324" t="s">
        <v>677</v>
      </c>
      <c r="C324">
        <v>0</v>
      </c>
      <c r="D324">
        <v>1.8333297268542072E-2</v>
      </c>
      <c r="E324">
        <v>2.6730105881941066E-2</v>
      </c>
      <c r="F324">
        <v>1.0345676205831758E-2</v>
      </c>
      <c r="G324">
        <v>7.5183137443508616E-2</v>
      </c>
      <c r="H324">
        <v>1.0964512975707295</v>
      </c>
      <c r="I324">
        <v>0.86254138727358731</v>
      </c>
      <c r="J324">
        <v>1.0871646723888295</v>
      </c>
      <c r="K324">
        <v>6.1344187100287377E-2</v>
      </c>
      <c r="L324">
        <v>1.0281692718899553</v>
      </c>
      <c r="M324">
        <v>26.879805023499742</v>
      </c>
    </row>
    <row r="325" spans="1:13">
      <c r="A325" t="s">
        <v>975</v>
      </c>
      <c r="B325" t="s">
        <v>677</v>
      </c>
      <c r="C325">
        <v>0</v>
      </c>
      <c r="D325">
        <v>1.2588851991107939E-2</v>
      </c>
      <c r="E325">
        <v>1.7041681635702289E-2</v>
      </c>
      <c r="F325">
        <v>4.4048016068161571E-3</v>
      </c>
      <c r="G325">
        <v>9.4464942852402076E-2</v>
      </c>
      <c r="H325">
        <v>1.1099172720909232</v>
      </c>
      <c r="I325">
        <v>0.89835773488398463</v>
      </c>
      <c r="J325">
        <v>1.105152924257508</v>
      </c>
      <c r="K325">
        <v>8.1776530751032528E-2</v>
      </c>
      <c r="L325">
        <v>1.1019510381431761</v>
      </c>
      <c r="M325">
        <v>18.31676995761573</v>
      </c>
    </row>
    <row r="326" spans="1:13">
      <c r="A326" t="s">
        <v>978</v>
      </c>
      <c r="B326" t="s">
        <v>677</v>
      </c>
      <c r="C326">
        <v>0</v>
      </c>
      <c r="D326">
        <v>2.4183991949475757E-2</v>
      </c>
      <c r="E326">
        <v>2.5892308884575301E-2</v>
      </c>
      <c r="F326">
        <v>2.5263468041526447E-3</v>
      </c>
      <c r="G326">
        <v>0.18183284930622784</v>
      </c>
      <c r="H326">
        <v>1.209631778981981</v>
      </c>
      <c r="I326">
        <v>0.80404675150612015</v>
      </c>
      <c r="J326">
        <v>1.226147110184356</v>
      </c>
      <c r="K326">
        <v>0.1538054192455123</v>
      </c>
      <c r="L326">
        <v>1.192551295392686</v>
      </c>
      <c r="M326">
        <v>8.3289541135656471</v>
      </c>
    </row>
    <row r="327" spans="1:13">
      <c r="A327" t="s">
        <v>981</v>
      </c>
      <c r="B327" t="s">
        <v>677</v>
      </c>
      <c r="C327">
        <v>0</v>
      </c>
      <c r="D327">
        <v>9.4503485659166747E-2</v>
      </c>
      <c r="E327">
        <v>6.2232735818927749E-2</v>
      </c>
      <c r="F327">
        <v>6.1761478192073091E-4</v>
      </c>
      <c r="G327">
        <v>0.24761651113281216</v>
      </c>
      <c r="H327">
        <v>1.8981383657565689</v>
      </c>
      <c r="I327">
        <v>0.51893518059160315</v>
      </c>
      <c r="J327">
        <v>1.477162698529171</v>
      </c>
      <c r="K327">
        <v>0.40576145441126044</v>
      </c>
      <c r="L327">
        <v>1.4550211753977149</v>
      </c>
      <c r="M327">
        <v>8.5847352178222707</v>
      </c>
    </row>
    <row r="328" spans="1:13">
      <c r="A328" t="s">
        <v>984</v>
      </c>
      <c r="B328" t="s">
        <v>677</v>
      </c>
      <c r="C328">
        <v>0</v>
      </c>
      <c r="D328">
        <v>9.3866097722880126E-2</v>
      </c>
      <c r="E328">
        <v>8.46325475249773E-2</v>
      </c>
      <c r="F328">
        <v>2.113125868842693E-2</v>
      </c>
      <c r="G328">
        <v>0.41224486833619844</v>
      </c>
      <c r="H328">
        <v>1.3301372104825719</v>
      </c>
      <c r="I328">
        <v>0.40807414949200044</v>
      </c>
      <c r="J328">
        <v>2.0102204926467162</v>
      </c>
      <c r="K328">
        <v>0.21482381581375676</v>
      </c>
      <c r="L328">
        <v>1.0911368500798033</v>
      </c>
      <c r="M328">
        <v>3.9982369703051472</v>
      </c>
    </row>
    <row r="329" spans="1:13">
      <c r="A329" t="s">
        <v>987</v>
      </c>
      <c r="B329" t="s">
        <v>677</v>
      </c>
      <c r="C329">
        <v>0</v>
      </c>
      <c r="D329">
        <v>3.9419483432435759E-2</v>
      </c>
      <c r="E329">
        <v>5.6563510224837445E-2</v>
      </c>
      <c r="F329">
        <v>2.6825137437460806E-2</v>
      </c>
      <c r="G329">
        <v>0.20639918606482294</v>
      </c>
      <c r="H329">
        <v>1.1688595920609453</v>
      </c>
      <c r="I329">
        <v>0.70628788009956522</v>
      </c>
      <c r="J329">
        <v>1.2922309611708569</v>
      </c>
      <c r="K329">
        <v>0.12151643247067086</v>
      </c>
      <c r="L329">
        <v>1.0668030318362076</v>
      </c>
      <c r="M329">
        <v>9.457952511824109</v>
      </c>
    </row>
    <row r="330" spans="1:13">
      <c r="A330" t="s">
        <v>990</v>
      </c>
      <c r="B330" t="s">
        <v>677</v>
      </c>
      <c r="C330">
        <v>0</v>
      </c>
      <c r="D330">
        <v>4.6398091022476197E-2</v>
      </c>
      <c r="E330">
        <v>4.6280401116391034E-2</v>
      </c>
      <c r="F330">
        <v>2.0308484748781776E-3</v>
      </c>
      <c r="G330">
        <v>0.26186958205368405</v>
      </c>
      <c r="H330">
        <v>1.4250131702402016</v>
      </c>
      <c r="I330">
        <v>0.59166954799616989</v>
      </c>
      <c r="J330">
        <v>1.442594321341309</v>
      </c>
      <c r="K330">
        <v>0.1378276490385133</v>
      </c>
      <c r="L330">
        <v>1.2163045016364058</v>
      </c>
      <c r="M330">
        <v>7.2069370922448082</v>
      </c>
    </row>
    <row r="331" spans="1:13">
      <c r="A331" t="s">
        <v>993</v>
      </c>
      <c r="B331" t="s">
        <v>677</v>
      </c>
      <c r="C331">
        <v>0</v>
      </c>
      <c r="D331">
        <v>-9.4767280189581339E-3</v>
      </c>
      <c r="E331">
        <v>1.0075653260658715E-2</v>
      </c>
      <c r="F331">
        <v>9.7108548733927241E-3</v>
      </c>
      <c r="G331">
        <v>0.1654511349212916</v>
      </c>
      <c r="H331">
        <v>1.1665787143172615</v>
      </c>
      <c r="I331">
        <v>0.54814497079757518</v>
      </c>
      <c r="J331">
        <v>1.3018382795349794</v>
      </c>
      <c r="K331">
        <v>4.733587394169507E-2</v>
      </c>
      <c r="L331">
        <v>0.83246602755132015</v>
      </c>
      <c r="M331">
        <v>11.127292671707105</v>
      </c>
    </row>
    <row r="332" spans="1:13">
      <c r="A332" t="s">
        <v>996</v>
      </c>
      <c r="B332" t="s">
        <v>677</v>
      </c>
      <c r="C332">
        <v>0</v>
      </c>
      <c r="D332">
        <v>7.8635539013494127E-2</v>
      </c>
      <c r="E332">
        <v>6.1856502474564215E-2</v>
      </c>
      <c r="F332">
        <v>5.7581488880128637E-5</v>
      </c>
      <c r="G332">
        <v>0.37823917944569435</v>
      </c>
      <c r="H332">
        <v>1.6603055604762269</v>
      </c>
      <c r="I332">
        <v>0.60229877186773328</v>
      </c>
      <c r="J332">
        <v>1.6279926128236515</v>
      </c>
      <c r="K332">
        <v>0.37298252333029308</v>
      </c>
      <c r="L332">
        <v>1.6279926128236515</v>
      </c>
      <c r="M332">
        <v>4.9146202708178741</v>
      </c>
    </row>
    <row r="333" spans="1:13">
      <c r="A333" t="s">
        <v>999</v>
      </c>
      <c r="B333" t="s">
        <v>677</v>
      </c>
      <c r="C333">
        <v>0</v>
      </c>
      <c r="D333">
        <v>3.3177032906140019E-2</v>
      </c>
      <c r="E333">
        <v>3.2608246729390694E-2</v>
      </c>
      <c r="F333">
        <v>2.456001007858419E-3</v>
      </c>
      <c r="G333">
        <v>0.53332611662060492</v>
      </c>
      <c r="H333">
        <v>2.2246396933246508</v>
      </c>
      <c r="I333">
        <v>0.44951099407272238</v>
      </c>
      <c r="J333">
        <v>2.1864584485208893</v>
      </c>
      <c r="K333">
        <v>0.36851628068299558</v>
      </c>
      <c r="L333">
        <v>2.1864584485208893</v>
      </c>
      <c r="M333">
        <v>3.1927461390294583</v>
      </c>
    </row>
    <row r="334" spans="1:13">
      <c r="A334" t="s">
        <v>1002</v>
      </c>
      <c r="B334" t="s">
        <v>677</v>
      </c>
      <c r="C334">
        <v>0</v>
      </c>
      <c r="D334">
        <v>1.7220964193870193E-2</v>
      </c>
      <c r="E334">
        <v>2.314114868372007E-2</v>
      </c>
      <c r="F334">
        <v>9.7552224458123118E-4</v>
      </c>
      <c r="G334">
        <v>0.40603307151352719</v>
      </c>
      <c r="H334">
        <v>1.8293072279886688</v>
      </c>
      <c r="I334">
        <v>0.53397196104448985</v>
      </c>
      <c r="J334">
        <v>1.7604014838518778</v>
      </c>
      <c r="K334">
        <v>0.24856776909921602</v>
      </c>
      <c r="L334">
        <v>1.7195580004041047</v>
      </c>
      <c r="M334">
        <v>4.1371388629169843</v>
      </c>
    </row>
    <row r="335" spans="1:13">
      <c r="A335" t="s">
        <v>1005</v>
      </c>
      <c r="B335" t="s">
        <v>677</v>
      </c>
      <c r="C335">
        <v>0</v>
      </c>
      <c r="D335">
        <v>3.0896216266778916E-2</v>
      </c>
      <c r="E335">
        <v>6.6245108594228982E-2</v>
      </c>
      <c r="F335">
        <v>3.8495727337862135E-2</v>
      </c>
      <c r="G335">
        <v>0.10269325642461538</v>
      </c>
      <c r="H335">
        <v>1.4603425519506432</v>
      </c>
      <c r="I335">
        <v>0.54541970750865898</v>
      </c>
      <c r="J335">
        <v>1.1882829956652878</v>
      </c>
      <c r="K335">
        <v>0.10183036042704156</v>
      </c>
      <c r="L335">
        <v>0.94646693970261309</v>
      </c>
      <c r="M335">
        <v>16.196755164398184</v>
      </c>
    </row>
    <row r="336" spans="1:13">
      <c r="A336" t="s">
        <v>1008</v>
      </c>
      <c r="B336" t="s">
        <v>677</v>
      </c>
      <c r="C336">
        <v>0</v>
      </c>
      <c r="D336">
        <v>7.7517755324514867E-2</v>
      </c>
      <c r="E336">
        <v>7.6800721518468423E-2</v>
      </c>
      <c r="F336">
        <v>3.2505795294552664E-2</v>
      </c>
      <c r="G336">
        <v>0.2632741860545712</v>
      </c>
      <c r="H336">
        <v>1.2349317582790387</v>
      </c>
      <c r="I336">
        <v>0.43531869344969504</v>
      </c>
      <c r="J336">
        <v>1.6047849311690421</v>
      </c>
      <c r="K336">
        <v>8.0634222773087627E-2</v>
      </c>
      <c r="L336">
        <v>0.86271453300742007</v>
      </c>
      <c r="M336">
        <v>4.5684517280017287</v>
      </c>
    </row>
    <row r="337" spans="1:13">
      <c r="A337" t="s">
        <v>1011</v>
      </c>
      <c r="B337" t="s">
        <v>677</v>
      </c>
      <c r="C337">
        <v>0</v>
      </c>
      <c r="D337">
        <v>4.0689432945676439E-3</v>
      </c>
      <c r="E337">
        <v>2.0013646932293419E-2</v>
      </c>
      <c r="F337">
        <v>2.2009630869659978E-2</v>
      </c>
      <c r="G337">
        <v>0.20280625030429567</v>
      </c>
      <c r="H337">
        <v>1.3042245629762437</v>
      </c>
      <c r="I337">
        <v>0.72536565597550751</v>
      </c>
      <c r="J337">
        <v>1.2795917460850166</v>
      </c>
      <c r="K337">
        <v>0.12400584820444085</v>
      </c>
      <c r="L337">
        <v>1.2105445988346031</v>
      </c>
      <c r="M337">
        <v>14.600826822663839</v>
      </c>
    </row>
    <row r="338" spans="1:13">
      <c r="A338" t="s">
        <v>1014</v>
      </c>
      <c r="B338" t="s">
        <v>677</v>
      </c>
      <c r="C338">
        <v>0</v>
      </c>
      <c r="D338">
        <v>5.9294131076731774E-2</v>
      </c>
      <c r="E338">
        <v>5.8114638981367775E-2</v>
      </c>
      <c r="F338">
        <v>2.0172217096898469E-3</v>
      </c>
      <c r="G338">
        <v>0.22741992765449759</v>
      </c>
      <c r="H338">
        <v>1.2637812563597841</v>
      </c>
      <c r="I338">
        <v>0.71278528179632261</v>
      </c>
      <c r="J338">
        <v>1.3190581139405211</v>
      </c>
      <c r="K338">
        <v>0.15736466456430159</v>
      </c>
      <c r="L338">
        <v>1.1882137208357717</v>
      </c>
      <c r="M338">
        <v>5.9990024959637083</v>
      </c>
    </row>
    <row r="339" spans="1:13">
      <c r="A339" t="s">
        <v>1017</v>
      </c>
      <c r="B339" t="s">
        <v>677</v>
      </c>
      <c r="C339">
        <v>0</v>
      </c>
      <c r="D339">
        <v>7.6159789271728923E-2</v>
      </c>
      <c r="E339">
        <v>0.12092374622177371</v>
      </c>
      <c r="F339">
        <v>7.1036933187339328E-3</v>
      </c>
      <c r="G339">
        <v>0.13322029727401916</v>
      </c>
      <c r="H339">
        <v>1.6761163275999296</v>
      </c>
      <c r="I339">
        <v>0.47320518072924483</v>
      </c>
      <c r="J339">
        <v>1.2815275544293843</v>
      </c>
      <c r="K339">
        <v>0.36460429942657185</v>
      </c>
      <c r="L339">
        <v>1.0164396451538626</v>
      </c>
      <c r="M339">
        <v>8.2166795225722637</v>
      </c>
    </row>
    <row r="340" spans="1:13">
      <c r="A340" t="s">
        <v>1020</v>
      </c>
      <c r="B340" t="s">
        <v>677</v>
      </c>
      <c r="C340">
        <v>0</v>
      </c>
      <c r="D340">
        <v>2.2924904346296394E-2</v>
      </c>
      <c r="E340">
        <v>4.4573838558196431E-2</v>
      </c>
      <c r="F340">
        <v>1.6705202068402331E-2</v>
      </c>
      <c r="G340">
        <v>0.33882813307326654</v>
      </c>
      <c r="H340">
        <v>1.3689627752017404</v>
      </c>
      <c r="I340">
        <v>0.50758039358788876</v>
      </c>
      <c r="J340">
        <v>1.6675358964876914</v>
      </c>
      <c r="K340">
        <v>9.7460876950501193E-2</v>
      </c>
      <c r="L340">
        <v>1.1587017656124716</v>
      </c>
      <c r="M340">
        <v>4.6614787290188149</v>
      </c>
    </row>
    <row r="341" spans="1:13">
      <c r="A341" t="s">
        <v>1023</v>
      </c>
      <c r="B341" t="s">
        <v>677</v>
      </c>
      <c r="C341">
        <v>0</v>
      </c>
      <c r="D341">
        <v>1.4142711925313878E-2</v>
      </c>
      <c r="E341">
        <v>4.0185323878124443E-2</v>
      </c>
      <c r="F341">
        <v>7.3103753136619974E-3</v>
      </c>
      <c r="G341">
        <v>0.1177523168084106</v>
      </c>
      <c r="H341">
        <v>1.2286389413583909</v>
      </c>
      <c r="I341">
        <v>0.8043679275434702</v>
      </c>
      <c r="J341">
        <v>1.1463911137879712</v>
      </c>
      <c r="K341">
        <v>0.12026386991786042</v>
      </c>
      <c r="L341">
        <v>1.1329528408256357</v>
      </c>
      <c r="M341">
        <v>11.504632260661598</v>
      </c>
    </row>
    <row r="342" spans="1:13">
      <c r="A342" t="s">
        <v>1026</v>
      </c>
      <c r="B342" t="s">
        <v>677</v>
      </c>
      <c r="C342">
        <v>0</v>
      </c>
      <c r="D342">
        <v>4.9173982498443153E-2</v>
      </c>
      <c r="E342">
        <v>3.6012138905843025E-2</v>
      </c>
      <c r="F342">
        <v>5.3458631726320961E-4</v>
      </c>
      <c r="G342">
        <v>0.27811185679023281</v>
      </c>
      <c r="H342">
        <v>1.0731301511091038</v>
      </c>
      <c r="I342">
        <v>0.68366532050666795</v>
      </c>
      <c r="J342">
        <v>1.4067953257949706</v>
      </c>
      <c r="K342">
        <v>4.9042552929682216E-2</v>
      </c>
      <c r="L342">
        <v>1.0321120876059107</v>
      </c>
      <c r="M342">
        <v>8.5792608061800788</v>
      </c>
    </row>
    <row r="343" spans="1:13">
      <c r="A343" t="s">
        <v>1029</v>
      </c>
      <c r="B343" t="s">
        <v>677</v>
      </c>
      <c r="C343">
        <v>0</v>
      </c>
      <c r="D343">
        <v>4.195489404767503E-2</v>
      </c>
      <c r="E343">
        <v>2.7193412609780716E-2</v>
      </c>
      <c r="F343">
        <v>3.0140430222779934E-3</v>
      </c>
      <c r="G343">
        <v>0.23987460275889566</v>
      </c>
      <c r="H343">
        <v>1.3797669205860208</v>
      </c>
      <c r="I343">
        <v>0.68099301481079011</v>
      </c>
      <c r="J343">
        <v>1.3522423836102686</v>
      </c>
      <c r="K343">
        <v>0.27519925574704779</v>
      </c>
      <c r="L343">
        <v>1.2705826769615107</v>
      </c>
      <c r="M343">
        <v>12.508076080721699</v>
      </c>
    </row>
    <row r="344" spans="1:13">
      <c r="A344" t="s">
        <v>1032</v>
      </c>
      <c r="B344" t="s">
        <v>677</v>
      </c>
      <c r="C344">
        <v>0</v>
      </c>
      <c r="D344">
        <v>1.3725275117149641E-2</v>
      </c>
      <c r="E344">
        <v>5.6585141602914939E-2</v>
      </c>
      <c r="F344">
        <v>2.3311789614441719E-2</v>
      </c>
      <c r="G344">
        <v>0.37137438818031832</v>
      </c>
      <c r="H344">
        <v>2.2007287788533136</v>
      </c>
      <c r="I344">
        <v>0.44553118403629066</v>
      </c>
      <c r="J344">
        <v>1.833554196624019</v>
      </c>
      <c r="K344">
        <v>0.32411164818396393</v>
      </c>
      <c r="L344">
        <v>1.7977876023827251</v>
      </c>
      <c r="M344">
        <v>4.3500303495839319</v>
      </c>
    </row>
    <row r="345" spans="1:13">
      <c r="A345" t="s">
        <v>1035</v>
      </c>
      <c r="B345" t="s">
        <v>677</v>
      </c>
      <c r="C345">
        <v>0</v>
      </c>
      <c r="D345">
        <v>6.0102591283520877E-2</v>
      </c>
      <c r="E345">
        <v>4.8403759153962458E-2</v>
      </c>
      <c r="F345">
        <v>0</v>
      </c>
      <c r="G345">
        <v>5.0649321126207833E-2</v>
      </c>
      <c r="H345">
        <v>2.705603195721773</v>
      </c>
      <c r="I345">
        <v>0.36960334818544238</v>
      </c>
      <c r="J345">
        <v>1.1370369651002061</v>
      </c>
      <c r="K345">
        <v>0.6253511622453326</v>
      </c>
      <c r="L345">
        <v>1.1370369651002061</v>
      </c>
      <c r="M345">
        <v>44.052075828264329</v>
      </c>
    </row>
    <row r="346" spans="1:13">
      <c r="A346" t="s">
        <v>1038</v>
      </c>
      <c r="B346" t="s">
        <v>677</v>
      </c>
      <c r="C346">
        <v>0</v>
      </c>
      <c r="D346">
        <v>5.1395138430135531E-3</v>
      </c>
      <c r="E346">
        <v>6.7130964809865726E-3</v>
      </c>
      <c r="F346">
        <v>7.9913752038823574E-3</v>
      </c>
      <c r="G346">
        <v>1.5000446379338414E-2</v>
      </c>
      <c r="H346">
        <v>1.0422639592686129</v>
      </c>
      <c r="I346">
        <v>0.95944985059420962</v>
      </c>
      <c r="J346">
        <v>1.0156344246341258</v>
      </c>
      <c r="K346">
        <v>3.6381491537172898E-2</v>
      </c>
      <c r="L346">
        <v>1.0156344246341258</v>
      </c>
      <c r="M346">
        <v>256.25689679316622</v>
      </c>
    </row>
    <row r="347" spans="1:13">
      <c r="A347" t="s">
        <v>1041</v>
      </c>
      <c r="B347" t="s">
        <v>677</v>
      </c>
      <c r="C347">
        <v>0</v>
      </c>
      <c r="D347">
        <v>4.5893741094904454E-2</v>
      </c>
      <c r="E347">
        <v>3.399147635543659E-2</v>
      </c>
      <c r="F347">
        <v>4.8733516163962385E-3</v>
      </c>
      <c r="G347">
        <v>0.31712491619725941</v>
      </c>
      <c r="H347">
        <v>1.2480512422731995</v>
      </c>
      <c r="I347">
        <v>0.60296635325960291</v>
      </c>
      <c r="J347">
        <v>1.5259413141096507</v>
      </c>
      <c r="K347">
        <v>0.16224306487363169</v>
      </c>
      <c r="L347">
        <v>1.1483210518503622</v>
      </c>
      <c r="M347">
        <v>10.912316304896823</v>
      </c>
    </row>
    <row r="348" spans="1:13">
      <c r="A348" t="s">
        <v>1044</v>
      </c>
      <c r="B348" t="s">
        <v>677</v>
      </c>
      <c r="C348">
        <v>0</v>
      </c>
      <c r="D348">
        <v>2.6336088724099795E-2</v>
      </c>
      <c r="E348">
        <v>1.930842035975934E-2</v>
      </c>
      <c r="F348">
        <v>3.9188707623172584E-4</v>
      </c>
      <c r="G348">
        <v>0.15923738485719424</v>
      </c>
      <c r="H348">
        <v>1.2444993821946948</v>
      </c>
      <c r="I348">
        <v>0.80353595534654576</v>
      </c>
      <c r="J348">
        <v>1.1981708270770772</v>
      </c>
      <c r="K348">
        <v>0.15787377669973834</v>
      </c>
      <c r="L348">
        <v>1.1981708270770772</v>
      </c>
      <c r="M348">
        <v>17.28133817406918</v>
      </c>
    </row>
    <row r="349" spans="1:13">
      <c r="A349" t="s">
        <v>1047</v>
      </c>
      <c r="B349" t="s">
        <v>677</v>
      </c>
      <c r="C349">
        <v>0</v>
      </c>
      <c r="D349">
        <v>8.4160060502113526E-2</v>
      </c>
      <c r="E349">
        <v>8.3350055917638638E-2</v>
      </c>
      <c r="F349">
        <v>4.276218283797336E-2</v>
      </c>
      <c r="G349">
        <v>-0.12126813542666832</v>
      </c>
      <c r="H349">
        <v>1.3091595764390667</v>
      </c>
      <c r="I349">
        <v>0.48775126152390202</v>
      </c>
      <c r="J349">
        <v>0.75137299481751185</v>
      </c>
      <c r="K349">
        <v>0.16889433680456523</v>
      </c>
      <c r="L349">
        <v>0.47978489413351949</v>
      </c>
      <c r="M349">
        <v>-20.8164816421796</v>
      </c>
    </row>
    <row r="350" spans="1:13">
      <c r="A350" t="s">
        <v>1050</v>
      </c>
      <c r="B350" t="s">
        <v>677</v>
      </c>
      <c r="C350">
        <v>0</v>
      </c>
      <c r="D350">
        <v>7.2152704357847416E-2</v>
      </c>
      <c r="E350">
        <v>4.3624734854961621E-2</v>
      </c>
      <c r="F350">
        <v>1.7301300632863365E-2</v>
      </c>
      <c r="G350">
        <v>8.8199968476166818E-2</v>
      </c>
      <c r="H350">
        <v>1.190001285939764</v>
      </c>
      <c r="I350">
        <v>0.5958561990103719</v>
      </c>
      <c r="J350">
        <v>1.1480222386251142</v>
      </c>
      <c r="K350">
        <v>0.15796193600386546</v>
      </c>
      <c r="L350">
        <v>0.81402771896400772</v>
      </c>
      <c r="M350">
        <v>27.01869005720172</v>
      </c>
    </row>
    <row r="351" spans="1:13">
      <c r="A351" t="s">
        <v>1053</v>
      </c>
      <c r="B351" t="s">
        <v>677</v>
      </c>
      <c r="C351">
        <v>0</v>
      </c>
      <c r="D351">
        <v>5.8543881939927038E-2</v>
      </c>
      <c r="E351">
        <v>3.9545352896578442E-2</v>
      </c>
      <c r="F351">
        <v>2.5338150824532149E-3</v>
      </c>
      <c r="G351">
        <v>0.44434105776974619</v>
      </c>
      <c r="H351">
        <v>2.0721977170838013</v>
      </c>
      <c r="I351">
        <v>0.42643070219965484</v>
      </c>
      <c r="J351">
        <v>2.0420006239647019</v>
      </c>
      <c r="K351">
        <v>0.4121028928823422</v>
      </c>
      <c r="L351">
        <v>1.8044112531096368</v>
      </c>
      <c r="M351">
        <v>5.9212898028725256</v>
      </c>
    </row>
    <row r="352" spans="1:13">
      <c r="A352" t="s">
        <v>1056</v>
      </c>
      <c r="B352" t="s">
        <v>677</v>
      </c>
      <c r="C352">
        <v>0</v>
      </c>
      <c r="D352">
        <v>6.4766855850826394E-2</v>
      </c>
      <c r="E352">
        <v>3.9605094846348304E-2</v>
      </c>
      <c r="F352">
        <v>7.7766682278917283E-5</v>
      </c>
      <c r="G352">
        <v>0.11927912559650107</v>
      </c>
      <c r="H352">
        <v>1.2906810667275574</v>
      </c>
      <c r="I352">
        <v>0.76920373184428226</v>
      </c>
      <c r="J352">
        <v>1.15506831370996</v>
      </c>
      <c r="K352">
        <v>0.19260086770183205</v>
      </c>
      <c r="L352">
        <v>1.1467480022108187</v>
      </c>
      <c r="M352">
        <v>16.202324005225574</v>
      </c>
    </row>
    <row r="353" spans="1:13">
      <c r="A353" t="s">
        <v>1059</v>
      </c>
      <c r="B353" t="s">
        <v>677</v>
      </c>
      <c r="C353">
        <v>0</v>
      </c>
      <c r="D353">
        <v>4.9899544565181343E-2</v>
      </c>
      <c r="E353">
        <v>8.5183605720527411E-2</v>
      </c>
      <c r="F353">
        <v>3.5721254959779715E-2</v>
      </c>
      <c r="G353">
        <v>8.7516550895773024E-2</v>
      </c>
      <c r="H353">
        <v>1.1822780969695781</v>
      </c>
      <c r="I353">
        <v>0.59214494730546052</v>
      </c>
      <c r="J353">
        <v>1.1477958248128515</v>
      </c>
      <c r="K353">
        <v>8.8424471810543609E-2</v>
      </c>
      <c r="L353">
        <v>0.80354890267684664</v>
      </c>
      <c r="M353">
        <v>17.581667465688518</v>
      </c>
    </row>
    <row r="354" spans="1:13">
      <c r="A354" t="s">
        <v>1062</v>
      </c>
      <c r="B354" t="s">
        <v>677</v>
      </c>
      <c r="C354">
        <v>0</v>
      </c>
      <c r="D354">
        <v>2.4862445602274449E-2</v>
      </c>
      <c r="E354">
        <v>2.8899902802657262E-2</v>
      </c>
      <c r="F354">
        <v>1.2899815416087378E-2</v>
      </c>
      <c r="G354">
        <v>0.22087910347415235</v>
      </c>
      <c r="H354">
        <v>1.0695851702739536</v>
      </c>
      <c r="I354">
        <v>0.75789509328069848</v>
      </c>
      <c r="J354">
        <v>1.2914375689094826</v>
      </c>
      <c r="K354">
        <v>4.9149662557571659E-2</v>
      </c>
      <c r="L354">
        <v>1.0468823658957893</v>
      </c>
      <c r="M354">
        <v>7.6954317858688253</v>
      </c>
    </row>
    <row r="355" spans="1:13">
      <c r="A355" t="s">
        <v>1065</v>
      </c>
      <c r="B355" t="s">
        <v>677</v>
      </c>
      <c r="C355">
        <v>0</v>
      </c>
      <c r="D355">
        <v>2.4884183307886134E-2</v>
      </c>
      <c r="E355">
        <v>3.1042779083984742E-2</v>
      </c>
      <c r="F355">
        <v>1.3314676131754235E-2</v>
      </c>
      <c r="G355">
        <v>0.13021588896541975</v>
      </c>
      <c r="H355">
        <v>1.1087741976335372</v>
      </c>
      <c r="I355">
        <v>0.74317995204324605</v>
      </c>
      <c r="J355">
        <v>1.175214480163806</v>
      </c>
      <c r="K355">
        <v>7.4454845366281372E-2</v>
      </c>
      <c r="L355">
        <v>0.96839877283085185</v>
      </c>
      <c r="M355">
        <v>16.407794666638143</v>
      </c>
    </row>
    <row r="356" spans="1:13">
      <c r="A356" t="s">
        <v>1068</v>
      </c>
      <c r="B356" t="s">
        <v>677</v>
      </c>
      <c r="C356">
        <v>0</v>
      </c>
      <c r="D356">
        <v>3.1165020443082118E-2</v>
      </c>
      <c r="E356">
        <v>5.6100213772042481E-2</v>
      </c>
      <c r="F356">
        <v>2.5985895191580566E-2</v>
      </c>
      <c r="G356">
        <v>0.31219176511067781</v>
      </c>
      <c r="H356">
        <v>1.191595105266184</v>
      </c>
      <c r="I356">
        <v>0.55268596920716151</v>
      </c>
      <c r="J356">
        <v>1.5648628380389731</v>
      </c>
      <c r="K356">
        <v>0.13191958900696457</v>
      </c>
      <c r="L356">
        <v>1.0305840748668442</v>
      </c>
      <c r="M356">
        <v>7.7547873014264361</v>
      </c>
    </row>
    <row r="357" spans="1:13">
      <c r="A357" t="s">
        <v>1071</v>
      </c>
      <c r="B357" t="s">
        <v>677</v>
      </c>
      <c r="C357">
        <v>0</v>
      </c>
      <c r="D357">
        <v>3.0379999378886077E-2</v>
      </c>
      <c r="E357">
        <v>3.232801903518024E-2</v>
      </c>
      <c r="F357">
        <v>1.4666911984797599E-2</v>
      </c>
      <c r="G357">
        <v>0.30372982976842572</v>
      </c>
      <c r="H357">
        <v>1.3686296392262634</v>
      </c>
      <c r="I357">
        <v>0.59356028392053628</v>
      </c>
      <c r="J357">
        <v>1.5117084784754367</v>
      </c>
      <c r="K357">
        <v>0.19910140029799284</v>
      </c>
      <c r="L357">
        <v>1.228057844579417</v>
      </c>
      <c r="M357">
        <v>7.3803831684650438</v>
      </c>
    </row>
    <row r="358" spans="1:13">
      <c r="A358" t="s">
        <v>1074</v>
      </c>
      <c r="B358" t="s">
        <v>677</v>
      </c>
      <c r="C358">
        <v>0</v>
      </c>
      <c r="D358">
        <v>5.2797766051213967E-2</v>
      </c>
      <c r="E358">
        <v>5.2718449972162622E-2</v>
      </c>
      <c r="F358">
        <v>9.985849071536582E-3</v>
      </c>
      <c r="G358">
        <v>0.16762224703148201</v>
      </c>
      <c r="H358">
        <v>1.3704582900731184</v>
      </c>
      <c r="I358">
        <v>0.6221635833578214</v>
      </c>
      <c r="J358">
        <v>1.2694182872723336</v>
      </c>
      <c r="K358">
        <v>0.17753111571930194</v>
      </c>
      <c r="L358">
        <v>1.0823685386393025</v>
      </c>
      <c r="M358">
        <v>10.653557026932843</v>
      </c>
    </row>
    <row r="359" spans="1:13">
      <c r="A359" t="s">
        <v>1077</v>
      </c>
      <c r="B359" t="s">
        <v>677</v>
      </c>
      <c r="C359">
        <v>0</v>
      </c>
      <c r="D359">
        <v>4.7855208436721863E-2</v>
      </c>
      <c r="E359">
        <v>3.5786151086707005E-2</v>
      </c>
      <c r="F359">
        <v>3.5896000395185322E-3</v>
      </c>
      <c r="G359">
        <v>0.11175854652259397</v>
      </c>
      <c r="H359">
        <v>1.511034875060842</v>
      </c>
      <c r="I359">
        <v>0.66179809381284782</v>
      </c>
      <c r="J359">
        <v>1.168871061381749</v>
      </c>
      <c r="K359">
        <v>0.29221682937071297</v>
      </c>
      <c r="L359">
        <v>1.168871061381749</v>
      </c>
      <c r="M359">
        <v>19.635864205247877</v>
      </c>
    </row>
    <row r="360" spans="1:13">
      <c r="A360" t="s">
        <v>1080</v>
      </c>
      <c r="B360" t="s">
        <v>677</v>
      </c>
      <c r="C360">
        <v>0</v>
      </c>
      <c r="D360">
        <v>2.0422243121779367E-2</v>
      </c>
      <c r="E360">
        <v>3.1860988025671728E-2</v>
      </c>
      <c r="F360">
        <v>2.7843276361442387E-2</v>
      </c>
      <c r="G360">
        <v>0.22456988690544244</v>
      </c>
      <c r="H360">
        <v>1.1494969679079219</v>
      </c>
      <c r="I360">
        <v>0.76734893738525478</v>
      </c>
      <c r="J360">
        <v>1.2926568031366088</v>
      </c>
      <c r="K360">
        <v>0.12239449426505898</v>
      </c>
      <c r="L360">
        <v>1.1402076809329471</v>
      </c>
      <c r="M360">
        <v>7.5183164292092606</v>
      </c>
    </row>
    <row r="361" spans="1:13">
      <c r="A361" t="s">
        <v>1083</v>
      </c>
      <c r="B361" t="s">
        <v>677</v>
      </c>
      <c r="C361">
        <v>0</v>
      </c>
      <c r="D361">
        <v>-6.3827591571184563E-3</v>
      </c>
      <c r="E361">
        <v>3.1924548323140935E-2</v>
      </c>
      <c r="F361">
        <v>1.5671830426461562E-2</v>
      </c>
      <c r="G361">
        <v>0.38380342083079405</v>
      </c>
      <c r="H361">
        <v>2.138976865809989</v>
      </c>
      <c r="I361">
        <v>0.46751323774664549</v>
      </c>
      <c r="J361">
        <v>1.8209466381758039</v>
      </c>
      <c r="K361">
        <v>0.46515671813361459</v>
      </c>
      <c r="L361">
        <v>1.8209466381758039</v>
      </c>
      <c r="M361">
        <v>6.469457320116951</v>
      </c>
    </row>
    <row r="362" spans="1:13">
      <c r="A362" t="s">
        <v>1086</v>
      </c>
      <c r="B362" t="s">
        <v>677</v>
      </c>
      <c r="C362">
        <v>0</v>
      </c>
      <c r="D362">
        <v>1.9587289407940647E-2</v>
      </c>
      <c r="E362">
        <v>2.1226624539909943E-2</v>
      </c>
      <c r="F362">
        <v>2.9960635030497038E-2</v>
      </c>
      <c r="G362">
        <v>0.18465409085950527</v>
      </c>
      <c r="H362">
        <v>1.0748136467625222</v>
      </c>
      <c r="I362">
        <v>0.79498244706848442</v>
      </c>
      <c r="J362">
        <v>1.2322744251026188</v>
      </c>
      <c r="K362">
        <v>5.2139980226646274E-2</v>
      </c>
      <c r="L362">
        <v>1.0529267198321945</v>
      </c>
      <c r="M362">
        <v>12.414447395719463</v>
      </c>
    </row>
    <row r="363" spans="1:13">
      <c r="A363" t="s">
        <v>1089</v>
      </c>
      <c r="B363" t="s">
        <v>677</v>
      </c>
      <c r="C363">
        <v>0</v>
      </c>
      <c r="D363">
        <v>1.6469653429510355E-2</v>
      </c>
      <c r="E363">
        <v>6.0973680382579956E-2</v>
      </c>
      <c r="F363">
        <v>0.24863193548294663</v>
      </c>
      <c r="G363">
        <v>0.16602950200865141</v>
      </c>
      <c r="H363">
        <v>1.1283953201996575</v>
      </c>
      <c r="I363">
        <v>0.81424503353184796</v>
      </c>
      <c r="J363">
        <v>1.2039060665663335</v>
      </c>
      <c r="K363">
        <v>6.8734176659777893E-2</v>
      </c>
      <c r="L363">
        <v>1.1061371984147923</v>
      </c>
      <c r="M363">
        <v>10.07027465785748</v>
      </c>
    </row>
    <row r="364" spans="1:13">
      <c r="A364" t="s">
        <v>1092</v>
      </c>
      <c r="B364" t="s">
        <v>677</v>
      </c>
      <c r="C364">
        <v>0</v>
      </c>
      <c r="D364">
        <v>5.9766643136796187E-2</v>
      </c>
      <c r="E364">
        <v>4.4746083100629601E-2</v>
      </c>
      <c r="F364">
        <v>1.5082927669840174E-2</v>
      </c>
      <c r="G364">
        <v>0.18618782637005815</v>
      </c>
      <c r="H364">
        <v>1.5077262907022932</v>
      </c>
      <c r="I364">
        <v>0.4988380262081315</v>
      </c>
      <c r="J364">
        <v>1.3732430500243671</v>
      </c>
      <c r="K364">
        <v>0.3017126529842914</v>
      </c>
      <c r="L364">
        <v>1.0328314877428899</v>
      </c>
      <c r="M364">
        <v>15.117069495093583</v>
      </c>
    </row>
    <row r="365" spans="1:13">
      <c r="A365" t="s">
        <v>1095</v>
      </c>
      <c r="B365" t="s">
        <v>677</v>
      </c>
      <c r="C365">
        <v>0</v>
      </c>
      <c r="D365">
        <v>8.1752830766232035E-2</v>
      </c>
      <c r="E365">
        <v>2.0583785435928783E-2</v>
      </c>
      <c r="F365">
        <v>3.4574650257842085E-4</v>
      </c>
      <c r="G365">
        <v>0.41304148338185132</v>
      </c>
      <c r="H365">
        <v>1.8080890451580109</v>
      </c>
      <c r="I365">
        <v>0.55307010607578178</v>
      </c>
      <c r="J365">
        <v>1.7468157812985401</v>
      </c>
      <c r="K365">
        <v>0.42406688260595377</v>
      </c>
      <c r="L365">
        <v>1.7468157812985401</v>
      </c>
      <c r="M365">
        <v>12.372371804568145</v>
      </c>
    </row>
    <row r="366" spans="1:13">
      <c r="A366" t="s">
        <v>1098</v>
      </c>
      <c r="B366" t="s">
        <v>677</v>
      </c>
      <c r="C366">
        <v>0</v>
      </c>
      <c r="D366">
        <v>1.6290980690248685E-2</v>
      </c>
      <c r="E366">
        <v>3.0051066970772766E-2</v>
      </c>
      <c r="F366">
        <v>4.1199300954597132E-2</v>
      </c>
      <c r="G366">
        <v>0.15026246891469958</v>
      </c>
      <c r="H366">
        <v>1.1559280189008565</v>
      </c>
      <c r="I366">
        <v>0.84823720852470319</v>
      </c>
      <c r="J366">
        <v>1.1771467549461119</v>
      </c>
      <c r="K366">
        <v>0.11611568764929915</v>
      </c>
      <c r="L366">
        <v>1.1541937540156733</v>
      </c>
      <c r="M366">
        <v>15.08958832130395</v>
      </c>
    </row>
    <row r="367" spans="1:13">
      <c r="A367" t="s">
        <v>1101</v>
      </c>
      <c r="B367" t="s">
        <v>677</v>
      </c>
      <c r="C367">
        <v>0</v>
      </c>
      <c r="D367">
        <v>1.4560453964323308E-2</v>
      </c>
      <c r="E367">
        <v>3.4237720775722819E-2</v>
      </c>
      <c r="F367">
        <v>2.3324975949221189E-2</v>
      </c>
      <c r="G367">
        <v>6.804800873731133E-2</v>
      </c>
      <c r="H367">
        <v>1.1497508605219684</v>
      </c>
      <c r="I367">
        <v>0.71802806319059032</v>
      </c>
      <c r="J367">
        <v>1.0947706812947351</v>
      </c>
      <c r="K367">
        <v>4.8595097655720496E-2</v>
      </c>
      <c r="L367">
        <v>0.90379164013483371</v>
      </c>
      <c r="M367">
        <v>29.012726093043906</v>
      </c>
    </row>
    <row r="368" spans="1:13">
      <c r="A368" t="s">
        <v>1104</v>
      </c>
      <c r="B368" t="s">
        <v>677</v>
      </c>
      <c r="C368">
        <v>0</v>
      </c>
      <c r="D368">
        <v>3.2161241586719055E-2</v>
      </c>
      <c r="E368">
        <v>3.0234095489164621E-2</v>
      </c>
      <c r="F368">
        <v>3.7036761312031924E-4</v>
      </c>
      <c r="G368">
        <v>3.7835273449335682E-2</v>
      </c>
      <c r="H368">
        <v>1.4025112443291023</v>
      </c>
      <c r="I368">
        <v>0.71300676129577456</v>
      </c>
      <c r="J368">
        <v>1.0530643964449595</v>
      </c>
      <c r="K368">
        <v>0.27922567087120365</v>
      </c>
      <c r="L368">
        <v>1.0530643964449595</v>
      </c>
      <c r="M368">
        <v>61.1267847084466</v>
      </c>
    </row>
    <row r="369" spans="1:13">
      <c r="A369" t="s">
        <v>1107</v>
      </c>
      <c r="B369" t="s">
        <v>677</v>
      </c>
      <c r="C369">
        <v>0</v>
      </c>
      <c r="D369">
        <v>7.8658706689728283E-2</v>
      </c>
      <c r="E369">
        <v>1.8418974052917741E-2</v>
      </c>
      <c r="F369">
        <v>9.3128878991985721E-3</v>
      </c>
      <c r="G369">
        <v>0.51543570835528019</v>
      </c>
      <c r="H369">
        <v>1.4945378978161599</v>
      </c>
      <c r="I369">
        <v>0.44336148482765392</v>
      </c>
      <c r="J369">
        <v>2.1625631138339485</v>
      </c>
      <c r="K369">
        <v>0.30459634149607634</v>
      </c>
      <c r="L369">
        <v>1.4329587415316569</v>
      </c>
      <c r="M369">
        <v>10.542079829567596</v>
      </c>
    </row>
    <row r="370" spans="1:13">
      <c r="A370" t="s">
        <v>1110</v>
      </c>
      <c r="B370" t="s">
        <v>677</v>
      </c>
      <c r="C370">
        <v>0</v>
      </c>
      <c r="D370">
        <v>4.2403037030538333E-2</v>
      </c>
      <c r="E370">
        <v>2.2646439839104655E-2</v>
      </c>
      <c r="F370">
        <v>5.9667910907580321E-3</v>
      </c>
      <c r="G370">
        <v>0.32161399809763008</v>
      </c>
      <c r="H370">
        <v>1.3756581042079641</v>
      </c>
      <c r="I370">
        <v>0.6266278029718183</v>
      </c>
      <c r="J370">
        <v>1.5132456564684127</v>
      </c>
      <c r="K370">
        <v>0.13064831392388429</v>
      </c>
      <c r="L370">
        <v>1.3044565183899428</v>
      </c>
      <c r="M370">
        <v>11.165245935129212</v>
      </c>
    </row>
    <row r="371" spans="1:13">
      <c r="A371" t="s">
        <v>1113</v>
      </c>
      <c r="B371" t="s">
        <v>677</v>
      </c>
      <c r="C371">
        <v>0</v>
      </c>
      <c r="D371">
        <v>2.1715529262417016E-2</v>
      </c>
      <c r="E371">
        <v>3.5560251777178281E-2</v>
      </c>
      <c r="F371">
        <v>2.0678605207261383E-3</v>
      </c>
      <c r="G371">
        <v>-6.0720146016485115E-2</v>
      </c>
      <c r="H371">
        <v>1.1243551950642869</v>
      </c>
      <c r="I371">
        <v>0.88939865657206596</v>
      </c>
      <c r="J371">
        <v>0.9317289883813028</v>
      </c>
      <c r="K371">
        <v>0.10929308487367095</v>
      </c>
      <c r="L371">
        <v>0.9317289883813028</v>
      </c>
      <c r="M371">
        <v>-41.821336357292395</v>
      </c>
    </row>
    <row r="372" spans="1:13">
      <c r="A372" t="s">
        <v>1116</v>
      </c>
      <c r="B372" t="s">
        <v>677</v>
      </c>
      <c r="C372">
        <v>0</v>
      </c>
      <c r="D372">
        <v>1.9116925243816557E-2</v>
      </c>
      <c r="E372">
        <v>1.4783544901719643E-2</v>
      </c>
      <c r="F372">
        <v>6.3781153837805526E-3</v>
      </c>
      <c r="G372">
        <v>0.13574422227744537</v>
      </c>
      <c r="H372">
        <v>1.1555010712786871</v>
      </c>
      <c r="I372">
        <v>0.81346892741765908</v>
      </c>
      <c r="J372">
        <v>1.1668708142403947</v>
      </c>
      <c r="K372">
        <v>7.8567946781870665E-2</v>
      </c>
      <c r="L372">
        <v>1.09681681134451</v>
      </c>
      <c r="M372">
        <v>20.682368265871023</v>
      </c>
    </row>
    <row r="373" spans="1:13">
      <c r="A373" t="s">
        <v>1119</v>
      </c>
      <c r="B373" t="s">
        <v>677</v>
      </c>
      <c r="C373">
        <v>0</v>
      </c>
      <c r="D373">
        <v>3.7439142443398327E-2</v>
      </c>
      <c r="E373">
        <v>3.6022070797353763E-2</v>
      </c>
      <c r="F373">
        <v>7.3443428055886594E-3</v>
      </c>
      <c r="G373">
        <v>1.2337809255549568E-2</v>
      </c>
      <c r="H373">
        <v>1.4521050343817514</v>
      </c>
      <c r="I373">
        <v>0.6568782349172777</v>
      </c>
      <c r="J373">
        <v>1.018782490573924</v>
      </c>
      <c r="K373">
        <v>0.30515883507387559</v>
      </c>
      <c r="L373">
        <v>0.97177198683240296</v>
      </c>
      <c r="M373">
        <v>120.39385978468037</v>
      </c>
    </row>
    <row r="374" spans="1:13">
      <c r="A374" t="s">
        <v>1122</v>
      </c>
      <c r="B374" t="s">
        <v>677</v>
      </c>
      <c r="C374">
        <v>0</v>
      </c>
      <c r="D374">
        <v>2.1666682359260971E-2</v>
      </c>
      <c r="E374">
        <v>1.5727314966260762E-2</v>
      </c>
      <c r="F374">
        <v>9.6479794493285038E-4</v>
      </c>
      <c r="G374">
        <v>0.53996735432001486</v>
      </c>
      <c r="H374">
        <v>2.2312781309123024</v>
      </c>
      <c r="I374">
        <v>0.44817362127379889</v>
      </c>
      <c r="J374">
        <v>2.2048173491008236</v>
      </c>
      <c r="K374">
        <v>0.51938132986662122</v>
      </c>
      <c r="L374">
        <v>2.2048173491008236</v>
      </c>
      <c r="M374">
        <v>3.8392617861520173</v>
      </c>
    </row>
    <row r="375" spans="1:13">
      <c r="A375" t="s">
        <v>1125</v>
      </c>
      <c r="B375" t="s">
        <v>677</v>
      </c>
      <c r="C375">
        <v>0</v>
      </c>
      <c r="D375">
        <v>3.2655940175400085E-2</v>
      </c>
      <c r="E375">
        <v>2.8645576544074042E-2</v>
      </c>
      <c r="F375">
        <v>9.7058085400963823E-3</v>
      </c>
      <c r="G375">
        <v>0.21773567003788322</v>
      </c>
      <c r="H375">
        <v>1.2683829941606961</v>
      </c>
      <c r="I375">
        <v>0.68663636926165539</v>
      </c>
      <c r="J375">
        <v>1.3171047730431404</v>
      </c>
      <c r="K375">
        <v>0.18307562204789374</v>
      </c>
      <c r="L375">
        <v>1.1470901150419635</v>
      </c>
      <c r="M375">
        <v>14.282111844390414</v>
      </c>
    </row>
    <row r="376" spans="1:13">
      <c r="A376" t="s">
        <v>1128</v>
      </c>
      <c r="B376" t="s">
        <v>677</v>
      </c>
      <c r="C376">
        <v>0</v>
      </c>
      <c r="D376">
        <v>-2.4253187952899542E-3</v>
      </c>
      <c r="E376">
        <v>4.5870763142933091E-3</v>
      </c>
      <c r="F376">
        <v>7.3573527684975331E-3</v>
      </c>
      <c r="G376">
        <v>0.31529886238252863</v>
      </c>
      <c r="H376">
        <v>1.4625383504782532</v>
      </c>
      <c r="I376">
        <v>0.51536344014371638</v>
      </c>
      <c r="J376">
        <v>1.6117990486376044</v>
      </c>
      <c r="K376">
        <v>8.8668968020640199E-2</v>
      </c>
      <c r="L376">
        <v>1.214875473741202</v>
      </c>
      <c r="M376">
        <v>7.3253549192972374</v>
      </c>
    </row>
    <row r="377" spans="1:13">
      <c r="A377" t="s">
        <v>1131</v>
      </c>
      <c r="B377" t="s">
        <v>677</v>
      </c>
      <c r="C377">
        <v>0</v>
      </c>
      <c r="D377">
        <v>-6.1049665644582418E-2</v>
      </c>
      <c r="E377">
        <v>-1.8504605473264362E-2</v>
      </c>
      <c r="F377">
        <v>6.1895624931557723E-4</v>
      </c>
      <c r="G377">
        <v>0.25821335562770587</v>
      </c>
      <c r="H377">
        <v>1.4266332247674554</v>
      </c>
      <c r="I377">
        <v>0.70095101013997652</v>
      </c>
      <c r="J377">
        <v>1.3683757522171798</v>
      </c>
      <c r="K377">
        <v>0.28130624449017433</v>
      </c>
      <c r="L377">
        <v>1.3683757522171798</v>
      </c>
      <c r="M377">
        <v>10.659778008542656</v>
      </c>
    </row>
    <row r="378" spans="1:13">
      <c r="A378" t="s">
        <v>1134</v>
      </c>
      <c r="B378" t="s">
        <v>677</v>
      </c>
      <c r="C378">
        <v>0</v>
      </c>
      <c r="D378">
        <v>9.4376013083923641E-3</v>
      </c>
      <c r="E378">
        <v>1.5307001993878501E-2</v>
      </c>
      <c r="F378">
        <v>1.4337316149971373E-2</v>
      </c>
      <c r="G378">
        <v>0.41179834953836097</v>
      </c>
      <c r="H378">
        <v>2.085856896650895</v>
      </c>
      <c r="I378">
        <v>0.31387266116512791</v>
      </c>
      <c r="J378">
        <v>2.3119917740198295</v>
      </c>
      <c r="K378">
        <v>0.15084361467440149</v>
      </c>
      <c r="L378">
        <v>1.5136458823754977</v>
      </c>
      <c r="M378">
        <v>5.3375173611111109</v>
      </c>
    </row>
    <row r="379" spans="1:13">
      <c r="A379" t="s">
        <v>1137</v>
      </c>
      <c r="B379" t="s">
        <v>677</v>
      </c>
      <c r="C379">
        <v>0</v>
      </c>
      <c r="D379">
        <v>5.6833725565657051E-2</v>
      </c>
      <c r="E379">
        <v>4.6119119830011795E-2</v>
      </c>
      <c r="F379">
        <v>0</v>
      </c>
      <c r="G379">
        <v>0.32734876453377049</v>
      </c>
      <c r="H379">
        <v>1.8165113617179947</v>
      </c>
      <c r="I379">
        <v>0.5505057777641611</v>
      </c>
      <c r="J379">
        <v>1.5946327500199424</v>
      </c>
      <c r="K379">
        <v>0.27852244468614207</v>
      </c>
      <c r="L379">
        <v>1.5946327500199424</v>
      </c>
      <c r="M379">
        <v>6.5762272450746408</v>
      </c>
    </row>
    <row r="380" spans="1:13">
      <c r="A380" t="s">
        <v>1140</v>
      </c>
      <c r="B380" t="s">
        <v>677</v>
      </c>
      <c r="C380">
        <v>0</v>
      </c>
      <c r="D380">
        <v>5.9818994059791603E-2</v>
      </c>
      <c r="E380">
        <v>4.6838526160692423E-2</v>
      </c>
      <c r="F380">
        <v>2.9211284698572874E-2</v>
      </c>
      <c r="G380">
        <v>0.24630783187178712</v>
      </c>
      <c r="H380">
        <v>1.20267665563516</v>
      </c>
      <c r="I380">
        <v>0.42333232537042642</v>
      </c>
      <c r="J380">
        <v>1.5818309094545557</v>
      </c>
      <c r="K380">
        <v>0.1380889023283943</v>
      </c>
      <c r="L380">
        <v>0.80536058479106798</v>
      </c>
      <c r="M380">
        <v>12.356673705404278</v>
      </c>
    </row>
    <row r="381" spans="1:13">
      <c r="A381" t="s">
        <v>1143</v>
      </c>
      <c r="B381" t="s">
        <v>677</v>
      </c>
      <c r="C381">
        <v>0</v>
      </c>
      <c r="D381">
        <v>3.474493029550866E-3</v>
      </c>
      <c r="E381">
        <v>4.9698427648984011E-3</v>
      </c>
      <c r="F381">
        <v>6.220753859569399E-3</v>
      </c>
      <c r="G381">
        <v>2.7923614817268943E-2</v>
      </c>
      <c r="H381">
        <v>1.2400711614805542</v>
      </c>
      <c r="I381">
        <v>0.61150341035977351</v>
      </c>
      <c r="J381">
        <v>1.0456638742224516</v>
      </c>
      <c r="K381">
        <v>6.7584430725040376E-2</v>
      </c>
      <c r="L381">
        <v>0.79293501379335063</v>
      </c>
      <c r="M381">
        <v>54.695237295724205</v>
      </c>
    </row>
    <row r="382" spans="1:13">
      <c r="A382" t="s">
        <v>1146</v>
      </c>
      <c r="B382" t="s">
        <v>677</v>
      </c>
      <c r="C382">
        <v>0</v>
      </c>
      <c r="D382">
        <v>3.9849320058766777E-2</v>
      </c>
      <c r="E382">
        <v>4.0538686258305028E-2</v>
      </c>
      <c r="F382">
        <v>4.1413151506546661E-2</v>
      </c>
      <c r="G382">
        <v>0.49720113432671453</v>
      </c>
      <c r="H382">
        <v>2.378223485827518</v>
      </c>
      <c r="I382">
        <v>0.34073708051430152</v>
      </c>
      <c r="J382">
        <v>2.4591929166507187</v>
      </c>
      <c r="K382">
        <v>0.36729116462662709</v>
      </c>
      <c r="L382">
        <v>1.9928043422072885</v>
      </c>
      <c r="M382">
        <v>5.56479238981228</v>
      </c>
    </row>
    <row r="383" spans="1:13">
      <c r="A383" t="s">
        <v>1149</v>
      </c>
      <c r="B383" t="s">
        <v>677</v>
      </c>
      <c r="C383">
        <v>0</v>
      </c>
      <c r="D383">
        <v>2.3778723592158865E-2</v>
      </c>
      <c r="E383">
        <v>2.4663133868996653E-2</v>
      </c>
      <c r="F383">
        <v>3.2574686040032575E-3</v>
      </c>
      <c r="G383">
        <v>8.002565689251448E-2</v>
      </c>
      <c r="H383">
        <v>1.3009194873550429</v>
      </c>
      <c r="I383">
        <v>0.76868707842415696</v>
      </c>
      <c r="J383">
        <v>1.1041069365398604</v>
      </c>
      <c r="K383">
        <v>0.14907929172174608</v>
      </c>
      <c r="L383">
        <v>1.1041069365398604</v>
      </c>
      <c r="M383">
        <v>48.454374967887787</v>
      </c>
    </row>
    <row r="384" spans="1:13">
      <c r="A384" t="s">
        <v>1152</v>
      </c>
      <c r="B384" t="s">
        <v>677</v>
      </c>
      <c r="C384">
        <v>0</v>
      </c>
      <c r="D384">
        <v>5.2778364204046711E-4</v>
      </c>
      <c r="E384">
        <v>1.1905340558443105E-2</v>
      </c>
      <c r="F384">
        <v>1.7685391833835342E-3</v>
      </c>
      <c r="G384">
        <v>0.13238285328924468</v>
      </c>
      <c r="H384">
        <v>1.1606322274402869</v>
      </c>
      <c r="I384">
        <v>0.7926981813435432</v>
      </c>
      <c r="J384">
        <v>1.1670028472436622</v>
      </c>
      <c r="K384">
        <v>0.12574236425339366</v>
      </c>
      <c r="L384">
        <v>1.0736788617886177</v>
      </c>
      <c r="M384">
        <v>36.765790933179957</v>
      </c>
    </row>
    <row r="385" spans="1:13">
      <c r="A385" t="s">
        <v>1155</v>
      </c>
      <c r="B385" t="s">
        <v>677</v>
      </c>
      <c r="C385">
        <v>0</v>
      </c>
      <c r="D385">
        <v>3.1702570689084789E-2</v>
      </c>
      <c r="E385">
        <v>2.7814476832163332E-2</v>
      </c>
      <c r="F385">
        <v>1.2576597149385113E-3</v>
      </c>
      <c r="G385">
        <v>-4.7765248356464573E-3</v>
      </c>
      <c r="H385">
        <v>1.2797881042340202</v>
      </c>
      <c r="I385">
        <v>0.7813793523252982</v>
      </c>
      <c r="J385">
        <v>0.99388706033576135</v>
      </c>
      <c r="K385">
        <v>0.16827025505234963</v>
      </c>
      <c r="L385">
        <v>0.99388706033576135</v>
      </c>
      <c r="M385">
        <v>-688.48108323377141</v>
      </c>
    </row>
    <row r="386" spans="1:13">
      <c r="A386" t="s">
        <v>1158</v>
      </c>
      <c r="B386" t="s">
        <v>677</v>
      </c>
      <c r="C386">
        <v>0</v>
      </c>
      <c r="D386">
        <v>4.2750775399151973E-2</v>
      </c>
      <c r="E386">
        <v>3.1808163390971166E-2</v>
      </c>
      <c r="F386">
        <v>1.7142682696770991E-2</v>
      </c>
      <c r="G386">
        <v>0.36926055541634645</v>
      </c>
      <c r="H386">
        <v>1.3560322227595509</v>
      </c>
      <c r="I386">
        <v>0.62602823161524224</v>
      </c>
      <c r="J386">
        <v>1.5898464905705634</v>
      </c>
      <c r="K386">
        <v>0.20612776772030789</v>
      </c>
      <c r="L386">
        <v>1.3496436661661024</v>
      </c>
      <c r="M386">
        <v>4.2100349969374502</v>
      </c>
    </row>
    <row r="387" spans="1:13">
      <c r="A387" t="s">
        <v>1161</v>
      </c>
      <c r="B387" t="s">
        <v>677</v>
      </c>
      <c r="C387">
        <v>0</v>
      </c>
      <c r="D387">
        <v>1.2218772004755914E-2</v>
      </c>
      <c r="E387">
        <v>4.0065539231409202E-2</v>
      </c>
      <c r="F387">
        <v>3.3150496712212253E-3</v>
      </c>
      <c r="G387">
        <v>0.13519938788517277</v>
      </c>
      <c r="H387">
        <v>1.1150627920827534</v>
      </c>
      <c r="I387">
        <v>0.76100487758522672</v>
      </c>
      <c r="J387">
        <v>1.1776590293536344</v>
      </c>
      <c r="K387">
        <v>9.8885380843230772E-2</v>
      </c>
      <c r="L387">
        <v>0.99932403053189667</v>
      </c>
      <c r="M387">
        <v>19.533423010737049</v>
      </c>
    </row>
    <row r="388" spans="1:13">
      <c r="A388" t="s">
        <v>1164</v>
      </c>
      <c r="B388" t="s">
        <v>677</v>
      </c>
      <c r="C388">
        <v>0</v>
      </c>
      <c r="D388">
        <v>6.911402535363495E-2</v>
      </c>
      <c r="E388">
        <v>5.1814290082560388E-2</v>
      </c>
      <c r="F388">
        <v>0</v>
      </c>
      <c r="G388">
        <v>0.48020045470335943</v>
      </c>
      <c r="H388">
        <v>2.1355726783261471</v>
      </c>
      <c r="I388">
        <v>0.12060989409745512</v>
      </c>
      <c r="J388">
        <v>4.9814350082701191</v>
      </c>
      <c r="K388">
        <v>0.53174152762443305</v>
      </c>
      <c r="L388">
        <v>1.2830741657546221</v>
      </c>
      <c r="M388">
        <v>11.243652095435239</v>
      </c>
    </row>
    <row r="389" spans="1:13">
      <c r="A389" t="s">
        <v>1167</v>
      </c>
      <c r="B389" t="s">
        <v>677</v>
      </c>
      <c r="C389">
        <v>0</v>
      </c>
      <c r="D389">
        <v>3.5718973519080488E-2</v>
      </c>
      <c r="E389">
        <v>5.745994778982965E-2</v>
      </c>
      <c r="F389">
        <v>1.5534280696724247E-2</v>
      </c>
      <c r="G389">
        <v>0.50669536852489194</v>
      </c>
      <c r="H389">
        <v>2.2175340583113257</v>
      </c>
      <c r="I389">
        <v>0.36965988664721838</v>
      </c>
      <c r="J389">
        <v>2.3707069304180473</v>
      </c>
      <c r="K389">
        <v>0.49017743689227822</v>
      </c>
      <c r="L389">
        <v>1.9433476255242672</v>
      </c>
      <c r="M389">
        <v>2.7052019251646526</v>
      </c>
    </row>
    <row r="390" spans="1:13">
      <c r="A390" t="s">
        <v>1170</v>
      </c>
      <c r="B390" t="s">
        <v>677</v>
      </c>
      <c r="C390">
        <v>0</v>
      </c>
      <c r="D390">
        <v>4.6977869876773659E-2</v>
      </c>
      <c r="E390">
        <v>2.1818263526873986E-2</v>
      </c>
      <c r="F390">
        <v>5.0771919537643722E-3</v>
      </c>
      <c r="G390">
        <v>0.18662452084989756</v>
      </c>
      <c r="H390">
        <v>1.5149461644298423</v>
      </c>
      <c r="I390">
        <v>0.49091150024886721</v>
      </c>
      <c r="J390">
        <v>1.3801591952017591</v>
      </c>
      <c r="K390">
        <v>0.27798786045339074</v>
      </c>
      <c r="L390">
        <v>1.0264305964266303</v>
      </c>
      <c r="M390">
        <v>25.434380520245231</v>
      </c>
    </row>
    <row r="391" spans="1:13">
      <c r="A391" t="s">
        <v>1173</v>
      </c>
      <c r="B391" t="s">
        <v>677</v>
      </c>
      <c r="C391">
        <v>0</v>
      </c>
      <c r="D391">
        <v>4.2301533774700747E-3</v>
      </c>
      <c r="E391">
        <v>5.2971992156633212E-3</v>
      </c>
      <c r="F391">
        <v>4.8793455331263818E-3</v>
      </c>
      <c r="G391">
        <v>0.36668589770151949</v>
      </c>
      <c r="H391">
        <v>1.4645109489732564</v>
      </c>
      <c r="I391">
        <v>0.62901102543915288</v>
      </c>
      <c r="J391">
        <v>1.5829562326757509</v>
      </c>
      <c r="K391">
        <v>9.1244354203787348E-2</v>
      </c>
      <c r="L391">
        <v>1.458209045798498</v>
      </c>
      <c r="M391">
        <v>12.474773991655075</v>
      </c>
    </row>
    <row r="392" spans="1:13">
      <c r="A392" t="s">
        <v>1176</v>
      </c>
      <c r="B392" t="s">
        <v>677</v>
      </c>
      <c r="C392">
        <v>0</v>
      </c>
      <c r="D392">
        <v>5.7329811501981038E-4</v>
      </c>
      <c r="E392">
        <v>2.5761160564296802E-2</v>
      </c>
      <c r="F392">
        <v>3.4709656939437228E-2</v>
      </c>
      <c r="G392">
        <v>5.6566264661713828E-2</v>
      </c>
      <c r="H392">
        <v>1.6606773050619352</v>
      </c>
      <c r="I392">
        <v>0.60216394657281402</v>
      </c>
      <c r="J392">
        <v>1.093938311955835</v>
      </c>
      <c r="K392">
        <v>0.30681930946883751</v>
      </c>
      <c r="L392">
        <v>1.093938311955835</v>
      </c>
      <c r="M392">
        <v>82.673235483305078</v>
      </c>
    </row>
    <row r="393" spans="1:13">
      <c r="A393" t="s">
        <v>1179</v>
      </c>
      <c r="B393" t="s">
        <v>677</v>
      </c>
      <c r="C393">
        <v>0</v>
      </c>
      <c r="D393">
        <v>5.1612394691071338E-2</v>
      </c>
      <c r="E393">
        <v>5.5642671738514643E-2</v>
      </c>
      <c r="F393">
        <v>2.6217346029389087E-2</v>
      </c>
      <c r="G393">
        <v>0.23450537489037024</v>
      </c>
      <c r="H393">
        <v>1.2856417044375812</v>
      </c>
      <c r="I393">
        <v>0.70733106620769504</v>
      </c>
      <c r="J393">
        <v>1.3315355228883896</v>
      </c>
      <c r="K393">
        <v>0.22214538029819286</v>
      </c>
      <c r="L393">
        <v>1.2108642074347422</v>
      </c>
      <c r="M393">
        <v>10.228299432355724</v>
      </c>
    </row>
    <row r="394" spans="1:13">
      <c r="A394" t="s">
        <v>1182</v>
      </c>
      <c r="B394" t="s">
        <v>677</v>
      </c>
      <c r="C394">
        <v>0</v>
      </c>
      <c r="D394">
        <v>1.218831575543132E-2</v>
      </c>
      <c r="E394">
        <v>2.6660122384341945E-2</v>
      </c>
      <c r="F394">
        <v>1.8143136505241898E-2</v>
      </c>
      <c r="G394">
        <v>0.33533863658332719</v>
      </c>
      <c r="H394">
        <v>1.3927853013384017</v>
      </c>
      <c r="I394">
        <v>0.50766204006436688</v>
      </c>
      <c r="J394">
        <v>1.6605548772975212</v>
      </c>
      <c r="K394">
        <v>0.15156908345511097</v>
      </c>
      <c r="L394">
        <v>1.1741189514532351</v>
      </c>
      <c r="M394">
        <v>10.830445103857567</v>
      </c>
    </row>
    <row r="395" spans="1:13">
      <c r="A395" t="s">
        <v>1185</v>
      </c>
      <c r="B395" t="s">
        <v>677</v>
      </c>
      <c r="C395">
        <v>0</v>
      </c>
      <c r="D395">
        <v>1.7937995923707262E-2</v>
      </c>
      <c r="E395">
        <v>1.0877661188558475E-2</v>
      </c>
      <c r="F395">
        <v>3.7600343477186089E-3</v>
      </c>
      <c r="G395">
        <v>0.3901104938983852</v>
      </c>
      <c r="H395">
        <v>1.499728072777613</v>
      </c>
      <c r="I395">
        <v>0.50368954016736167</v>
      </c>
      <c r="J395">
        <v>1.7745058469325423</v>
      </c>
      <c r="K395">
        <v>0.13323827891055545</v>
      </c>
      <c r="L395">
        <v>1.3404570025379876</v>
      </c>
      <c r="M395">
        <v>8.9347751072175559</v>
      </c>
    </row>
    <row r="396" spans="1:13">
      <c r="A396" t="s">
        <v>1188</v>
      </c>
      <c r="B396" t="s">
        <v>677</v>
      </c>
      <c r="C396">
        <v>0</v>
      </c>
      <c r="D396">
        <v>4.1914584458520421E-2</v>
      </c>
      <c r="E396">
        <v>5.5267320493314509E-2</v>
      </c>
      <c r="F396">
        <v>3.2409091651533217E-2</v>
      </c>
      <c r="G396">
        <v>-2.7722572768543285E-2</v>
      </c>
      <c r="H396">
        <v>1.4762921354868439</v>
      </c>
      <c r="I396">
        <v>0.67737270690683804</v>
      </c>
      <c r="J396">
        <v>0.95907338384633778</v>
      </c>
      <c r="K396">
        <v>0.26804347740194467</v>
      </c>
      <c r="L396">
        <v>0.95907338384633778</v>
      </c>
      <c r="M396">
        <v>-89.786004418157205</v>
      </c>
    </row>
    <row r="397" spans="1:13">
      <c r="A397" t="s">
        <v>1191</v>
      </c>
      <c r="B397" t="s">
        <v>677</v>
      </c>
      <c r="C397">
        <v>0</v>
      </c>
      <c r="D397">
        <v>0.117606179607202</v>
      </c>
      <c r="E397">
        <v>8.467194393680412E-2</v>
      </c>
      <c r="F397">
        <v>1.5547445506547469E-3</v>
      </c>
      <c r="G397">
        <v>0.46133221325336082</v>
      </c>
      <c r="H397">
        <v>2.8016718900528028</v>
      </c>
      <c r="I397">
        <v>0.31691806803615308</v>
      </c>
      <c r="J397">
        <v>2.4556829028780189</v>
      </c>
      <c r="K397">
        <v>0.62528537011606322</v>
      </c>
      <c r="L397">
        <v>2.1804019365145177</v>
      </c>
      <c r="M397">
        <v>5.7461340327769861</v>
      </c>
    </row>
    <row r="398" spans="1:13">
      <c r="A398" t="s">
        <v>1194</v>
      </c>
      <c r="B398" t="s">
        <v>677</v>
      </c>
      <c r="C398">
        <v>0</v>
      </c>
      <c r="D398">
        <v>2.5966407135493502E-2</v>
      </c>
      <c r="E398">
        <v>2.338431982556903E-2</v>
      </c>
      <c r="F398">
        <v>4.6309149010319143E-4</v>
      </c>
      <c r="G398">
        <v>7.680692201045651E-2</v>
      </c>
      <c r="H398">
        <v>1.2364718614718615</v>
      </c>
      <c r="I398">
        <v>0.80875273522975932</v>
      </c>
      <c r="J398">
        <v>1.0949695978321934</v>
      </c>
      <c r="K398">
        <v>0.14627257086541837</v>
      </c>
      <c r="L398">
        <v>1.0949695978321934</v>
      </c>
      <c r="M398">
        <v>26.172328302379189</v>
      </c>
    </row>
    <row r="399" spans="1:13">
      <c r="A399" t="s">
        <v>1197</v>
      </c>
      <c r="B399" t="s">
        <v>677</v>
      </c>
      <c r="C399">
        <v>0</v>
      </c>
      <c r="D399">
        <v>8.7762324988523363E-2</v>
      </c>
      <c r="E399">
        <v>5.5359622105548734E-2</v>
      </c>
      <c r="F399">
        <v>8.7567602577803706E-3</v>
      </c>
      <c r="G399">
        <v>0.27529569431674744</v>
      </c>
      <c r="H399">
        <v>1.5203927594703637</v>
      </c>
      <c r="I399">
        <v>0.65772478444869398</v>
      </c>
      <c r="J399">
        <v>1.4185575803525494</v>
      </c>
      <c r="K399">
        <v>0.31422070939921681</v>
      </c>
      <c r="L399">
        <v>1.4185575803525494</v>
      </c>
      <c r="M399">
        <v>9.6278323171224791</v>
      </c>
    </row>
    <row r="400" spans="1:13">
      <c r="A400" t="s">
        <v>1200</v>
      </c>
      <c r="B400" t="s">
        <v>677</v>
      </c>
      <c r="C400">
        <v>0</v>
      </c>
      <c r="D400">
        <v>4.3581808783545693E-2</v>
      </c>
      <c r="E400">
        <v>2.6098944189481235E-2</v>
      </c>
      <c r="F400">
        <v>6.9825088154173797E-5</v>
      </c>
      <c r="G400">
        <v>0.34612928926918712</v>
      </c>
      <c r="H400">
        <v>1.5543322447940964</v>
      </c>
      <c r="I400">
        <v>0.6433630926394831</v>
      </c>
      <c r="J400">
        <v>1.5379999151787607</v>
      </c>
      <c r="K400">
        <v>0.32493396926569462</v>
      </c>
      <c r="L400">
        <v>1.5379999151787607</v>
      </c>
      <c r="M400">
        <v>9.2978045800323201</v>
      </c>
    </row>
    <row r="401" spans="1:13">
      <c r="A401" t="s">
        <v>1203</v>
      </c>
      <c r="B401" t="s">
        <v>677</v>
      </c>
      <c r="C401">
        <v>0</v>
      </c>
      <c r="D401">
        <v>-1.7233790720220781E-2</v>
      </c>
      <c r="E401">
        <v>9.4822135101443519E-3</v>
      </c>
      <c r="F401">
        <v>9.6076720346228777E-4</v>
      </c>
      <c r="G401">
        <v>0.17690156936630513</v>
      </c>
      <c r="H401">
        <v>1.385247270298525</v>
      </c>
      <c r="I401">
        <v>0.72189277787531536</v>
      </c>
      <c r="J401">
        <v>1.2450524160761993</v>
      </c>
      <c r="K401">
        <v>0.19793825779114771</v>
      </c>
      <c r="L401">
        <v>1.2450524160761993</v>
      </c>
      <c r="M401">
        <v>16.398109881645411</v>
      </c>
    </row>
    <row r="402" spans="1:13">
      <c r="A402" t="s">
        <v>1206</v>
      </c>
      <c r="B402" t="s">
        <v>677</v>
      </c>
      <c r="C402">
        <v>0</v>
      </c>
      <c r="D402">
        <v>2.5967419952969924E-2</v>
      </c>
      <c r="E402">
        <v>6.9451171465542805E-2</v>
      </c>
      <c r="F402">
        <v>0</v>
      </c>
      <c r="G402">
        <v>0.1348639197202372</v>
      </c>
      <c r="H402">
        <v>1.5148160677141438</v>
      </c>
      <c r="I402">
        <v>0.51760396077238857</v>
      </c>
      <c r="J402">
        <v>1.2605542653093071</v>
      </c>
      <c r="K402">
        <v>0.27740848791242212</v>
      </c>
      <c r="L402">
        <v>0.98836882903762124</v>
      </c>
      <c r="M402">
        <v>19.49422209695603</v>
      </c>
    </row>
    <row r="403" spans="1:13">
      <c r="A403" t="s">
        <v>1209</v>
      </c>
      <c r="B403" t="s">
        <v>677</v>
      </c>
      <c r="C403">
        <v>0</v>
      </c>
      <c r="D403">
        <v>-3.0405825415149631E-2</v>
      </c>
      <c r="E403">
        <v>8.0384572241179036E-3</v>
      </c>
      <c r="F403">
        <v>5.3234104961684762E-6</v>
      </c>
      <c r="G403">
        <v>-7.1191511681786848E-2</v>
      </c>
      <c r="H403">
        <v>1.0268084212255071</v>
      </c>
      <c r="I403">
        <v>0.97389150627191878</v>
      </c>
      <c r="J403">
        <v>0.92689995628536714</v>
      </c>
      <c r="K403">
        <v>-4.2109942631877291E-2</v>
      </c>
      <c r="L403">
        <v>0.92689995628536714</v>
      </c>
      <c r="M403">
        <v>-36.522813625400602</v>
      </c>
    </row>
    <row r="404" spans="1:13">
      <c r="A404" t="s">
        <v>1212</v>
      </c>
      <c r="B404" t="s">
        <v>677</v>
      </c>
      <c r="C404">
        <v>0</v>
      </c>
      <c r="D404">
        <v>3.5867065873528801E-2</v>
      </c>
      <c r="E404">
        <v>5.3863641315795206E-2</v>
      </c>
      <c r="F404">
        <v>1.4932286533864983E-2</v>
      </c>
      <c r="G404">
        <v>-9.3133707078333877E-2</v>
      </c>
      <c r="H404">
        <v>1.2023095014111007</v>
      </c>
      <c r="I404">
        <v>0.66200007041950459</v>
      </c>
      <c r="J404">
        <v>0.8593146568408736</v>
      </c>
      <c r="K404">
        <v>0.15527500772658454</v>
      </c>
      <c r="L404">
        <v>0.68395343367826911</v>
      </c>
      <c r="M404">
        <v>-23.133831807107452</v>
      </c>
    </row>
    <row r="405" spans="1:13">
      <c r="A405" t="s">
        <v>1215</v>
      </c>
      <c r="B405" t="s">
        <v>677</v>
      </c>
      <c r="C405">
        <v>0</v>
      </c>
      <c r="D405">
        <v>-1.3290446384124213E-2</v>
      </c>
      <c r="E405">
        <v>2.5920319053085568E-2</v>
      </c>
      <c r="F405">
        <v>5.5583384710234289E-3</v>
      </c>
      <c r="G405">
        <v>0.24391629630809586</v>
      </c>
      <c r="H405">
        <v>1.4620439627834039</v>
      </c>
      <c r="I405">
        <v>0.56516717906239555</v>
      </c>
      <c r="J405">
        <v>1.4315825570634684</v>
      </c>
      <c r="K405">
        <v>0.23475954569348648</v>
      </c>
      <c r="L405">
        <v>1.1829156105532415</v>
      </c>
      <c r="M405">
        <v>11.899285978622895</v>
      </c>
    </row>
    <row r="406" spans="1:13">
      <c r="A406" t="s">
        <v>1218</v>
      </c>
      <c r="B406" t="s">
        <v>677</v>
      </c>
      <c r="C406">
        <v>0</v>
      </c>
      <c r="D406">
        <v>3.0627581924056554E-2</v>
      </c>
      <c r="E406">
        <v>1.9545832991418793E-2</v>
      </c>
      <c r="F406">
        <v>1.5309217488484598E-3</v>
      </c>
      <c r="G406">
        <v>0.14070821167002182</v>
      </c>
      <c r="H406">
        <v>1.2000085645984839</v>
      </c>
      <c r="I406">
        <v>0.82807950745513592</v>
      </c>
      <c r="J406">
        <v>1.1699211372860174</v>
      </c>
      <c r="K406">
        <v>0.13341995831085493</v>
      </c>
      <c r="L406">
        <v>1.1625535602280199</v>
      </c>
      <c r="M406">
        <v>16.180259879757124</v>
      </c>
    </row>
    <row r="407" spans="1:13">
      <c r="A407" t="s">
        <v>1221</v>
      </c>
      <c r="B407" t="s">
        <v>677</v>
      </c>
      <c r="C407">
        <v>0</v>
      </c>
      <c r="D407">
        <v>6.9612259695324835E-2</v>
      </c>
      <c r="E407">
        <v>7.6270646602116368E-2</v>
      </c>
      <c r="F407">
        <v>1.8368880518781716E-2</v>
      </c>
      <c r="G407">
        <v>0.13522683305498551</v>
      </c>
      <c r="H407">
        <v>1.1171884938574905</v>
      </c>
      <c r="I407">
        <v>0.67925272184973129</v>
      </c>
      <c r="J407">
        <v>1.19908176839798</v>
      </c>
      <c r="K407">
        <v>8.5691126990268443E-2</v>
      </c>
      <c r="L407">
        <v>0.90992718722171995</v>
      </c>
      <c r="M407">
        <v>9.6655107159349178</v>
      </c>
    </row>
    <row r="408" spans="1:13">
      <c r="A408" t="s">
        <v>1224</v>
      </c>
      <c r="B408" t="s">
        <v>677</v>
      </c>
      <c r="C408">
        <v>0</v>
      </c>
      <c r="D408">
        <v>2.8519741824950075E-2</v>
      </c>
      <c r="E408">
        <v>4.020363195771022E-2</v>
      </c>
      <c r="F408">
        <v>2.6344636911621536E-2</v>
      </c>
      <c r="G408">
        <v>6.0676331107658181E-2</v>
      </c>
      <c r="H408">
        <v>1.5016753386107344</v>
      </c>
      <c r="I408">
        <v>0.62280704710993662</v>
      </c>
      <c r="J408">
        <v>1.0974239636324279</v>
      </c>
      <c r="K408">
        <v>0.21738925271917731</v>
      </c>
      <c r="L408">
        <v>1.0263701334197153</v>
      </c>
      <c r="M408">
        <v>56.850072214198427</v>
      </c>
    </row>
    <row r="409" spans="1:13">
      <c r="A409" t="s">
        <v>1227</v>
      </c>
      <c r="B409" t="s">
        <v>677</v>
      </c>
      <c r="C409">
        <v>0</v>
      </c>
      <c r="D409">
        <v>2.8130715209233E-3</v>
      </c>
      <c r="E409">
        <v>1.2367229295982279E-2</v>
      </c>
      <c r="F409">
        <v>1.2622876661492913E-3</v>
      </c>
      <c r="G409">
        <v>9.1736916016851827E-2</v>
      </c>
      <c r="H409">
        <v>1.0697073255283955</v>
      </c>
      <c r="I409">
        <v>0.88237318108528739</v>
      </c>
      <c r="J409">
        <v>1.1039661199856718</v>
      </c>
      <c r="K409">
        <v>6.4350671953205332E-2</v>
      </c>
      <c r="L409">
        <v>1.0420127067413352</v>
      </c>
      <c r="M409">
        <v>21.774303284050767</v>
      </c>
    </row>
    <row r="410" spans="1:13">
      <c r="A410" t="s">
        <v>1230</v>
      </c>
      <c r="B410" t="s">
        <v>677</v>
      </c>
      <c r="C410">
        <v>0</v>
      </c>
      <c r="D410">
        <v>2.0550201634692889E-2</v>
      </c>
      <c r="E410">
        <v>3.6142154900813815E-2</v>
      </c>
      <c r="F410">
        <v>4.0885900222002239E-3</v>
      </c>
      <c r="G410">
        <v>0.19638576975548327</v>
      </c>
      <c r="H410">
        <v>1.3879866110054273</v>
      </c>
      <c r="I410">
        <v>0.65011438765872609</v>
      </c>
      <c r="J410">
        <v>1.3020787933377884</v>
      </c>
      <c r="K410">
        <v>0.15460174205058244</v>
      </c>
      <c r="L410">
        <v>1.1749308847049089</v>
      </c>
      <c r="M410">
        <v>10.414137311901504</v>
      </c>
    </row>
    <row r="411" spans="1:13">
      <c r="A411" t="s">
        <v>1233</v>
      </c>
      <c r="B411" t="s">
        <v>677</v>
      </c>
      <c r="C411">
        <v>0</v>
      </c>
      <c r="D411">
        <v>1.35833042773402E-2</v>
      </c>
      <c r="E411">
        <v>2.9549510538607226E-2</v>
      </c>
      <c r="F411">
        <v>7.5515649192656499E-3</v>
      </c>
      <c r="G411">
        <v>2.7376836116628656E-2</v>
      </c>
      <c r="H411">
        <v>1.1183481609056702</v>
      </c>
      <c r="I411">
        <v>0.85662473331861977</v>
      </c>
      <c r="J411">
        <v>1.0319589606181101</v>
      </c>
      <c r="K411">
        <v>7.7145099193212191E-2</v>
      </c>
      <c r="L411">
        <v>0.98862152941563641</v>
      </c>
      <c r="M411">
        <v>85.225188104621992</v>
      </c>
    </row>
    <row r="412" spans="1:13">
      <c r="A412" t="s">
        <v>1236</v>
      </c>
      <c r="B412" t="s">
        <v>677</v>
      </c>
      <c r="C412">
        <v>0</v>
      </c>
      <c r="D412">
        <v>7.617275099460559E-2</v>
      </c>
      <c r="E412">
        <v>7.5622933958630498E-2</v>
      </c>
      <c r="F412">
        <v>2.2739387151424231E-2</v>
      </c>
      <c r="G412">
        <v>0.12212651365184669</v>
      </c>
      <c r="H412">
        <v>1.1779822038804131</v>
      </c>
      <c r="I412">
        <v>0.62017964676998438</v>
      </c>
      <c r="J412">
        <v>1.1969211893487721</v>
      </c>
      <c r="K412">
        <v>0.12675738174641391</v>
      </c>
      <c r="L412">
        <v>0.874423446807716</v>
      </c>
      <c r="M412">
        <v>15.333657840083074</v>
      </c>
    </row>
    <row r="413" spans="1:13">
      <c r="A413" t="s">
        <v>1239</v>
      </c>
      <c r="B413" t="s">
        <v>677</v>
      </c>
      <c r="C413">
        <v>0</v>
      </c>
      <c r="D413">
        <v>3.4863165493395818E-3</v>
      </c>
      <c r="E413">
        <v>3.7267913834039122E-2</v>
      </c>
      <c r="F413">
        <v>2.7400630503944871E-2</v>
      </c>
      <c r="G413">
        <v>0.54587679847195414</v>
      </c>
      <c r="H413">
        <v>1.8553596685402418</v>
      </c>
      <c r="I413">
        <v>0.41912721151475468</v>
      </c>
      <c r="J413">
        <v>2.3024131659195253</v>
      </c>
      <c r="K413">
        <v>0.3707579866749417</v>
      </c>
      <c r="L413">
        <v>1.7904295201089442</v>
      </c>
      <c r="M413">
        <v>4.7995047320413455</v>
      </c>
    </row>
    <row r="414" spans="1:13">
      <c r="A414" t="s">
        <v>1242</v>
      </c>
      <c r="B414" t="s">
        <v>677</v>
      </c>
      <c r="C414">
        <v>0</v>
      </c>
      <c r="D414">
        <v>8.8838188306673473E-3</v>
      </c>
      <c r="E414">
        <v>4.4043318855347662E-3</v>
      </c>
      <c r="F414">
        <v>0</v>
      </c>
      <c r="G414">
        <v>0.41703011917272753</v>
      </c>
      <c r="H414">
        <v>1.7327779210729946</v>
      </c>
      <c r="I414">
        <v>0.57710799972610816</v>
      </c>
      <c r="J414">
        <v>1.7226205829249421</v>
      </c>
      <c r="K414">
        <v>0.33324005132495182</v>
      </c>
      <c r="L414">
        <v>1.7226205829249421</v>
      </c>
      <c r="M414">
        <v>6.326192175899485</v>
      </c>
    </row>
    <row r="415" spans="1:13">
      <c r="A415" t="s">
        <v>1245</v>
      </c>
      <c r="B415" t="s">
        <v>677</v>
      </c>
      <c r="C415">
        <v>0</v>
      </c>
      <c r="D415">
        <v>1.8720728757441116E-2</v>
      </c>
      <c r="E415">
        <v>3.5127545050315935E-2</v>
      </c>
      <c r="F415">
        <v>1.8555312054983758E-2</v>
      </c>
      <c r="G415">
        <v>0.43482707442098306</v>
      </c>
      <c r="H415">
        <v>2.0100025068939584</v>
      </c>
      <c r="I415">
        <v>0.43631541093470028</v>
      </c>
      <c r="J415">
        <v>1.9965888518342068</v>
      </c>
      <c r="K415">
        <v>0.26684875923454604</v>
      </c>
      <c r="L415">
        <v>1.7509985794267569</v>
      </c>
      <c r="M415">
        <v>8.1707970016827289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Costruzione_indici</vt:lpstr>
      <vt:lpstr>Dataset_definitivo</vt:lpstr>
      <vt:lpstr>Costruzione_indici!Dataset_definitivo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Zoffoli - nicholas.zoffoli@studio.unibo.it</dc:creator>
  <cp:lastModifiedBy>utente</cp:lastModifiedBy>
  <dcterms:created xsi:type="dcterms:W3CDTF">2025-03-28T18:49:37Z</dcterms:created>
  <dcterms:modified xsi:type="dcterms:W3CDTF">2025-04-07T08:40:34Z</dcterms:modified>
</cp:coreProperties>
</file>