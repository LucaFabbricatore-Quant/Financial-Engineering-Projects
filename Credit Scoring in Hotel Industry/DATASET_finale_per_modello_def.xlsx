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410b3f43a2fd3/Desktop/progetto gestione del rischio/dataset gestione/"/>
    </mc:Choice>
  </mc:AlternateContent>
  <xr:revisionPtr revIDLastSave="0" documentId="8_{ED95669E-6A82-42FD-887C-FB5E7360A1A5}" xr6:coauthVersionLast="47" xr6:coauthVersionMax="47" xr10:uidLastSave="{00000000-0000-0000-0000-000000000000}"/>
  <bookViews>
    <workbookView xWindow="-108" yWindow="-108" windowWidth="23256" windowHeight="13896" activeTab="2" xr2:uid="{C87938EB-1A60-3B44-8B36-FE7EA5A32E88}"/>
  </bookViews>
  <sheets>
    <sheet name="Foglio1" sheetId="1" r:id="rId1"/>
    <sheet name="costruzione indici" sheetId="2" r:id="rId2"/>
    <sheet name="Dataset finale per modello" sheetId="3" r:id="rId3"/>
  </sheets>
  <definedNames>
    <definedName name="_xlnm._FilterDatabase" localSheetId="0" hidden="1">Foglio1!$A$1:$AC$415</definedName>
    <definedName name="Dataset_definitivo" localSheetId="1">'costruzione indici'!$A$1:$AC$415</definedName>
    <definedName name="Dataset_definitivo" localSheetId="0">Foglio1!$A$1:$AC$415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2" i="3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2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0A2DE-58F5-1A45-BF86-04E99C005E9C}" name="Dataset_definitivo" type="6" refreshedVersion="8" background="1" saveData="1">
    <textPr sourceFile="/Users/nicholaszoffoli/Desktop/Università/Magistrale/2° anno/Gestione del rischio/Modelli di previsione delle insolvenze/Progetto/Progetto_insolvenze/Dataset_definitivo" decimal="," thousands="." tab="0" semicolon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2142041-D93A-4B8E-9B0F-93BB29B43F59}" name="Dataset_definitivo1" type="6" refreshedVersion="8" background="1" saveData="1">
    <textPr sourceFile="/Users/nicholaszoffoli/Desktop/Università/Magistrale/2° anno/Gestione del rischio/Modelli di previsione delle insolvenze/Progetto/Progetto_insolvenze/Dataset_definitivo" decimal="," thousands="." tab="0" semicolon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<sst xmlns="http://schemas.openxmlformats.org/spreadsheetml/2006/main" count="5049" uniqueCount="902">
  <si>
    <t>Id</t>
  </si>
  <si>
    <t>Ragione_sociale</t>
  </si>
  <si>
    <t>Regione</t>
  </si>
  <si>
    <t>Anno_Costituzione</t>
  </si>
  <si>
    <t>Numero_Dipendenti</t>
  </si>
  <si>
    <t>Numero_CCIAA</t>
  </si>
  <si>
    <t>Risultato_Netto_2023</t>
  </si>
  <si>
    <t>EBITDA_2023</t>
  </si>
  <si>
    <t>Ricavi_Vendite_2023</t>
  </si>
  <si>
    <t>Tot_Patrimonio_Netto_2023</t>
  </si>
  <si>
    <t>Attivo_Circolante_2023</t>
  </si>
  <si>
    <t>Tot_Rimanenze_2023</t>
  </si>
  <si>
    <t>Debiti_Breve_2023</t>
  </si>
  <si>
    <t>Cap_Circ_Netto_2023</t>
  </si>
  <si>
    <t>Flusso_di_Cassa_2023</t>
  </si>
  <si>
    <t>Tot_Immobilizzazione_2023</t>
  </si>
  <si>
    <t>Debiti_a_Oltre_2023</t>
  </si>
  <si>
    <t>Tot_Oneri_Fin_2023</t>
  </si>
  <si>
    <t>Tot_Debiti_2022</t>
  </si>
  <si>
    <t>Tot_Debiti_2023</t>
  </si>
  <si>
    <t>Tot_Attivo_2023</t>
  </si>
  <si>
    <t>Tot_Attivo_2022</t>
  </si>
  <si>
    <t>Tot_Attivo_2021</t>
  </si>
  <si>
    <t>Tot_Attivo_2020</t>
  </si>
  <si>
    <t>Indice_Indip_Fin_2023</t>
  </si>
  <si>
    <t>Tot_attivo_medio</t>
  </si>
  <si>
    <t>Macroarea</t>
  </si>
  <si>
    <t>Quartile</t>
  </si>
  <si>
    <t>Stato</t>
  </si>
  <si>
    <t>RIZZANI DE ECCHER S.P.A.</t>
  </si>
  <si>
    <t>Friuli-Venezia Giulia</t>
  </si>
  <si>
    <t>UD0115684</t>
  </si>
  <si>
    <t>Nord</t>
  </si>
  <si>
    <t>Fallita</t>
  </si>
  <si>
    <t>GENOVA HIGH TECH S.P.A.</t>
  </si>
  <si>
    <t>Liguria</t>
  </si>
  <si>
    <t>GE0405283</t>
  </si>
  <si>
    <t>A. &amp; I. DELLA MORTE S.P.A. IN LIQUIDAZIONE</t>
  </si>
  <si>
    <t>Campania</t>
  </si>
  <si>
    <t>NA0587447</t>
  </si>
  <si>
    <t>Sud</t>
  </si>
  <si>
    <t>SITECO S.R.L.</t>
  </si>
  <si>
    <t>Emilia-Romagna</t>
  </si>
  <si>
    <t>MO0403579</t>
  </si>
  <si>
    <t>BODINO S.R.L.</t>
  </si>
  <si>
    <t>Piemonte</t>
  </si>
  <si>
    <t>TO0803681</t>
  </si>
  <si>
    <t>FISEQUA S.R.L. - IN FALLLIMENTO</t>
  </si>
  <si>
    <t>Sardegna</t>
  </si>
  <si>
    <t>NU0080265</t>
  </si>
  <si>
    <t>ILOCSA S.R.L. - IN LIQUIDAZIONE</t>
  </si>
  <si>
    <t>Marche</t>
  </si>
  <si>
    <t>AP0138003</t>
  </si>
  <si>
    <t>Centro</t>
  </si>
  <si>
    <t>SEMITEC S.R.L. IN LIQUIDAZIONE</t>
  </si>
  <si>
    <t>Lazio</t>
  </si>
  <si>
    <t>RM1188992</t>
  </si>
  <si>
    <t>EDILFERRI S.P.A.</t>
  </si>
  <si>
    <t>Lombardia</t>
  </si>
  <si>
    <t>BG0330304</t>
  </si>
  <si>
    <t>DE VIVO S.P.A.</t>
  </si>
  <si>
    <t>Basilicata</t>
  </si>
  <si>
    <t>PZ0058416</t>
  </si>
  <si>
    <t>LAB S.R.L.</t>
  </si>
  <si>
    <t>RM1390233</t>
  </si>
  <si>
    <t>ENERGA GROUP S.R.L.</t>
  </si>
  <si>
    <t>MI1281766</t>
  </si>
  <si>
    <t>ISNARDI IMMOBILIARE SRL</t>
  </si>
  <si>
    <t>IM0111802</t>
  </si>
  <si>
    <t>MARZUOLO COSTRUZIONI S.R.L. IN LIQUIDAZIONE</t>
  </si>
  <si>
    <t>Sicilia</t>
  </si>
  <si>
    <t>EN0043079</t>
  </si>
  <si>
    <t>L'IDEA S.R.L.</t>
  </si>
  <si>
    <t>MI2107679</t>
  </si>
  <si>
    <t>IMMOBILIARE SELVA AMENA S.R.L.</t>
  </si>
  <si>
    <t>UD0156657</t>
  </si>
  <si>
    <t>FALCON GENERAL CONTRACT S.R.L.</t>
  </si>
  <si>
    <t>BS0537091</t>
  </si>
  <si>
    <t>TE.VIA. S.R.L. IN LIQUIDAZIONE</t>
  </si>
  <si>
    <t>MI1751695</t>
  </si>
  <si>
    <t>AELLE SRL</t>
  </si>
  <si>
    <t>MI1921595</t>
  </si>
  <si>
    <t>BORGO DEL SOLE RESORT S.R.L.</t>
  </si>
  <si>
    <t>MI2107334</t>
  </si>
  <si>
    <t>BAIA TAORMINA COSTRUZIONI S.P.A. IN LIQUIDAZIONE</t>
  </si>
  <si>
    <t>CT0138278</t>
  </si>
  <si>
    <t>RO.DO.PA. S.R.L. IN LIQUIDAZIONE</t>
  </si>
  <si>
    <t>SA0353596</t>
  </si>
  <si>
    <t>TBI SRL IN LIQUIDAZIONE</t>
  </si>
  <si>
    <t>AN0078164</t>
  </si>
  <si>
    <t>RAGO SOLAR TECHNOLOGY S.R.L.</t>
  </si>
  <si>
    <t>PZ0131542</t>
  </si>
  <si>
    <t>LA GIOIA COSTRUZIONI S.R.L.</t>
  </si>
  <si>
    <t>Puglia</t>
  </si>
  <si>
    <t>BA0194311</t>
  </si>
  <si>
    <t>BRACCIANTI EDILIZIA S.R.L.</t>
  </si>
  <si>
    <t>Toscana</t>
  </si>
  <si>
    <t>PI0037997</t>
  </si>
  <si>
    <t>IMMOBILIARE PARADISO DELL'ETNA S.P.A.IN LIQUIDAZIONE</t>
  </si>
  <si>
    <t>CT0190743</t>
  </si>
  <si>
    <t>IMPRESA RIGHETTI PROSPERINO S.R.L.</t>
  </si>
  <si>
    <t>Veneto</t>
  </si>
  <si>
    <t>VR0295474</t>
  </si>
  <si>
    <t>POLO TECNOLOGICO BRIANZA S.R.L.</t>
  </si>
  <si>
    <t>MB1592365</t>
  </si>
  <si>
    <t>BP ENGINEERING S.R.L</t>
  </si>
  <si>
    <t>MS0116913</t>
  </si>
  <si>
    <t>DM GROUP SRL</t>
  </si>
  <si>
    <t>MI2609895</t>
  </si>
  <si>
    <t>COSTRUZIONI GENERALI S.R.L.</t>
  </si>
  <si>
    <t>BA0235370</t>
  </si>
  <si>
    <t>C2-30 S.R.L.</t>
  </si>
  <si>
    <t>TV0324880</t>
  </si>
  <si>
    <t>KHUNKEN TECNOLOGY S.R.L.</t>
  </si>
  <si>
    <t>CN0263598</t>
  </si>
  <si>
    <t>DOMUS BRENTA S.R.L.</t>
  </si>
  <si>
    <t>VI0383383</t>
  </si>
  <si>
    <t>ERGON SRL</t>
  </si>
  <si>
    <t>RA0207841</t>
  </si>
  <si>
    <t>C.F.G. S.R.L.</t>
  </si>
  <si>
    <t>GE0402073</t>
  </si>
  <si>
    <t>EDILNORDVERONA S.R.L.</t>
  </si>
  <si>
    <t>VR0394963</t>
  </si>
  <si>
    <t>IMMOBILIARE BELLAVISTA SRL IN LIQUIDAZIONE</t>
  </si>
  <si>
    <t>MO0322064</t>
  </si>
  <si>
    <t>SE.G.I. S.R.L.</t>
  </si>
  <si>
    <t>Calabria</t>
  </si>
  <si>
    <t>CS0173443</t>
  </si>
  <si>
    <t>MIT COSTRUTTORI S.R.L.</t>
  </si>
  <si>
    <t>CT0288775</t>
  </si>
  <si>
    <t>SIRIO SRL IN LIQUIDAZIONE</t>
  </si>
  <si>
    <t>MI0517092</t>
  </si>
  <si>
    <t>C.E.I. S.R.L.</t>
  </si>
  <si>
    <t>MI1782629</t>
  </si>
  <si>
    <t>GEZ 2000 S.R.L.</t>
  </si>
  <si>
    <t>RE0152562</t>
  </si>
  <si>
    <t>ALFA COSTRUZIONI S.R.L. IN LIQUIDAZIONE</t>
  </si>
  <si>
    <t>MI1895738</t>
  </si>
  <si>
    <t>ROMA COSTRUZIONI APPALTI - SOCIETA A RESPONSABILITA LIMITATA</t>
  </si>
  <si>
    <t>RM0723578</t>
  </si>
  <si>
    <t>ELIMAR S.R.L.</t>
  </si>
  <si>
    <t>PA0291823</t>
  </si>
  <si>
    <t>VISCOLOR S.R.L.</t>
  </si>
  <si>
    <t>Trentino-Alto¬†Adige/S√ºdtirol</t>
  </si>
  <si>
    <t>TN0119942</t>
  </si>
  <si>
    <t>GECOS S.R.L.</t>
  </si>
  <si>
    <t>MT0047568</t>
  </si>
  <si>
    <t>LANOTTE COSTRUZIONI S.R.L.</t>
  </si>
  <si>
    <t>BA0530721</t>
  </si>
  <si>
    <t>GALASSIA COSTRUZIONI S.R.L.</t>
  </si>
  <si>
    <t>GR0080327</t>
  </si>
  <si>
    <t>SYNTHESIS SRL</t>
  </si>
  <si>
    <t>MI1310674</t>
  </si>
  <si>
    <t>ROGICAL S.R.L.</t>
  </si>
  <si>
    <t>CZ0168731</t>
  </si>
  <si>
    <t>CGF SRL</t>
  </si>
  <si>
    <t>RM1480389</t>
  </si>
  <si>
    <t>LA KASA S.R.L. IN LIQUIDAZIONE</t>
  </si>
  <si>
    <t>FI0548982</t>
  </si>
  <si>
    <t>TECNO EDIL SRL</t>
  </si>
  <si>
    <t>MI1561662</t>
  </si>
  <si>
    <t>IMPRESA COSTRUZIONI EDILI MERIZIOLA SRL</t>
  </si>
  <si>
    <t>Umbria</t>
  </si>
  <si>
    <t>TR0051699</t>
  </si>
  <si>
    <t>GAMBALE IMMOBILIARE S.R.L.</t>
  </si>
  <si>
    <t>FE0170960</t>
  </si>
  <si>
    <t>C.E.A.M. COSTRUZIONI ELETTRICHE E ASSEMBLAGGIO MECCANICO - SOCIET A A RESPONSABILITA LIMITATA</t>
  </si>
  <si>
    <t>RM0627830</t>
  </si>
  <si>
    <t>COSMO COSTRUZIONI MODERNE S.R.L.</t>
  </si>
  <si>
    <t>GE0134027</t>
  </si>
  <si>
    <t>COSIMO PRIMO S.R.L.</t>
  </si>
  <si>
    <t>LI0096552</t>
  </si>
  <si>
    <t>GE.CO. COSTRUZIONI VERONA S.R.L.</t>
  </si>
  <si>
    <t>VR0326830</t>
  </si>
  <si>
    <t>COIM PROJECT S.R.L.</t>
  </si>
  <si>
    <t>LE0173352</t>
  </si>
  <si>
    <t>SUPERPLAST S.R.L. IN LIQUIDAZIONE</t>
  </si>
  <si>
    <t>SV0211787</t>
  </si>
  <si>
    <t>IT COSTRUZIONI GENERALI S.R.L.</t>
  </si>
  <si>
    <t>RE0288862</t>
  </si>
  <si>
    <t>I.G.E. SRL</t>
  </si>
  <si>
    <t>MI1996508</t>
  </si>
  <si>
    <t>PINCIARA SRL</t>
  </si>
  <si>
    <t>MI1934045</t>
  </si>
  <si>
    <t>RAM S.R.L.</t>
  </si>
  <si>
    <t>MB1748824</t>
  </si>
  <si>
    <t>GARDA EXCLUSIVE S.R.L.</t>
  </si>
  <si>
    <t>TN0217766</t>
  </si>
  <si>
    <t>I.T.A.C.A. S.R.L.</t>
  </si>
  <si>
    <t>BO0410662</t>
  </si>
  <si>
    <t>BRO SOCIETA' A RESPONSABILITA' LIMITATA - IN FALLIMENTO</t>
  </si>
  <si>
    <t>CA0351669</t>
  </si>
  <si>
    <t>IMMOBILIARE PALADESIO S.R.L.</t>
  </si>
  <si>
    <t>NA0961077</t>
  </si>
  <si>
    <t>VIRIDE S.R.L. IN LIQUIDAZIONE</t>
  </si>
  <si>
    <t>CL0116978</t>
  </si>
  <si>
    <t>B.C. IMPIANTI ELETTRICI S.R.L. O IN FORMA ABBREVIATA BC S.R.L.</t>
  </si>
  <si>
    <t>MB1824444</t>
  </si>
  <si>
    <t>CLENS HABITAT S.R.L. IN LIQUIDAZIONE</t>
  </si>
  <si>
    <t>MI1862145</t>
  </si>
  <si>
    <t>LENTA ANTONIO S.R.L.</t>
  </si>
  <si>
    <t>CN0284445</t>
  </si>
  <si>
    <t>VICAM SRL</t>
  </si>
  <si>
    <t>FI0589911</t>
  </si>
  <si>
    <t>LISCIANI IMMOBILIARE SRL</t>
  </si>
  <si>
    <t>AP0200801</t>
  </si>
  <si>
    <t>ASTI ENGINEERING S.R.L.</t>
  </si>
  <si>
    <t>LE0298935</t>
  </si>
  <si>
    <t>FANAC IMMOBILIARE SRL IN LIQUIDAZIONE</t>
  </si>
  <si>
    <t>VR0330066</t>
  </si>
  <si>
    <t>E.DI.MAR. S.R.L.</t>
  </si>
  <si>
    <t>PA0161286</t>
  </si>
  <si>
    <t>AZETA S.R.L.</t>
  </si>
  <si>
    <t>FI0595535</t>
  </si>
  <si>
    <t>P GROUP S.R.L. IN LIQUIDAZIONE</t>
  </si>
  <si>
    <t>BG0431687</t>
  </si>
  <si>
    <t>C.F. S.R.L.</t>
  </si>
  <si>
    <t>KR0181482</t>
  </si>
  <si>
    <t>ROMAGNOLI E C. COSTRUZIONI EDILI S.R.L. - IN LIQUIDAZIONE</t>
  </si>
  <si>
    <t>PS0155788</t>
  </si>
  <si>
    <t>EURO COSTRUZIONI SRL IN LIQUIDAZIONE</t>
  </si>
  <si>
    <t>BS0567335</t>
  </si>
  <si>
    <t>IDROIMPIANTI SA.VA. S.R.L. IN LIQUIDAZIONE</t>
  </si>
  <si>
    <t>MI1360501</t>
  </si>
  <si>
    <t>PIETRO DURANTE S.R.L. IN LIQUIDAZIONE</t>
  </si>
  <si>
    <t>TP0152151</t>
  </si>
  <si>
    <t>CERQUELLE S.R.L. - IN LIQUIDAZIONE</t>
  </si>
  <si>
    <t>PS0087629</t>
  </si>
  <si>
    <t>EDILTECNO S.R.L. IN LIQUIDAZIONE</t>
  </si>
  <si>
    <t>VE0284137</t>
  </si>
  <si>
    <t>COVEI SRL IN LIQUIDAZIONE</t>
  </si>
  <si>
    <t>TO0745792</t>
  </si>
  <si>
    <t>AMD COSTRUZIONI SRL</t>
  </si>
  <si>
    <t>LT0180188</t>
  </si>
  <si>
    <t>TIPICAL COSTRUZIONI S.R.L.</t>
  </si>
  <si>
    <t>MB2566980</t>
  </si>
  <si>
    <t>TICANI S.R.L. IN LIQUIDAZIONE</t>
  </si>
  <si>
    <t>MC0167886</t>
  </si>
  <si>
    <t>SATRINI S.R.L. IN FALLIMENTO</t>
  </si>
  <si>
    <t>PG0277123</t>
  </si>
  <si>
    <t>TECH. COS. S.R.L.</t>
  </si>
  <si>
    <t>GE0324325</t>
  </si>
  <si>
    <t>PF INGEGNERIA SRL - IN LIQUIDAZIONE</t>
  </si>
  <si>
    <t>MI2001800</t>
  </si>
  <si>
    <t>EDILGEN S.R.L.</t>
  </si>
  <si>
    <t>Molise</t>
  </si>
  <si>
    <t>CB0106164</t>
  </si>
  <si>
    <t>IMPRESA OGLIAR BADESSI SRL (IN FALLIMENTO)</t>
  </si>
  <si>
    <t>CR0183383</t>
  </si>
  <si>
    <t>IMMOBILIARE L.A.S. S.R.L.</t>
  </si>
  <si>
    <t>MI1005561</t>
  </si>
  <si>
    <t>DUEBI S.R.L.</t>
  </si>
  <si>
    <t>VA0314880</t>
  </si>
  <si>
    <t>RICUCCI COSTRUZIONI SOCIETA' A RESPONSABILITA' LIMITATA</t>
  </si>
  <si>
    <t>FG0300315</t>
  </si>
  <si>
    <t>ZANZAIMMOBILI S.R.L. IN LIQUIDAZIONE</t>
  </si>
  <si>
    <t>VR0352003</t>
  </si>
  <si>
    <t>IMMOBILIARE PERSEO S.R.L.</t>
  </si>
  <si>
    <t>PT0149996</t>
  </si>
  <si>
    <t>GU.NA S.R.L.</t>
  </si>
  <si>
    <t>VA0315937</t>
  </si>
  <si>
    <t>IATTONI COSTRUZIONI S.R.L. IN FALLIMENTO</t>
  </si>
  <si>
    <t>PR0186192</t>
  </si>
  <si>
    <t>NUOVA ECOLOGIA S.R.L. IN LIQUIDAZIONE</t>
  </si>
  <si>
    <t>NA0770819</t>
  </si>
  <si>
    <t>S.F. SERVIZI SCACCIA S.R.L.</t>
  </si>
  <si>
    <t>RM1366726</t>
  </si>
  <si>
    <t>COGEMAT S.R.L.</t>
  </si>
  <si>
    <t>TP0166239</t>
  </si>
  <si>
    <t>IMMOBILQUATTRO SRL</t>
  </si>
  <si>
    <t>MI1309047</t>
  </si>
  <si>
    <t>SEIEMME - S.R.L.</t>
  </si>
  <si>
    <t>RM0998577</t>
  </si>
  <si>
    <t>IMPIANTI TECNOLOGIE SERVIZI S.R.L.</t>
  </si>
  <si>
    <t>VE0371861</t>
  </si>
  <si>
    <t>ALIBONI COSTRUZIONI S.R.L.</t>
  </si>
  <si>
    <t>LU0236365</t>
  </si>
  <si>
    <t>CGS S.R.L.</t>
  </si>
  <si>
    <t>NU0103790</t>
  </si>
  <si>
    <t>TECNOA SRL</t>
  </si>
  <si>
    <t>RE0285342</t>
  </si>
  <si>
    <t>RESTAUREA S.R.L.</t>
  </si>
  <si>
    <t>BR0132351</t>
  </si>
  <si>
    <t>NAPOLI IMMOBILIARE S.R.L.</t>
  </si>
  <si>
    <t>NA0687702</t>
  </si>
  <si>
    <t>ARTEDILIA S.R.L. IN LIQUIDAZIONE</t>
  </si>
  <si>
    <t>TV0349705</t>
  </si>
  <si>
    <t>E.T. TELECOMMUNICATION S.R.L.</t>
  </si>
  <si>
    <t>CE0292639</t>
  </si>
  <si>
    <t>D.C. COSTRUZIONI S.R.L.</t>
  </si>
  <si>
    <t>PO0510359</t>
  </si>
  <si>
    <t>COSTRUZIONI EDILI BATTISTON LUCA S.R.L. IN LIQUIDAZIONE</t>
  </si>
  <si>
    <t>PD0427738</t>
  </si>
  <si>
    <t>S.I.R.CO. S.R.L. IN LIQUIDAZIONE</t>
  </si>
  <si>
    <t>VE0171319</t>
  </si>
  <si>
    <t>D &amp; C BUILDING S.R.L.</t>
  </si>
  <si>
    <t>MI2090432</t>
  </si>
  <si>
    <t>CO.GE.IM. - COSTRUZIONE GESTIONE IMMOBILI - S.R.L. IN LIQUIDAZIONE</t>
  </si>
  <si>
    <t>RM0922123</t>
  </si>
  <si>
    <t>EDILIZIA SICURO SRL</t>
  </si>
  <si>
    <t>LE0277684</t>
  </si>
  <si>
    <t>LORALBA S.R.L.</t>
  </si>
  <si>
    <t>VR0337858</t>
  </si>
  <si>
    <t>ECORAT SRL</t>
  </si>
  <si>
    <t>PD0367011</t>
  </si>
  <si>
    <t>FRIGOMASTER S.R.L. IN LIQUIDAZIONE</t>
  </si>
  <si>
    <t>NA0504924</t>
  </si>
  <si>
    <t>R.S. ENERGIA E SERVIZI S.R.L.</t>
  </si>
  <si>
    <t>MI2045326</t>
  </si>
  <si>
    <t>IMMOBILIARE SAN ROCCO SRL</t>
  </si>
  <si>
    <t>MB1665614</t>
  </si>
  <si>
    <t>EDIL 2021 S.R.L. IN LIQUIDAZIONE</t>
  </si>
  <si>
    <t>PI0111584</t>
  </si>
  <si>
    <t>NUOVA DUEFFE SOCIETA' A RESPONSABILITA' LIMITATA IN LIQUIDAZIONE</t>
  </si>
  <si>
    <t>MO0401156</t>
  </si>
  <si>
    <t>S.I.TEC. SRL</t>
  </si>
  <si>
    <t>SA0245480</t>
  </si>
  <si>
    <t>IMPRESA EDILE ZUCCHETTO S.R.L.</t>
  </si>
  <si>
    <t>AL0116814</t>
  </si>
  <si>
    <t>IMM.RE LA PERLA S.R.L.</t>
  </si>
  <si>
    <t>MI1785695</t>
  </si>
  <si>
    <t>C.E.A. IMPIANTI S.R.L.</t>
  </si>
  <si>
    <t>CT0139463</t>
  </si>
  <si>
    <t>C.L. IMPIANTI S.R.L.</t>
  </si>
  <si>
    <t>BG0362302</t>
  </si>
  <si>
    <t>MGC S.R.L.</t>
  </si>
  <si>
    <t>TO1171865</t>
  </si>
  <si>
    <t>M.P. COSTRUZIONI S.R.L.</t>
  </si>
  <si>
    <t>NA0697110</t>
  </si>
  <si>
    <t>ECOEDILIZIA SRLS SOCIETA' A RESPONSABILITA' LIMITATA SEMPLIFICATA IN FALLIMENTO</t>
  </si>
  <si>
    <t>PG0286825</t>
  </si>
  <si>
    <t>VENTI S.R.L.</t>
  </si>
  <si>
    <t>LO1450425</t>
  </si>
  <si>
    <t>IL MATTONE ROSSO SRL</t>
  </si>
  <si>
    <t>NA1041555</t>
  </si>
  <si>
    <t>ELETTROIMPIANTI S.R.L. IN SCIOGLIMENTO</t>
  </si>
  <si>
    <t>NA0683173</t>
  </si>
  <si>
    <t>LUMIA ARREDI S.R.L.</t>
  </si>
  <si>
    <t>VE0376237</t>
  </si>
  <si>
    <t>ARTE EDILE S.R.L.</t>
  </si>
  <si>
    <t>TO1135762</t>
  </si>
  <si>
    <t>ELETTRO SERVICE S.R.L. - SOCIETA' A RESPONSABILITA' LIMITATA</t>
  </si>
  <si>
    <t>BN0126315</t>
  </si>
  <si>
    <t>LA TERMOIDRAULICA SOCIETA A RESPONSABILITA LIMITATA</t>
  </si>
  <si>
    <t>RM0477637</t>
  </si>
  <si>
    <t>R.M. SCAVI S.R.L. IN LIQUIDAZIONE</t>
  </si>
  <si>
    <t>PV0249603</t>
  </si>
  <si>
    <t>S.E.A. COSTRUZIONI SRL</t>
  </si>
  <si>
    <t>GR0069144</t>
  </si>
  <si>
    <t>BAAS S.R.L. - IN FALLIMENTO</t>
  </si>
  <si>
    <t>SS0191411</t>
  </si>
  <si>
    <t>A.M. COSTRUZIONI S.R.L.S.</t>
  </si>
  <si>
    <t>TO1210276</t>
  </si>
  <si>
    <t>EI SYSTEMS ELECTRIC S.R.L. IN LIQUIDAZIONE</t>
  </si>
  <si>
    <t>Abruzzo</t>
  </si>
  <si>
    <t>CH0176626</t>
  </si>
  <si>
    <t>EDIL 2 S.R.L. (IN FALLIMENTO)</t>
  </si>
  <si>
    <t>CR0158832</t>
  </si>
  <si>
    <t>ING. PASQUALE ISIDORI - SOCIETA' A RESPONSABILITA' LIMITATA</t>
  </si>
  <si>
    <t>RM0308160</t>
  </si>
  <si>
    <t>CMSPIGASFALTI SRL</t>
  </si>
  <si>
    <t>GE0479094</t>
  </si>
  <si>
    <t>IMMOBILIARE MACRI S.R.L.</t>
  </si>
  <si>
    <t>BG0354345</t>
  </si>
  <si>
    <t>EFP ENERGYSERVICE SOCIETA' A RESPONSABILITA' LIMITATA</t>
  </si>
  <si>
    <t>PO0513344</t>
  </si>
  <si>
    <t>SAFE ROADS S.R.L. A SOCIO UNICO</t>
  </si>
  <si>
    <t>PA0265750</t>
  </si>
  <si>
    <t>ARCHIGROUP S.R.L.</t>
  </si>
  <si>
    <t>FI0597305</t>
  </si>
  <si>
    <t>GESTIONE SERVIZI EDILI SOCIETA' A RESPONSABILITA' LIMITATA SEMPLIFICATA A SOCIO UNICO</t>
  </si>
  <si>
    <t>MO0415098</t>
  </si>
  <si>
    <t>AV CONTRACT S.R.L. - UNIPERSONALE -</t>
  </si>
  <si>
    <t>AR0172318</t>
  </si>
  <si>
    <t>3 - BOX S.R.L.</t>
  </si>
  <si>
    <t>TO0989804</t>
  </si>
  <si>
    <t>EDIL PROGETTI S.R.L.</t>
  </si>
  <si>
    <t>MC0192521</t>
  </si>
  <si>
    <t>COEMA S.R.L.</t>
  </si>
  <si>
    <t>BA0399031</t>
  </si>
  <si>
    <t>COSTRUIRE 1 S.R.L. IN LIQUIDAZIONE - IN FALLIMENTO</t>
  </si>
  <si>
    <t>FR0176827</t>
  </si>
  <si>
    <t>RIECO S.R.L. - IN FALLIMENTO</t>
  </si>
  <si>
    <t>SS0177702</t>
  </si>
  <si>
    <t>MERIDIO COSTRUZIONI S.R.L.</t>
  </si>
  <si>
    <t>CS0192876</t>
  </si>
  <si>
    <t>SEVERAL S.R.L. IN LIQUIDAZIONE</t>
  </si>
  <si>
    <t>MI1926784</t>
  </si>
  <si>
    <t>I.C.E.R. SRL COSTRUZIONI</t>
  </si>
  <si>
    <t>PV0276914</t>
  </si>
  <si>
    <t>B. ONE S.R.L.</t>
  </si>
  <si>
    <t>TV0365408</t>
  </si>
  <si>
    <t>GIO' MALER SOCIETA' A RESPONSABILITA' LIMITATA SEMPLIFICATA</t>
  </si>
  <si>
    <t>BZ0212933</t>
  </si>
  <si>
    <t>GENECOST DUE S.R.L. IN LIQUIDAZIONE</t>
  </si>
  <si>
    <t>RM1169550</t>
  </si>
  <si>
    <t>COSTRUZIONI SURIANO S.R.L.</t>
  </si>
  <si>
    <t>CO0314483</t>
  </si>
  <si>
    <t>C. &amp; C. CARTONGESSO S.R.L.</t>
  </si>
  <si>
    <t>FO0322965</t>
  </si>
  <si>
    <t>GLOBAL TECHNOLOGY S.R.L.</t>
  </si>
  <si>
    <t>CS0232943</t>
  </si>
  <si>
    <t>CMG S.R.L.</t>
  </si>
  <si>
    <t>NA0943853</t>
  </si>
  <si>
    <t>NOVATEK S.R.L.</t>
  </si>
  <si>
    <t>TO1086887</t>
  </si>
  <si>
    <t>IL DOGE S.R.L. IN LIQUIDAZIONE</t>
  </si>
  <si>
    <t>VE0326738</t>
  </si>
  <si>
    <t>BIEFFE S.R.L. IN LIQUIDAZIONE</t>
  </si>
  <si>
    <t>GR0132128</t>
  </si>
  <si>
    <t>AGROVOLT S.R.L. IN LIQUIDAZIONE</t>
  </si>
  <si>
    <t>CB0122418</t>
  </si>
  <si>
    <t>BORGOBLU S.R.L.</t>
  </si>
  <si>
    <t>AR0155802</t>
  </si>
  <si>
    <t>LF SERVIZI S.R.L.</t>
  </si>
  <si>
    <t>VE0360366</t>
  </si>
  <si>
    <t>CAMMA SOCIETA' A RESPONSABILITA' LIMITATA SEMPLIFICATA</t>
  </si>
  <si>
    <t>RC0188092</t>
  </si>
  <si>
    <t>R9 EDILIZIA S.R.L.S.</t>
  </si>
  <si>
    <t>BR0150167</t>
  </si>
  <si>
    <t>GENERALI COSTRUZIONI IMPIANTI S.R.L.</t>
  </si>
  <si>
    <t>RM1374856</t>
  </si>
  <si>
    <t>ABAX SRL IN LIQUIDAZIONE</t>
  </si>
  <si>
    <t>BS0463971</t>
  </si>
  <si>
    <t>CENTRO ARIA COMPRESSA CO.M.I. S.R.L.</t>
  </si>
  <si>
    <t>NA0320585</t>
  </si>
  <si>
    <t>CO.GA. COSTRUZIONI S.R.L.</t>
  </si>
  <si>
    <t>RM1401996</t>
  </si>
  <si>
    <t>FERROBETON CATANIA S.R.L. IN LIQUIDAZIONE</t>
  </si>
  <si>
    <t>CT0324223</t>
  </si>
  <si>
    <t>FB COSTRUZIONI S.R.L. SEMPLIFICATA - IN FALLIMENTO</t>
  </si>
  <si>
    <t>FR0185961</t>
  </si>
  <si>
    <t>EUROVINCI SRL IN LIQUIDAZIONE</t>
  </si>
  <si>
    <t>PD0389555</t>
  </si>
  <si>
    <t>AB COSTRUZIONI S.R.L.</t>
  </si>
  <si>
    <t>CT0329832</t>
  </si>
  <si>
    <t>G.T. COSTRUZIONI S.R.L. IN LIQUIDAZIONE - IN FALLIMENTO</t>
  </si>
  <si>
    <t>PG0283111</t>
  </si>
  <si>
    <t>VAVALLE S.R.L. - IN LIQUIDAZIONE</t>
  </si>
  <si>
    <t>BA0534478</t>
  </si>
  <si>
    <t>EFFEPI S.R.L.</t>
  </si>
  <si>
    <t>AN0121858</t>
  </si>
  <si>
    <t>TUTTO IMPIANTI SRL IN LIQUIDAZIONE - IN FALLIMENTO</t>
  </si>
  <si>
    <t>PG0243787</t>
  </si>
  <si>
    <t>IMPRESA TRASPORTI COSTRUZIONI SRL IN LIQUIDAZIONE</t>
  </si>
  <si>
    <t>RM1634270</t>
  </si>
  <si>
    <t>SICUREZZA 95 S.R.L. IN LIQUIDAZIONE</t>
  </si>
  <si>
    <t>MI2058733</t>
  </si>
  <si>
    <t>FANDANGO S.R.L. - IN LIQUIDAZIONE</t>
  </si>
  <si>
    <t>VI0315004</t>
  </si>
  <si>
    <t>DIM SEGNALETICA S.R.L.IN LIQUIDAZIONE</t>
  </si>
  <si>
    <t>TO1077940</t>
  </si>
  <si>
    <t>EDILCASTELLI SOCIETA' A RESPONSABILITA' LIMITATA SEMPLIFICATA</t>
  </si>
  <si>
    <t>LT0209115</t>
  </si>
  <si>
    <t>EKONIC S.R.L. IN LIQUIDAZIONE</t>
  </si>
  <si>
    <t>PD0422059</t>
  </si>
  <si>
    <t>RC IMPIANTI S.R.L. IN LIQUIDAZIONE</t>
  </si>
  <si>
    <t>RM1355325</t>
  </si>
  <si>
    <t>GLOBALTECH SOCIETA' A RESPONSABILITA' LIMITATA SEMPLIFICATA - IN LIQUIDAZIONE</t>
  </si>
  <si>
    <t>PE0152037</t>
  </si>
  <si>
    <t>SCOTTI S.R.L</t>
  </si>
  <si>
    <t>MI1740763</t>
  </si>
  <si>
    <t>C.I.R. IMMOBILIARE S.R.L. IN LIQUIDAZIONE</t>
  </si>
  <si>
    <t>MI1664776</t>
  </si>
  <si>
    <t>ORION COSTRUZIONI S.U.R.L. IN LIQUIDAZIONE</t>
  </si>
  <si>
    <t>LU0176198</t>
  </si>
  <si>
    <t>SAIPEM S.P.A.</t>
  </si>
  <si>
    <t>MI0788744</t>
  </si>
  <si>
    <t>Attiva</t>
  </si>
  <si>
    <t>WEBUILD S.P.A.</t>
  </si>
  <si>
    <t>MI0525502</t>
  </si>
  <si>
    <t>IREN ENERGIA S.P.A.</t>
  </si>
  <si>
    <t>TO1045119</t>
  </si>
  <si>
    <t>ITINERA S.P.A.</t>
  </si>
  <si>
    <t>AL0176511</t>
  </si>
  <si>
    <t>SIRAM S.P.A.</t>
  </si>
  <si>
    <t>MI1245922</t>
  </si>
  <si>
    <t>ENGIE SERVIZI S.P.A.</t>
  </si>
  <si>
    <t>RM0597554</t>
  </si>
  <si>
    <t>AMPLIA INFRASTRUCTURES S.P.A.</t>
  </si>
  <si>
    <t>RM0526702</t>
  </si>
  <si>
    <t>SICIM SOCIETA' PER AZIONI</t>
  </si>
  <si>
    <t>PR0086384</t>
  </si>
  <si>
    <t>ENEL X ITALIA S.R.L.</t>
  </si>
  <si>
    <t>RM1424928</t>
  </si>
  <si>
    <t>CIRCET ITALIA S.P.A</t>
  </si>
  <si>
    <t>CH0090567</t>
  </si>
  <si>
    <t>EDISON NEXT GOVERNMENT S.R.L.</t>
  </si>
  <si>
    <t>MI1592042</t>
  </si>
  <si>
    <t>ICM S.P.A.</t>
  </si>
  <si>
    <t>VI0229975</t>
  </si>
  <si>
    <t>SITE - S.P.A.</t>
  </si>
  <si>
    <t>BO0329717</t>
  </si>
  <si>
    <t>ACQUEDOTTO PUGLIESE S.P.A.</t>
  </si>
  <si>
    <t>BA0414092</t>
  </si>
  <si>
    <t>BONATTI -S.P.A.</t>
  </si>
  <si>
    <t>PR0130274</t>
  </si>
  <si>
    <t>G.C.F. GENERALE COSTRUZIONI FERROVIARIE S.P.A.</t>
  </si>
  <si>
    <t>RM1387595</t>
  </si>
  <si>
    <t>ALPERIA GREEN FUTURE SRL</t>
  </si>
  <si>
    <t>BZ0231727</t>
  </si>
  <si>
    <t>SOCIETA' AUTOSTRADA LIGURE TOSCANA -P.A.</t>
  </si>
  <si>
    <t>LU0057616</t>
  </si>
  <si>
    <t>AIR LIQUIDE ITALIA SERVICE S.R.L.</t>
  </si>
  <si>
    <t>MI1663259</t>
  </si>
  <si>
    <t>TECHBAU S.P.A.</t>
  </si>
  <si>
    <t>MI1922561</t>
  </si>
  <si>
    <t>GETEC ITALIA S.P.A.</t>
  </si>
  <si>
    <t>PC0172490</t>
  </si>
  <si>
    <t>VALTELLINA S.P.A.</t>
  </si>
  <si>
    <t>BG0039405</t>
  </si>
  <si>
    <t>NIDEC ASI S.P.A.</t>
  </si>
  <si>
    <t>MI1367236</t>
  </si>
  <si>
    <t>COLOMBO COSTRUZIONI S.P.A.</t>
  </si>
  <si>
    <t>LC0172425</t>
  </si>
  <si>
    <t>GHELLA S.P.A.</t>
  </si>
  <si>
    <t>RM0330024</t>
  </si>
  <si>
    <t>LA CASCINA COSTRUZIONI S.R.L.</t>
  </si>
  <si>
    <t>RM1520985</t>
  </si>
  <si>
    <t>GEMMO S.P.A. (SOCIETA' CON UNICO SOCIO)</t>
  </si>
  <si>
    <t>VI0307427</t>
  </si>
  <si>
    <t>FERRO BERICA S.R.L.</t>
  </si>
  <si>
    <t>VI0118159</t>
  </si>
  <si>
    <t>BOUYGUES E&amp;S ITALIA S.P.A.</t>
  </si>
  <si>
    <t>MI1583524</t>
  </si>
  <si>
    <t>CO.GE.FA. S.P.A.</t>
  </si>
  <si>
    <t>TO0476975</t>
  </si>
  <si>
    <t>CARRON CAV. ANGELO S.P.A.</t>
  </si>
  <si>
    <t>TV0171597</t>
  </si>
  <si>
    <t>COSTRUZIONI LINEE FERROVIARIE S.P.A. IN SIGLA C.L.F. S.P.A.</t>
  </si>
  <si>
    <t>BO0398634</t>
  </si>
  <si>
    <t>CITYLIFE S.P.A.</t>
  </si>
  <si>
    <t>MI1727452</t>
  </si>
  <si>
    <t>IREM S.P.A.</t>
  </si>
  <si>
    <t>SR0067514</t>
  </si>
  <si>
    <t>MANELLI IMPRESA S.P.A.</t>
  </si>
  <si>
    <t>BA0507041</t>
  </si>
  <si>
    <t>INC SPA</t>
  </si>
  <si>
    <t>TO0797108</t>
  </si>
  <si>
    <t>SOCIETA' ITALIANA TRAFORO AUTOSTRADALE DEL FREJUS, SOCIETA' PER AZIONI CON LA SIGLA S.I.T.A.F. S.P.A.</t>
  </si>
  <si>
    <t>TO0313530</t>
  </si>
  <si>
    <t>G.D.L. S.P.A.</t>
  </si>
  <si>
    <t>TO1102436</t>
  </si>
  <si>
    <t>CEBAT S.P.A.</t>
  </si>
  <si>
    <t>RM1582878</t>
  </si>
  <si>
    <t>I.T.I. IMPRESA GENERALE S.P.A.</t>
  </si>
  <si>
    <t>MO0205158</t>
  </si>
  <si>
    <t>CBRE GWS S.R.L.</t>
  </si>
  <si>
    <t>MI1024282</t>
  </si>
  <si>
    <t>ACINQUE INNOVAZIONE S.R.L.</t>
  </si>
  <si>
    <t>MB2530050</t>
  </si>
  <si>
    <t>DI VINCENZO DINO &amp; C. S.P.A.</t>
  </si>
  <si>
    <t>CH0092546</t>
  </si>
  <si>
    <t>DE SANCTIS - COSTRUZIONI S.P.A.</t>
  </si>
  <si>
    <t>RM1252979</t>
  </si>
  <si>
    <t>FS SISTEMI URBANI S.P.A.</t>
  </si>
  <si>
    <t>RM0962741</t>
  </si>
  <si>
    <t>GAIA ENERGY S.R.L.</t>
  </si>
  <si>
    <t>CE0275244</t>
  </si>
  <si>
    <t>CANTIERI ITALIANI S.R.L.</t>
  </si>
  <si>
    <t>PE0122233</t>
  </si>
  <si>
    <t>IMPRESA DI COSTRUZIONI ING. RAFFAELLO PELLEGRINI S.R.L. DENOMINAZIONE ABBREVIATA: IMPRESA PELLEGRINI S.R.L.</t>
  </si>
  <si>
    <t>CA0139717</t>
  </si>
  <si>
    <t>CBRE GWS TECHNICAL DIVISION S.R.L.</t>
  </si>
  <si>
    <t>PE0142232</t>
  </si>
  <si>
    <t>ECOIN S.P.A.</t>
  </si>
  <si>
    <t>CT0302862</t>
  </si>
  <si>
    <t>MEDINOK S.P.A.</t>
  </si>
  <si>
    <t>NA0640345</t>
  </si>
  <si>
    <t>CINGOLI NICOLA &amp; FIGLIO S.R.L.</t>
  </si>
  <si>
    <t>TE0067652</t>
  </si>
  <si>
    <t>VISIOTECH ITALIA S.R.L.</t>
  </si>
  <si>
    <t>MB2562767</t>
  </si>
  <si>
    <t>FIERA S.R.L.</t>
  </si>
  <si>
    <t>RE0292338</t>
  </si>
  <si>
    <t>EDILPAS SRL</t>
  </si>
  <si>
    <t>MN0251755</t>
  </si>
  <si>
    <t>BRAGA GROUP SRL</t>
  </si>
  <si>
    <t>MI2594139</t>
  </si>
  <si>
    <t>TM SRL</t>
  </si>
  <si>
    <t>BS0575192</t>
  </si>
  <si>
    <t>ETICA NEL SOLE S.R.L. SOCIETA' BENEFIT</t>
  </si>
  <si>
    <t>TO1089097</t>
  </si>
  <si>
    <t>P.B.S. SRL</t>
  </si>
  <si>
    <t>BS0436470</t>
  </si>
  <si>
    <t>PATTARI SOCIETA' A RESPONSABILITA' LIMITATA</t>
  </si>
  <si>
    <t>TO1292173</t>
  </si>
  <si>
    <t>RIGO COSTRUZIONI S.R.L.</t>
  </si>
  <si>
    <t>VR0328453</t>
  </si>
  <si>
    <t>ICOS S.R.L.</t>
  </si>
  <si>
    <t>BS0537959</t>
  </si>
  <si>
    <t>CRIM SRL</t>
  </si>
  <si>
    <t>MI1588513</t>
  </si>
  <si>
    <t>TERMA ENERGIA S.R.L.</t>
  </si>
  <si>
    <t>MI1806911</t>
  </si>
  <si>
    <t>DGL COSTRUZIONI S.R.L.</t>
  </si>
  <si>
    <t>PN0103487</t>
  </si>
  <si>
    <t>RETISSIMA S.R.L.</t>
  </si>
  <si>
    <t>LC0325176</t>
  </si>
  <si>
    <t>VF IMPIANTI S.R.L.</t>
  </si>
  <si>
    <t>CT0348779</t>
  </si>
  <si>
    <t>ELETTRO ZETA SRL</t>
  </si>
  <si>
    <t>AN0169535</t>
  </si>
  <si>
    <t>NUOVE COPERTURE S.R.L.</t>
  </si>
  <si>
    <t>BG0456892</t>
  </si>
  <si>
    <t>AGILIS RAN S.R.L.</t>
  </si>
  <si>
    <t>AV0185773</t>
  </si>
  <si>
    <t>DABE SERVICE S.R.L.</t>
  </si>
  <si>
    <t>FI0620534</t>
  </si>
  <si>
    <t>EDILNERI S.R.L.</t>
  </si>
  <si>
    <t>SV0212908</t>
  </si>
  <si>
    <t>EDIL VENETA CASTELLO SRL</t>
  </si>
  <si>
    <t>TV0359564</t>
  </si>
  <si>
    <t>IMMOBILIARE BV S.R.L.</t>
  </si>
  <si>
    <t>MI2598423</t>
  </si>
  <si>
    <t>TIDIEMME S.R.L.</t>
  </si>
  <si>
    <t>SO0065499</t>
  </si>
  <si>
    <t>SANTUCCI COSTRUZIONI S.R.L.</t>
  </si>
  <si>
    <t>FO0331662</t>
  </si>
  <si>
    <t>APT SERVICES SOCIETA' A RESPONSABILITA' LIMITATA</t>
  </si>
  <si>
    <t>PV0161221</t>
  </si>
  <si>
    <t>AZUR ENERGIA S.R.L.</t>
  </si>
  <si>
    <t>FI0642915</t>
  </si>
  <si>
    <t>EDILWAY SRL</t>
  </si>
  <si>
    <t>VA0359763</t>
  </si>
  <si>
    <t>LA DOMUS SRL</t>
  </si>
  <si>
    <t>MI2585259</t>
  </si>
  <si>
    <t>CELLI IMPIANTI S.R.L.</t>
  </si>
  <si>
    <t>AN0168942</t>
  </si>
  <si>
    <t>SARTORI SRL IMPIANTI SPORTIVI</t>
  </si>
  <si>
    <t>PD0411413</t>
  </si>
  <si>
    <t>IMPRESA EDILE VOLCAN SEVERINO &amp; FIGLI S.R.L.</t>
  </si>
  <si>
    <t>TN0130206</t>
  </si>
  <si>
    <t>SAM IMPIANTI SRL</t>
  </si>
  <si>
    <t>MB2521773</t>
  </si>
  <si>
    <t>11TH DIMENSION SRL</t>
  </si>
  <si>
    <t>BG0390820</t>
  </si>
  <si>
    <t>EURO IMPIANTI 20 S.R.L.</t>
  </si>
  <si>
    <t>CT0428746</t>
  </si>
  <si>
    <t>PONTE S.R.L.</t>
  </si>
  <si>
    <t>CB0207547</t>
  </si>
  <si>
    <t>GEMINI LUCI S.R.L.</t>
  </si>
  <si>
    <t>MI1157142</t>
  </si>
  <si>
    <t>GEMMA COSTRUZIONI SRL</t>
  </si>
  <si>
    <t>BS0522987</t>
  </si>
  <si>
    <t>IMPRESA EDILE STRADALE PANZA S.R.L.</t>
  </si>
  <si>
    <t>LU0171105</t>
  </si>
  <si>
    <t>RISORSE S.R.L.</t>
  </si>
  <si>
    <t>RM1581642</t>
  </si>
  <si>
    <t>BRICK SRL</t>
  </si>
  <si>
    <t>RM1382543</t>
  </si>
  <si>
    <t>CO.IN.SOT. S.R.L.</t>
  </si>
  <si>
    <t>ME0182663</t>
  </si>
  <si>
    <t>PHOENIX BR S.R.L.</t>
  </si>
  <si>
    <t>RM1418683</t>
  </si>
  <si>
    <t>F.LLI FANGANO SOCIETA' A RESPONSABILITA' LIMITATA</t>
  </si>
  <si>
    <t>SR0114339</t>
  </si>
  <si>
    <t>RE.CO.MAN. S.R.L.</t>
  </si>
  <si>
    <t>BA0622529</t>
  </si>
  <si>
    <t>COSTRUZIONI GABRIELLI S.R.L.</t>
  </si>
  <si>
    <t>LU0179128</t>
  </si>
  <si>
    <t>MULTISERVIZI INTECO S.R.L.</t>
  </si>
  <si>
    <t>CT0334247</t>
  </si>
  <si>
    <t>COSTRUZIONI MURGOLO S.R.L.</t>
  </si>
  <si>
    <t>BA0411635</t>
  </si>
  <si>
    <t>PROSERVICE S.P.A.</t>
  </si>
  <si>
    <t>CA0204754</t>
  </si>
  <si>
    <t>ROMEO S.R.L.</t>
  </si>
  <si>
    <t>BA0565641</t>
  </si>
  <si>
    <t>ALBA COSTRUZIONI S.R.L. UNIPERSONALE</t>
  </si>
  <si>
    <t>AG0214464</t>
  </si>
  <si>
    <t>METALLO S.R.L. UNIPERSONALE</t>
  </si>
  <si>
    <t>CS0250186</t>
  </si>
  <si>
    <t>ROMA S.R.L.</t>
  </si>
  <si>
    <t>CT0276182</t>
  </si>
  <si>
    <t>EMPIRE COSTRUZIONI S.R.L.</t>
  </si>
  <si>
    <t>MI1857971</t>
  </si>
  <si>
    <t>V.I.P. GROUP SRL</t>
  </si>
  <si>
    <t>RM1674840</t>
  </si>
  <si>
    <t>COSTRUZIONI EDILI G. EMME G. SRL</t>
  </si>
  <si>
    <t>BG0374945</t>
  </si>
  <si>
    <t>SIPRO ENERGY S.R.L.</t>
  </si>
  <si>
    <t>LO1465154</t>
  </si>
  <si>
    <t>FUTURA 2.0 SRL</t>
  </si>
  <si>
    <t>RN0334546</t>
  </si>
  <si>
    <t>EDIL PAMM SRL</t>
  </si>
  <si>
    <t>BS0581309</t>
  </si>
  <si>
    <t>COMPAGNIA EDILIZIA DELLA BRIANZA S.R.L.</t>
  </si>
  <si>
    <t>MI0868740</t>
  </si>
  <si>
    <t>EDILPROGET S.R.L.</t>
  </si>
  <si>
    <t>TN0205304</t>
  </si>
  <si>
    <t>CT S.R.L.</t>
  </si>
  <si>
    <t>MO0358605</t>
  </si>
  <si>
    <t>B &amp; C S.R.L.</t>
  </si>
  <si>
    <t>MB1825599</t>
  </si>
  <si>
    <t>AURORA 3 SERVIZI - SOCIETA' A RESPONSABILITA' LIMITATA</t>
  </si>
  <si>
    <t>RM1419569</t>
  </si>
  <si>
    <t>NUOVA SAME S.R.L.</t>
  </si>
  <si>
    <t>VI0225370</t>
  </si>
  <si>
    <t>UNIVERSAL BUILDING SRL SEMPLIFICATA</t>
  </si>
  <si>
    <t>MI2545107</t>
  </si>
  <si>
    <t>M.TRE COSTRUZIONI S.R.L</t>
  </si>
  <si>
    <t>BS0614366</t>
  </si>
  <si>
    <t>PE.TRI. COSTRUZIONI GENERALI SRL</t>
  </si>
  <si>
    <t>PG0310942</t>
  </si>
  <si>
    <t>INTONACI CORSINI S.R.L.</t>
  </si>
  <si>
    <t>BO0460650</t>
  </si>
  <si>
    <t>ITAL GROUP SRL</t>
  </si>
  <si>
    <t>PA0176150</t>
  </si>
  <si>
    <t>I.M. COSTRUZIONI S.R.L.</t>
  </si>
  <si>
    <t>MI1352322</t>
  </si>
  <si>
    <t>COMAN S.R.L.</t>
  </si>
  <si>
    <t>TN0242800</t>
  </si>
  <si>
    <t>IMPRESASI S.R.L.</t>
  </si>
  <si>
    <t>LU0222111</t>
  </si>
  <si>
    <t>IMPRESA VALPOLICELLA SRL</t>
  </si>
  <si>
    <t>VR0420958</t>
  </si>
  <si>
    <t>EDILFENIX S.R.L.</t>
  </si>
  <si>
    <t>MB1899086</t>
  </si>
  <si>
    <t>OPERA EDILE S.R.L.</t>
  </si>
  <si>
    <t>MI2075323</t>
  </si>
  <si>
    <t>ITAL MASSETTI S.R.L.</t>
  </si>
  <si>
    <t>VA0371286</t>
  </si>
  <si>
    <t>ECOMENERGIA S.R.L.</t>
  </si>
  <si>
    <t>PD0388045</t>
  </si>
  <si>
    <t>2 D COSTRUZIONI SRL</t>
  </si>
  <si>
    <t>BG0325582</t>
  </si>
  <si>
    <t>BLU EDILE S.R.L.</t>
  </si>
  <si>
    <t>MI2022633</t>
  </si>
  <si>
    <t>EDILMATICA DEMOLIZIONI S.R.L.</t>
  </si>
  <si>
    <t>LT0201008</t>
  </si>
  <si>
    <t>IANNOTTA S.R.L.</t>
  </si>
  <si>
    <t>LT0217030</t>
  </si>
  <si>
    <t>F.LLI LA ROCCA S.R.L.</t>
  </si>
  <si>
    <t>PZ0116374</t>
  </si>
  <si>
    <t>PM TECNOSYSTEM S.R.L.</t>
  </si>
  <si>
    <t>CE0233198</t>
  </si>
  <si>
    <t>ARIOLA SOCIETA' A RESPONSABILITA' LIMITATA SEMPLIFICATA</t>
  </si>
  <si>
    <t>MS0135894</t>
  </si>
  <si>
    <t>R&amp;M STRATEGY S.R.L.</t>
  </si>
  <si>
    <t>SR0400642</t>
  </si>
  <si>
    <t>EUROSCAVI S.R.L.</t>
  </si>
  <si>
    <t>CT0282257</t>
  </si>
  <si>
    <t>SATEC IMPIANTI S.R.L.</t>
  </si>
  <si>
    <t>NA0882655</t>
  </si>
  <si>
    <t>SANTA LUCIA QUATTRO SOCIETA' A RESPONSABILITA' LIMITATA</t>
  </si>
  <si>
    <t>LU0191076</t>
  </si>
  <si>
    <t>DAP IMPIANTI SOCIETA' A RESPONSABILITA' LIMITATA SEMPLIFICATA</t>
  </si>
  <si>
    <t>NA0895491</t>
  </si>
  <si>
    <t>GIESSE COSTRUZIONI S.R.L.</t>
  </si>
  <si>
    <t>FR0198659</t>
  </si>
  <si>
    <t>EUR TECNA S.R.L.</t>
  </si>
  <si>
    <t>RM1503874</t>
  </si>
  <si>
    <t>ENEA APPALTI SRL</t>
  </si>
  <si>
    <t>RM1388503</t>
  </si>
  <si>
    <t>C.M. COSTRUZIONI E MONTAGGI IMPIANTI ELETTRICI S.R.L.</t>
  </si>
  <si>
    <t>KR0181090</t>
  </si>
  <si>
    <t>GITI SERVICE S.R.L.</t>
  </si>
  <si>
    <t>CA0351454</t>
  </si>
  <si>
    <t>EDIL-DAM SOCIETA' A RESPONSABILITA' LIMITATA</t>
  </si>
  <si>
    <t>RM0993665</t>
  </si>
  <si>
    <t>RS S.R.L.</t>
  </si>
  <si>
    <t>NA0992707</t>
  </si>
  <si>
    <t>DIMENSIONE EDILIZIA S.R.L.</t>
  </si>
  <si>
    <t>RM1290636</t>
  </si>
  <si>
    <t>DECOR DUEMILA GROUP SOCIETA' A RESPONSABILITA' LIMITATA</t>
  </si>
  <si>
    <t>BA0567709</t>
  </si>
  <si>
    <t>ARTIGIAN PLAST SERVICE S.R.L.</t>
  </si>
  <si>
    <t>AN0155769</t>
  </si>
  <si>
    <t>TI.PRO EDILIZIA SRL</t>
  </si>
  <si>
    <t>PG0311153</t>
  </si>
  <si>
    <t>SIFA IMPRESA S.R.L.</t>
  </si>
  <si>
    <t>NA1021490</t>
  </si>
  <si>
    <t>DI DOMENICO COSTRUZIONI S.R.L.</t>
  </si>
  <si>
    <t>FG0301378</t>
  </si>
  <si>
    <t>F.LLI GUERINI S.R.L. TRASPORTI &amp; SERVIZI</t>
  </si>
  <si>
    <t>CS0218385</t>
  </si>
  <si>
    <t>SO.MET. SRL</t>
  </si>
  <si>
    <t>NA1016054</t>
  </si>
  <si>
    <t>GIDIEFFE APPALTI SOCIETA' A RESPONSABILITA' LIMITATA</t>
  </si>
  <si>
    <t>RM1491840</t>
  </si>
  <si>
    <t>EXIMAG S.R.L.</t>
  </si>
  <si>
    <t>VR0195243</t>
  </si>
  <si>
    <t>ROMANA IMPIANTI 2008 S.R.L.</t>
  </si>
  <si>
    <t>RM1224408</t>
  </si>
  <si>
    <t>NICOLA COPERTURE SRL</t>
  </si>
  <si>
    <t>VR0438089</t>
  </si>
  <si>
    <t>CHE CASA COSTRUZIONI S.R.L.</t>
  </si>
  <si>
    <t>LU0204019</t>
  </si>
  <si>
    <t>LAVENETA SRL</t>
  </si>
  <si>
    <t>TV0368044</t>
  </si>
  <si>
    <t>L.A. DISTRIBUZIONE SERRAMENTI S.R.L.</t>
  </si>
  <si>
    <t>RM1589387</t>
  </si>
  <si>
    <t>IMPRESA COSTRUZIONI SPARTI SRL</t>
  </si>
  <si>
    <t>AP0204471</t>
  </si>
  <si>
    <t>PRISMA S.R.L.</t>
  </si>
  <si>
    <t>PD0359897</t>
  </si>
  <si>
    <t>PKT STUDIOS SOCIETA' A RESPONSABILITA' LIMITATA</t>
  </si>
  <si>
    <t>CR0197327</t>
  </si>
  <si>
    <t>ALANIDA S.R.L.</t>
  </si>
  <si>
    <t>TV0365379</t>
  </si>
  <si>
    <t>WM NET SRL</t>
  </si>
  <si>
    <t>IM0201869</t>
  </si>
  <si>
    <t>CECERE ENTERPRISE S.R.L.</t>
  </si>
  <si>
    <t>CE0334763</t>
  </si>
  <si>
    <t>G.E.M.I. GENERALE EDILIZIA MILANO S.R.L. ED IN FORMA ABBREVIAT A G.E.M.I. S.R.L.</t>
  </si>
  <si>
    <t>MI1763686</t>
  </si>
  <si>
    <t>PITZUS GROUP COSTRUZIONI S.R.L.</t>
  </si>
  <si>
    <t>SS0184716</t>
  </si>
  <si>
    <t>GEMACHT SRL</t>
  </si>
  <si>
    <t>GE0485438</t>
  </si>
  <si>
    <t>DIMENSIONE ECOCASA S.R.L.</t>
  </si>
  <si>
    <t>TV0373240</t>
  </si>
  <si>
    <t>ACQUA CORRENTE S.R.L.</t>
  </si>
  <si>
    <t>GR0126066</t>
  </si>
  <si>
    <t>MIA S.R.L.</t>
  </si>
  <si>
    <t>RM1223986</t>
  </si>
  <si>
    <t>DPS MONTAGGI GROUP SRL</t>
  </si>
  <si>
    <t>MI2687938</t>
  </si>
  <si>
    <t>DANIELE FATIGA S.R.L.</t>
  </si>
  <si>
    <t>MB2581728</t>
  </si>
  <si>
    <t>MAVIDIL - S.R.L.</t>
  </si>
  <si>
    <t>PZ0131017</t>
  </si>
  <si>
    <t>EDIL VENETA COSTRUZIONI SRL</t>
  </si>
  <si>
    <t>VR0410144</t>
  </si>
  <si>
    <t>RINASCITA - SOCIETA' A REPONSABILITA' LIMITATA SEMPLIFICATA</t>
  </si>
  <si>
    <t>BS0588002</t>
  </si>
  <si>
    <t>ECO COSTRUZIONI MODERNE S.R.L.</t>
  </si>
  <si>
    <t>BG0450979</t>
  </si>
  <si>
    <t>IMPRESA EDILE IRENE S.R.L.</t>
  </si>
  <si>
    <t>FE0180082</t>
  </si>
  <si>
    <t>AST 2.0 SRL</t>
  </si>
  <si>
    <t>LC0402991</t>
  </si>
  <si>
    <t>FIMAS TECNOSPAZIO SRL</t>
  </si>
  <si>
    <t>MI1975160</t>
  </si>
  <si>
    <t>PG TEKNIK SOCIETA' A RESPONSABILITA' LIMITATA SEMPLIFICATA</t>
  </si>
  <si>
    <t>VA0360256</t>
  </si>
  <si>
    <t>VALTERMO SRL</t>
  </si>
  <si>
    <t>VI0391343</t>
  </si>
  <si>
    <t>GI.MA. COSTRUZIONI SOCIETA' A RESPONSABILITA' LIMITATA SEMPLIFICA TA</t>
  </si>
  <si>
    <t>CE0329209</t>
  </si>
  <si>
    <t>M.C.D. EDILIZIA SOCIETA' A RESPONSABILITA' LIMITATA SEMPLIFICATA</t>
  </si>
  <si>
    <t>FR0195130</t>
  </si>
  <si>
    <t>ECODOMINA S.R.L.</t>
  </si>
  <si>
    <t>BR0154896</t>
  </si>
  <si>
    <t>PROFESSIONAL WORK S.R.L.</t>
  </si>
  <si>
    <t>PE0408007</t>
  </si>
  <si>
    <t>MARINAS 2000 - S.R.L.</t>
  </si>
  <si>
    <t>RM0868931</t>
  </si>
  <si>
    <t>EDIL GENTILE COSIMO DAMIANO COSTRUZIONI E RISTRUTTURAZIONI EDILI S.R.L.</t>
  </si>
  <si>
    <t>BA0563458</t>
  </si>
  <si>
    <t>BACCARI COSTRUZIONI SOCIETA' A RESPONSABILITA' LIMITATA SEMPLIFICATA</t>
  </si>
  <si>
    <t>SA0419144</t>
  </si>
  <si>
    <t>RGF COSTRUZIONI S.R.L.</t>
  </si>
  <si>
    <t>SR0158302</t>
  </si>
  <si>
    <t>ELIS S.R.L.</t>
  </si>
  <si>
    <t>FG0315652</t>
  </si>
  <si>
    <t>MV COSTRUZIONI CENTRO ITALIA S.R.L.</t>
  </si>
  <si>
    <t>PG0304366</t>
  </si>
  <si>
    <t>ANANIA SOCIETA' A RESPONSABILITA' LIMITATA</t>
  </si>
  <si>
    <t>RM1501656</t>
  </si>
  <si>
    <t>EDIL NICO SOCIETA' A RESPONSABILITA' LIMITATA SEMPLIFICATA UNIPER SONALE</t>
  </si>
  <si>
    <t>VT0158660</t>
  </si>
  <si>
    <t>GALIANO COSTRUZIONI S.R.L.</t>
  </si>
  <si>
    <t>LU0236460</t>
  </si>
  <si>
    <t>EDILIZIA 2M SOCIETA' A RESPONSABILITA' LIMITATA</t>
  </si>
  <si>
    <t>BA0507141</t>
  </si>
  <si>
    <t>AUROTEL TELECOMUNICAZIONE S.R.L.</t>
  </si>
  <si>
    <t>NA0811691</t>
  </si>
  <si>
    <t>DUEFFE COSTRUZIONI SRLS</t>
  </si>
  <si>
    <t>AR0200105</t>
  </si>
  <si>
    <t>LARA S.R.L.</t>
  </si>
  <si>
    <t>NA0958417</t>
  </si>
  <si>
    <t>EDILCEF 2.0 S.R.L.</t>
  </si>
  <si>
    <t>RM1515616</t>
  </si>
  <si>
    <t>COSTRUIAMO SRL</t>
  </si>
  <si>
    <t>RG0136028</t>
  </si>
  <si>
    <t>OXE S.R.L.</t>
  </si>
  <si>
    <t>BA0611028</t>
  </si>
  <si>
    <t>IMPIANTI T SERVICE S.R.L.</t>
  </si>
  <si>
    <t>RM1474438</t>
  </si>
  <si>
    <t>CCN/tot.Attivo</t>
  </si>
  <si>
    <t>tot.Attivo/tot.Debiti</t>
  </si>
  <si>
    <t>Auto-copertura immobilizzazioni</t>
  </si>
  <si>
    <t>Current Ratio</t>
  </si>
  <si>
    <t>Indice di indipendenza finanziaria</t>
  </si>
  <si>
    <t>Attivo circ./tot.Debiti</t>
  </si>
  <si>
    <t xml:space="preserve"> ROD disponibile</t>
  </si>
  <si>
    <t>EBITDA margin disp.</t>
  </si>
  <si>
    <t>ROA disponibile</t>
  </si>
  <si>
    <t>ricavi vendite/CCN</t>
  </si>
  <si>
    <t>Default</t>
  </si>
  <si>
    <t>x1</t>
  </si>
  <si>
    <t>x2</t>
  </si>
  <si>
    <t xml:space="preserve"> x3 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</si>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</sst>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2" fontId="0" fillId="0" borderId="0" xfId="0" applyNumberFormat="1"/>
    <xf numFmtId="164" fontId="0" fillId="0" borderId="0" xfId="1" applyNumberFormat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0" borderId="0" xfId="0" applyNumberFormat="1"/>
    <xf numFmtId="0" fontId="0" fillId="7" borderId="0" xfId="0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definitivo" connectionId="1" xr16:uid="{01744D1E-3D7F-BD4F-AA09-259A149E9A2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definitivo" connectionId="2" xr16:uid="{A38DCCF2-0566-4878-838D-B6745E5714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0F89-CFCF-7D4C-8264-2AECD6BEACD4}">
  <dimension ref="A1:AC415"/>
  <sheetViews>
    <sheetView workbookViewId="0">
      <selection activeCell="B20" sqref="B20"/>
    </sheetView>
  </sheetViews>
  <sheetFormatPr defaultColWidth="10.8984375" defaultRowHeight="15.6" x14ac:dyDescent="0.3"/>
  <cols>
    <col min="1" max="1" width="6.19921875" bestFit="1" customWidth="1"/>
    <col min="2" max="2" width="101" bestFit="1" customWidth="1"/>
    <col min="3" max="3" width="26" bestFit="1" customWidth="1"/>
    <col min="4" max="4" width="19" bestFit="1" customWidth="1"/>
    <col min="5" max="5" width="20.19921875" bestFit="1" customWidth="1"/>
    <col min="6" max="6" width="16.19921875" bestFit="1" customWidth="1"/>
    <col min="7" max="7" width="21.5" bestFit="1" customWidth="1"/>
    <col min="8" max="8" width="14.3984375" bestFit="1" customWidth="1"/>
    <col min="9" max="9" width="20.59765625" bestFit="1" customWidth="1"/>
    <col min="10" max="10" width="26.5" bestFit="1" customWidth="1"/>
    <col min="11" max="11" width="22.796875" bestFit="1" customWidth="1"/>
    <col min="12" max="12" width="21" bestFit="1" customWidth="1"/>
    <col min="13" max="13" width="19.19921875" bestFit="1" customWidth="1"/>
    <col min="14" max="14" width="21.796875" bestFit="1" customWidth="1"/>
    <col min="15" max="15" width="22" bestFit="1" customWidth="1"/>
    <col min="16" max="16" width="26.19921875" bestFit="1" customWidth="1"/>
    <col min="17" max="17" width="20.5" bestFit="1" customWidth="1"/>
    <col min="18" max="18" width="19.796875" bestFit="1" customWidth="1"/>
    <col min="19" max="20" width="16.796875" bestFit="1" customWidth="1"/>
    <col min="21" max="24" width="16.5" bestFit="1" customWidth="1"/>
    <col min="25" max="25" width="21.796875" bestFit="1" customWidth="1"/>
    <col min="26" max="26" width="17.5" bestFit="1" customWidth="1"/>
    <col min="27" max="27" width="12.5" bestFit="1" customWidth="1"/>
    <col min="28" max="28" width="10.3984375" bestFit="1" customWidth="1"/>
    <col min="29" max="29" width="8" bestFit="1" customWidth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>
        <v>1</v>
      </c>
      <c r="B2" t="s">
        <v>466</v>
      </c>
      <c r="C2" t="s">
        <v>58</v>
      </c>
      <c r="D2" s="1">
        <v>25447</v>
      </c>
      <c r="E2">
        <v>6447</v>
      </c>
      <c r="F2" t="s">
        <v>467</v>
      </c>
      <c r="G2">
        <v>107279</v>
      </c>
      <c r="H2">
        <v>-195093</v>
      </c>
      <c r="I2">
        <v>4130291</v>
      </c>
      <c r="J2">
        <v>2395262</v>
      </c>
      <c r="K2">
        <v>5112161</v>
      </c>
      <c r="L2">
        <v>895836</v>
      </c>
      <c r="M2">
        <v>4016072</v>
      </c>
      <c r="N2">
        <v>1096089</v>
      </c>
      <c r="O2">
        <v>177140</v>
      </c>
      <c r="P2">
        <v>2498455</v>
      </c>
      <c r="Q2">
        <v>781031</v>
      </c>
      <c r="R2">
        <v>77988</v>
      </c>
      <c r="S2">
        <v>3550420</v>
      </c>
      <c r="T2">
        <v>4797103</v>
      </c>
      <c r="U2">
        <v>7621134</v>
      </c>
      <c r="V2">
        <v>6220558</v>
      </c>
      <c r="W2">
        <v>4481391</v>
      </c>
      <c r="X2">
        <v>7029318</v>
      </c>
      <c r="Y2">
        <v>31.43</v>
      </c>
      <c r="Z2">
        <v>6338100.25</v>
      </c>
      <c r="AA2" t="s">
        <v>32</v>
      </c>
      <c r="AB2">
        <v>4</v>
      </c>
      <c r="AC2" t="s">
        <v>468</v>
      </c>
    </row>
    <row r="3" spans="1:29" x14ac:dyDescent="0.3">
      <c r="A3">
        <v>2</v>
      </c>
      <c r="B3" t="s">
        <v>469</v>
      </c>
      <c r="C3" t="s">
        <v>58</v>
      </c>
      <c r="D3" s="1">
        <v>21574</v>
      </c>
      <c r="E3">
        <v>19245</v>
      </c>
      <c r="F3" t="s">
        <v>470</v>
      </c>
      <c r="G3">
        <v>28893</v>
      </c>
      <c r="H3">
        <v>85366</v>
      </c>
      <c r="I3">
        <v>2512956</v>
      </c>
      <c r="J3">
        <v>1496324</v>
      </c>
      <c r="K3">
        <v>6692416</v>
      </c>
      <c r="L3">
        <v>1895873</v>
      </c>
      <c r="M3">
        <v>6268126</v>
      </c>
      <c r="N3">
        <v>424290</v>
      </c>
      <c r="O3">
        <v>104356</v>
      </c>
      <c r="P3">
        <v>2904522</v>
      </c>
      <c r="Q3">
        <v>1748055</v>
      </c>
      <c r="R3">
        <v>296866</v>
      </c>
      <c r="S3">
        <v>7458049</v>
      </c>
      <c r="T3">
        <v>8016181</v>
      </c>
      <c r="U3">
        <v>9691766</v>
      </c>
      <c r="V3">
        <v>9150057</v>
      </c>
      <c r="W3">
        <v>8756519</v>
      </c>
      <c r="X3">
        <v>8045348</v>
      </c>
      <c r="Y3">
        <v>15.44</v>
      </c>
      <c r="Z3">
        <v>8910922.5</v>
      </c>
      <c r="AA3" t="s">
        <v>32</v>
      </c>
      <c r="AB3">
        <v>4</v>
      </c>
      <c r="AC3" t="s">
        <v>468</v>
      </c>
    </row>
    <row r="4" spans="1:29" x14ac:dyDescent="0.3">
      <c r="A4">
        <v>3</v>
      </c>
      <c r="B4" t="s">
        <v>471</v>
      </c>
      <c r="C4" t="s">
        <v>45</v>
      </c>
      <c r="D4" s="1">
        <v>38818</v>
      </c>
      <c r="E4">
        <v>576</v>
      </c>
      <c r="F4" t="s">
        <v>472</v>
      </c>
      <c r="G4">
        <v>105571</v>
      </c>
      <c r="H4">
        <v>267086</v>
      </c>
      <c r="I4">
        <v>2485960</v>
      </c>
      <c r="J4">
        <v>1340072</v>
      </c>
      <c r="K4">
        <v>502652</v>
      </c>
      <c r="L4">
        <v>15161</v>
      </c>
      <c r="M4">
        <v>659529</v>
      </c>
      <c r="N4">
        <v>-156877</v>
      </c>
      <c r="O4">
        <v>249267</v>
      </c>
      <c r="P4">
        <v>1989150</v>
      </c>
      <c r="Q4">
        <v>432567</v>
      </c>
      <c r="R4">
        <v>14739</v>
      </c>
      <c r="S4">
        <v>1263948</v>
      </c>
      <c r="T4">
        <v>1092096</v>
      </c>
      <c r="U4">
        <v>2505671</v>
      </c>
      <c r="V4">
        <v>2725693</v>
      </c>
      <c r="W4">
        <v>2477261</v>
      </c>
      <c r="X4">
        <v>2317528</v>
      </c>
      <c r="Y4">
        <v>53.48</v>
      </c>
      <c r="Z4">
        <v>2506538.25</v>
      </c>
      <c r="AA4" t="s">
        <v>32</v>
      </c>
      <c r="AB4">
        <v>4</v>
      </c>
      <c r="AC4" t="s">
        <v>468</v>
      </c>
    </row>
    <row r="5" spans="1:29" x14ac:dyDescent="0.3">
      <c r="A5">
        <v>4</v>
      </c>
      <c r="B5" t="s">
        <v>473</v>
      </c>
      <c r="C5" t="s">
        <v>45</v>
      </c>
      <c r="D5" s="1">
        <v>34899</v>
      </c>
      <c r="E5">
        <v>1538</v>
      </c>
      <c r="F5" t="s">
        <v>474</v>
      </c>
      <c r="G5">
        <v>28677</v>
      </c>
      <c r="H5">
        <v>77996</v>
      </c>
      <c r="I5">
        <v>942086</v>
      </c>
      <c r="J5">
        <v>247887</v>
      </c>
      <c r="K5">
        <v>689923</v>
      </c>
      <c r="L5">
        <v>341217</v>
      </c>
      <c r="M5">
        <v>884717</v>
      </c>
      <c r="N5">
        <v>-194794</v>
      </c>
      <c r="O5">
        <v>45345</v>
      </c>
      <c r="P5">
        <v>478023</v>
      </c>
      <c r="Q5">
        <v>183974</v>
      </c>
      <c r="R5">
        <v>10666</v>
      </c>
      <c r="S5">
        <v>1064888</v>
      </c>
      <c r="T5">
        <v>1068691</v>
      </c>
      <c r="U5">
        <v>1340182</v>
      </c>
      <c r="V5">
        <v>1311751</v>
      </c>
      <c r="W5">
        <v>1105115</v>
      </c>
      <c r="X5">
        <v>912161</v>
      </c>
      <c r="Y5">
        <v>18.5</v>
      </c>
      <c r="Z5">
        <v>1167302.25</v>
      </c>
      <c r="AA5" t="s">
        <v>32</v>
      </c>
      <c r="AB5">
        <v>4</v>
      </c>
      <c r="AC5" t="s">
        <v>468</v>
      </c>
    </row>
    <row r="6" spans="1:29" x14ac:dyDescent="0.3">
      <c r="A6">
        <v>5</v>
      </c>
      <c r="B6" t="s">
        <v>475</v>
      </c>
      <c r="C6" t="s">
        <v>58</v>
      </c>
      <c r="D6" s="1">
        <v>31884</v>
      </c>
      <c r="E6">
        <v>2738</v>
      </c>
      <c r="F6" t="s">
        <v>476</v>
      </c>
      <c r="G6">
        <v>595</v>
      </c>
      <c r="H6">
        <v>64361</v>
      </c>
      <c r="I6">
        <v>898672</v>
      </c>
      <c r="J6">
        <v>212051</v>
      </c>
      <c r="K6">
        <v>636962</v>
      </c>
      <c r="L6">
        <v>282530</v>
      </c>
      <c r="M6">
        <v>480651</v>
      </c>
      <c r="N6">
        <v>156311</v>
      </c>
      <c r="O6">
        <v>49051</v>
      </c>
      <c r="P6">
        <v>272393</v>
      </c>
      <c r="Q6">
        <v>213661</v>
      </c>
      <c r="R6">
        <v>28883</v>
      </c>
      <c r="S6">
        <v>827198</v>
      </c>
      <c r="T6">
        <v>694312</v>
      </c>
      <c r="U6">
        <v>923460</v>
      </c>
      <c r="V6">
        <v>1060697</v>
      </c>
      <c r="W6">
        <v>963423</v>
      </c>
      <c r="X6">
        <v>771614</v>
      </c>
      <c r="Y6">
        <v>22.96</v>
      </c>
      <c r="Z6">
        <v>929798.5</v>
      </c>
      <c r="AA6" t="s">
        <v>32</v>
      </c>
      <c r="AB6">
        <v>4</v>
      </c>
      <c r="AC6" t="s">
        <v>468</v>
      </c>
    </row>
    <row r="7" spans="1:29" x14ac:dyDescent="0.3">
      <c r="A7">
        <v>9</v>
      </c>
      <c r="B7" t="s">
        <v>481</v>
      </c>
      <c r="C7" t="s">
        <v>42</v>
      </c>
      <c r="D7" s="1">
        <v>22668</v>
      </c>
      <c r="E7">
        <v>2180</v>
      </c>
      <c r="F7" t="s">
        <v>482</v>
      </c>
      <c r="G7">
        <v>60811.5</v>
      </c>
      <c r="H7">
        <v>31332.358</v>
      </c>
      <c r="I7">
        <v>573561.35699999996</v>
      </c>
      <c r="J7">
        <v>401309.71100000001</v>
      </c>
      <c r="K7">
        <v>851709.28200000001</v>
      </c>
      <c r="L7">
        <v>82095.546000000002</v>
      </c>
      <c r="M7">
        <v>530743.14599999995</v>
      </c>
      <c r="N7">
        <v>320966.136</v>
      </c>
      <c r="O7">
        <v>88557.634000000005</v>
      </c>
      <c r="P7">
        <v>81758.846999999994</v>
      </c>
      <c r="Q7">
        <v>0</v>
      </c>
      <c r="R7">
        <v>2677.8879999999999</v>
      </c>
      <c r="S7">
        <v>718912.69900000002</v>
      </c>
      <c r="T7">
        <v>530743.14599999995</v>
      </c>
      <c r="U7">
        <v>936943.91200000001</v>
      </c>
      <c r="V7">
        <v>1060873.773</v>
      </c>
      <c r="W7">
        <v>702100.777</v>
      </c>
      <c r="X7">
        <v>616157.28300000005</v>
      </c>
      <c r="Y7">
        <v>42.83</v>
      </c>
      <c r="Z7">
        <v>829018.93625000003</v>
      </c>
      <c r="AA7" t="s">
        <v>32</v>
      </c>
      <c r="AB7">
        <v>4</v>
      </c>
      <c r="AC7" t="s">
        <v>468</v>
      </c>
    </row>
    <row r="8" spans="1:29" x14ac:dyDescent="0.3">
      <c r="A8">
        <v>12</v>
      </c>
      <c r="B8" t="s">
        <v>487</v>
      </c>
      <c r="C8" t="s">
        <v>58</v>
      </c>
      <c r="D8" s="1">
        <v>36335</v>
      </c>
      <c r="E8">
        <v>1479</v>
      </c>
      <c r="F8" t="s">
        <v>488</v>
      </c>
      <c r="G8">
        <v>5602.2240000000002</v>
      </c>
      <c r="H8">
        <v>52123.987999999998</v>
      </c>
      <c r="I8">
        <v>496214.31699999998</v>
      </c>
      <c r="J8">
        <v>121239.122</v>
      </c>
      <c r="K8">
        <v>344152.55900000001</v>
      </c>
      <c r="L8">
        <v>8266.3850000000002</v>
      </c>
      <c r="M8">
        <v>248431.84099999999</v>
      </c>
      <c r="N8">
        <v>95720.717999999993</v>
      </c>
      <c r="O8">
        <v>40813.815000000002</v>
      </c>
      <c r="P8">
        <v>133461.45000000001</v>
      </c>
      <c r="Q8">
        <v>58838.027999999998</v>
      </c>
      <c r="R8">
        <v>10078.459000000001</v>
      </c>
      <c r="S8">
        <v>331611.53499999997</v>
      </c>
      <c r="T8">
        <v>307269.86900000001</v>
      </c>
      <c r="U8">
        <v>483171.83199999999</v>
      </c>
      <c r="V8">
        <v>517672.60100000002</v>
      </c>
      <c r="W8">
        <v>183022.71100000001</v>
      </c>
      <c r="X8">
        <v>29080.81</v>
      </c>
      <c r="Y8">
        <v>25.09</v>
      </c>
      <c r="Z8">
        <v>303236.98849999998</v>
      </c>
      <c r="AA8" t="s">
        <v>32</v>
      </c>
      <c r="AB8">
        <v>4</v>
      </c>
      <c r="AC8" t="s">
        <v>468</v>
      </c>
    </row>
    <row r="9" spans="1:29" x14ac:dyDescent="0.3">
      <c r="A9">
        <v>13</v>
      </c>
      <c r="B9" t="s">
        <v>489</v>
      </c>
      <c r="C9" t="s">
        <v>101</v>
      </c>
      <c r="D9" s="1">
        <v>25286</v>
      </c>
      <c r="E9">
        <v>485</v>
      </c>
      <c r="F9" t="s">
        <v>490</v>
      </c>
      <c r="G9">
        <v>2682</v>
      </c>
      <c r="H9">
        <v>42042</v>
      </c>
      <c r="I9">
        <v>491566</v>
      </c>
      <c r="J9">
        <v>92423</v>
      </c>
      <c r="K9">
        <v>601856</v>
      </c>
      <c r="L9">
        <v>293827</v>
      </c>
      <c r="M9">
        <v>520238</v>
      </c>
      <c r="N9">
        <v>81618</v>
      </c>
      <c r="O9">
        <v>14272</v>
      </c>
      <c r="P9">
        <v>113550</v>
      </c>
      <c r="Q9">
        <v>96407</v>
      </c>
      <c r="R9">
        <v>22663</v>
      </c>
      <c r="S9">
        <v>486495</v>
      </c>
      <c r="T9">
        <v>616645</v>
      </c>
      <c r="U9">
        <v>719237</v>
      </c>
      <c r="V9">
        <v>589369</v>
      </c>
      <c r="W9">
        <v>555986</v>
      </c>
      <c r="X9">
        <v>506567</v>
      </c>
      <c r="Y9">
        <v>12.85</v>
      </c>
      <c r="Z9">
        <v>592789.75</v>
      </c>
      <c r="AA9" t="s">
        <v>32</v>
      </c>
      <c r="AB9">
        <v>4</v>
      </c>
      <c r="AC9" t="s">
        <v>468</v>
      </c>
    </row>
    <row r="10" spans="1:29" x14ac:dyDescent="0.3">
      <c r="A10">
        <v>14</v>
      </c>
      <c r="B10" t="s">
        <v>491</v>
      </c>
      <c r="C10" t="s">
        <v>42</v>
      </c>
      <c r="D10" s="1">
        <v>33039</v>
      </c>
      <c r="E10">
        <v>2665</v>
      </c>
      <c r="F10" t="s">
        <v>492</v>
      </c>
      <c r="G10">
        <v>1568.72</v>
      </c>
      <c r="H10">
        <v>14758.143</v>
      </c>
      <c r="I10">
        <v>479720.859</v>
      </c>
      <c r="J10">
        <v>44759.819000000003</v>
      </c>
      <c r="K10">
        <v>325870.62400000001</v>
      </c>
      <c r="L10">
        <v>155118.399</v>
      </c>
      <c r="M10">
        <v>242063.12400000001</v>
      </c>
      <c r="N10">
        <v>83807.5</v>
      </c>
      <c r="O10">
        <v>6834.1459999999997</v>
      </c>
      <c r="P10">
        <v>18501.174999999999</v>
      </c>
      <c r="Q10">
        <v>49717.677000000003</v>
      </c>
      <c r="R10">
        <v>8241.6229999999996</v>
      </c>
      <c r="S10">
        <v>263110.136</v>
      </c>
      <c r="T10">
        <v>291780.80099999998</v>
      </c>
      <c r="U10">
        <v>348200.11499999999</v>
      </c>
      <c r="V10">
        <v>315569.89199999999</v>
      </c>
      <c r="W10">
        <v>295900.75099999999</v>
      </c>
      <c r="X10">
        <v>266620.04700000002</v>
      </c>
      <c r="Y10">
        <v>12.85</v>
      </c>
      <c r="Z10">
        <v>306572.70124999998</v>
      </c>
      <c r="AA10" t="s">
        <v>32</v>
      </c>
      <c r="AB10">
        <v>4</v>
      </c>
      <c r="AC10" t="s">
        <v>468</v>
      </c>
    </row>
    <row r="11" spans="1:29" x14ac:dyDescent="0.3">
      <c r="A11">
        <v>16</v>
      </c>
      <c r="B11" t="s">
        <v>495</v>
      </c>
      <c r="C11" t="s">
        <v>42</v>
      </c>
      <c r="D11" s="1">
        <v>27211</v>
      </c>
      <c r="E11">
        <v>3457</v>
      </c>
      <c r="F11" t="s">
        <v>496</v>
      </c>
      <c r="G11">
        <v>102.54</v>
      </c>
      <c r="H11">
        <v>51423.915999999997</v>
      </c>
      <c r="I11">
        <v>442382.14299999998</v>
      </c>
      <c r="J11">
        <v>159944.88500000001</v>
      </c>
      <c r="K11">
        <v>554831.68799999997</v>
      </c>
      <c r="L11">
        <v>151541.21299999999</v>
      </c>
      <c r="M11">
        <v>399367.989</v>
      </c>
      <c r="N11">
        <v>155463.69899999999</v>
      </c>
      <c r="O11">
        <v>30331.192999999999</v>
      </c>
      <c r="P11">
        <v>177011.52</v>
      </c>
      <c r="Q11">
        <v>74265.248999999996</v>
      </c>
      <c r="R11">
        <v>20337.411</v>
      </c>
      <c r="S11">
        <v>421022.511</v>
      </c>
      <c r="T11">
        <v>473633.23800000001</v>
      </c>
      <c r="U11">
        <v>740383.81200000003</v>
      </c>
      <c r="V11">
        <v>678168.995</v>
      </c>
      <c r="W11">
        <v>677868.39899999998</v>
      </c>
      <c r="X11">
        <v>732067.83200000005</v>
      </c>
      <c r="Y11">
        <v>21.6</v>
      </c>
      <c r="Z11">
        <v>707122.25950000004</v>
      </c>
      <c r="AA11" t="s">
        <v>32</v>
      </c>
      <c r="AB11">
        <v>4</v>
      </c>
      <c r="AC11" t="s">
        <v>468</v>
      </c>
    </row>
    <row r="12" spans="1:29" x14ac:dyDescent="0.3">
      <c r="A12">
        <v>18</v>
      </c>
      <c r="B12" t="s">
        <v>499</v>
      </c>
      <c r="C12" t="s">
        <v>143</v>
      </c>
      <c r="D12" s="1">
        <v>39881</v>
      </c>
      <c r="E12">
        <v>90</v>
      </c>
      <c r="F12" t="s">
        <v>500</v>
      </c>
      <c r="G12">
        <v>1835.5250000000001</v>
      </c>
      <c r="H12">
        <v>22305.827000000001</v>
      </c>
      <c r="I12">
        <v>375235.91600000003</v>
      </c>
      <c r="J12">
        <v>42701.212</v>
      </c>
      <c r="K12">
        <v>493208.75799999997</v>
      </c>
      <c r="L12">
        <v>32690.921999999999</v>
      </c>
      <c r="M12">
        <v>486108.40899999999</v>
      </c>
      <c r="N12">
        <v>7100.3490000000002</v>
      </c>
      <c r="O12">
        <v>7730.9189999999999</v>
      </c>
      <c r="P12">
        <v>67656.923999999999</v>
      </c>
      <c r="Q12">
        <v>25600</v>
      </c>
      <c r="R12">
        <v>17309.807000000001</v>
      </c>
      <c r="S12">
        <v>262400.489</v>
      </c>
      <c r="T12">
        <v>511708.40899999999</v>
      </c>
      <c r="U12">
        <v>561246.86100000003</v>
      </c>
      <c r="V12">
        <v>307398.41100000002</v>
      </c>
      <c r="W12">
        <v>39897.576999999997</v>
      </c>
      <c r="X12">
        <v>8898.107</v>
      </c>
      <c r="Y12">
        <v>7.61</v>
      </c>
      <c r="Z12">
        <v>229360.239</v>
      </c>
      <c r="AA12" t="s">
        <v>32</v>
      </c>
      <c r="AB12">
        <v>4</v>
      </c>
      <c r="AC12" t="s">
        <v>468</v>
      </c>
    </row>
    <row r="13" spans="1:29" x14ac:dyDescent="0.3">
      <c r="A13">
        <v>20</v>
      </c>
      <c r="B13" t="s">
        <v>503</v>
      </c>
      <c r="C13" t="s">
        <v>58</v>
      </c>
      <c r="D13" s="1">
        <v>37162</v>
      </c>
      <c r="E13">
        <v>481</v>
      </c>
      <c r="F13" t="s">
        <v>504</v>
      </c>
      <c r="G13">
        <v>51494.491000000002</v>
      </c>
      <c r="H13">
        <v>83835.554999999993</v>
      </c>
      <c r="I13">
        <v>315445.42200000002</v>
      </c>
      <c r="J13">
        <v>226644.245</v>
      </c>
      <c r="K13">
        <v>169378.524</v>
      </c>
      <c r="L13">
        <v>17285.206999999999</v>
      </c>
      <c r="M13">
        <v>108216.56200000001</v>
      </c>
      <c r="N13">
        <v>61161.962</v>
      </c>
      <c r="O13">
        <v>69370.767999999996</v>
      </c>
      <c r="P13">
        <v>182825.924</v>
      </c>
      <c r="Q13">
        <v>1916.04</v>
      </c>
      <c r="R13">
        <v>1191.701</v>
      </c>
      <c r="S13">
        <v>97917.807000000001</v>
      </c>
      <c r="T13">
        <v>110132.602</v>
      </c>
      <c r="U13">
        <v>352250.06</v>
      </c>
      <c r="V13">
        <v>301205.21500000003</v>
      </c>
      <c r="W13">
        <v>262271.82699999999</v>
      </c>
      <c r="X13">
        <v>239414.897</v>
      </c>
      <c r="Y13">
        <v>64.34</v>
      </c>
      <c r="Z13">
        <v>288785.49975000002</v>
      </c>
      <c r="AA13" t="s">
        <v>32</v>
      </c>
      <c r="AB13">
        <v>4</v>
      </c>
      <c r="AC13" t="s">
        <v>468</v>
      </c>
    </row>
    <row r="14" spans="1:29" x14ac:dyDescent="0.3">
      <c r="A14">
        <v>21</v>
      </c>
      <c r="B14" t="s">
        <v>505</v>
      </c>
      <c r="C14" t="s">
        <v>58</v>
      </c>
      <c r="D14" s="1">
        <v>39722</v>
      </c>
      <c r="E14">
        <v>178</v>
      </c>
      <c r="F14" t="s">
        <v>506</v>
      </c>
      <c r="G14">
        <v>30491.438999999998</v>
      </c>
      <c r="H14">
        <v>32329.289000000001</v>
      </c>
      <c r="I14">
        <v>287722.30599999998</v>
      </c>
      <c r="J14">
        <v>83278.126000000004</v>
      </c>
      <c r="K14">
        <v>498821.51699999999</v>
      </c>
      <c r="L14">
        <v>269414.36</v>
      </c>
      <c r="M14">
        <v>410016.62400000001</v>
      </c>
      <c r="N14">
        <v>88804.892999999996</v>
      </c>
      <c r="O14">
        <v>31599.045999999998</v>
      </c>
      <c r="P14">
        <v>31044.850999999999</v>
      </c>
      <c r="Q14">
        <v>30898.544000000002</v>
      </c>
      <c r="R14">
        <v>2386.9189999999999</v>
      </c>
      <c r="S14">
        <v>313644.299</v>
      </c>
      <c r="T14">
        <v>440915.16800000001</v>
      </c>
      <c r="U14">
        <v>530189.46100000001</v>
      </c>
      <c r="V14">
        <v>371947.56099999999</v>
      </c>
      <c r="W14">
        <v>535106.05599999998</v>
      </c>
      <c r="X14">
        <v>452959.04300000001</v>
      </c>
      <c r="Y14">
        <v>15.71</v>
      </c>
      <c r="Z14">
        <v>472550.53025000001</v>
      </c>
      <c r="AA14" t="s">
        <v>32</v>
      </c>
      <c r="AB14">
        <v>4</v>
      </c>
      <c r="AC14" t="s">
        <v>468</v>
      </c>
    </row>
    <row r="15" spans="1:29" x14ac:dyDescent="0.3">
      <c r="A15">
        <v>22</v>
      </c>
      <c r="B15" t="s">
        <v>507</v>
      </c>
      <c r="C15" t="s">
        <v>42</v>
      </c>
      <c r="D15" s="1">
        <v>38852</v>
      </c>
      <c r="E15">
        <v>819</v>
      </c>
      <c r="F15" t="s">
        <v>508</v>
      </c>
      <c r="G15">
        <v>16257.986000000001</v>
      </c>
      <c r="H15">
        <v>51418.949000000001</v>
      </c>
      <c r="I15">
        <v>294334.72600000002</v>
      </c>
      <c r="J15">
        <v>81543.597999999998</v>
      </c>
      <c r="K15">
        <v>225998.103</v>
      </c>
      <c r="L15">
        <v>1230.557</v>
      </c>
      <c r="M15">
        <v>126094.90300000001</v>
      </c>
      <c r="N15">
        <v>99903.2</v>
      </c>
      <c r="O15">
        <v>40635.864000000001</v>
      </c>
      <c r="P15">
        <v>165237.00899999999</v>
      </c>
      <c r="Q15">
        <v>176400.247</v>
      </c>
      <c r="R15">
        <v>7128.9279999999999</v>
      </c>
      <c r="S15">
        <v>279370.81400000001</v>
      </c>
      <c r="T15">
        <v>302495.15000000002</v>
      </c>
      <c r="U15">
        <v>396834.18699999998</v>
      </c>
      <c r="V15">
        <v>353838.50799999997</v>
      </c>
      <c r="W15">
        <v>216641.22</v>
      </c>
      <c r="X15">
        <v>163134.66500000001</v>
      </c>
      <c r="Y15">
        <v>20.55</v>
      </c>
      <c r="Z15">
        <v>282612.14500000002</v>
      </c>
      <c r="AA15" t="s">
        <v>32</v>
      </c>
      <c r="AB15">
        <v>4</v>
      </c>
      <c r="AC15" t="s">
        <v>468</v>
      </c>
    </row>
    <row r="16" spans="1:29" x14ac:dyDescent="0.3">
      <c r="A16">
        <v>23</v>
      </c>
      <c r="B16" t="s">
        <v>509</v>
      </c>
      <c r="C16" t="s">
        <v>58</v>
      </c>
      <c r="D16" s="1">
        <v>26289</v>
      </c>
      <c r="E16">
        <v>1808</v>
      </c>
      <c r="F16" t="s">
        <v>510</v>
      </c>
      <c r="G16">
        <v>4215.88</v>
      </c>
      <c r="H16">
        <v>16280.111000000001</v>
      </c>
      <c r="I16">
        <v>280124.26199999999</v>
      </c>
      <c r="J16">
        <v>56175.195</v>
      </c>
      <c r="K16">
        <v>185084.24600000001</v>
      </c>
      <c r="L16">
        <v>91968.335000000006</v>
      </c>
      <c r="M16">
        <v>125718.62</v>
      </c>
      <c r="N16">
        <v>59365.625999999997</v>
      </c>
      <c r="O16">
        <v>9888.06</v>
      </c>
      <c r="P16">
        <v>36599.288</v>
      </c>
      <c r="Q16">
        <v>21850.81</v>
      </c>
      <c r="R16">
        <v>2437.7620000000002</v>
      </c>
      <c r="S16">
        <v>133245.13699999999</v>
      </c>
      <c r="T16">
        <v>147569.43</v>
      </c>
      <c r="U16">
        <v>229638.85800000001</v>
      </c>
      <c r="V16">
        <v>212907.18599999999</v>
      </c>
      <c r="W16">
        <v>200485.04</v>
      </c>
      <c r="X16">
        <v>175920.55</v>
      </c>
      <c r="Y16">
        <v>24.46</v>
      </c>
      <c r="Z16">
        <v>204737.90849999999</v>
      </c>
      <c r="AA16" t="s">
        <v>32</v>
      </c>
      <c r="AB16">
        <v>4</v>
      </c>
      <c r="AC16" t="s">
        <v>468</v>
      </c>
    </row>
    <row r="17" spans="1:29" x14ac:dyDescent="0.3">
      <c r="A17">
        <v>24</v>
      </c>
      <c r="B17" t="s">
        <v>511</v>
      </c>
      <c r="C17" t="s">
        <v>58</v>
      </c>
      <c r="D17" s="1">
        <v>22267</v>
      </c>
      <c r="E17">
        <v>861</v>
      </c>
      <c r="F17" t="s">
        <v>512</v>
      </c>
      <c r="G17">
        <v>38595.067999999999</v>
      </c>
      <c r="H17">
        <v>25548.585999999999</v>
      </c>
      <c r="I17">
        <v>274736.65399999998</v>
      </c>
      <c r="J17">
        <v>189219.62700000001</v>
      </c>
      <c r="K17">
        <v>468277.50699999998</v>
      </c>
      <c r="L17">
        <v>369205.27899999998</v>
      </c>
      <c r="M17">
        <v>408340.99800000002</v>
      </c>
      <c r="N17">
        <v>59936.508999999998</v>
      </c>
      <c r="O17">
        <v>45717.875</v>
      </c>
      <c r="P17">
        <v>147227.644</v>
      </c>
      <c r="Q17">
        <v>0</v>
      </c>
      <c r="R17">
        <v>650.798</v>
      </c>
      <c r="S17">
        <v>423848.59600000002</v>
      </c>
      <c r="T17">
        <v>408340.99800000002</v>
      </c>
      <c r="U17">
        <v>616932.08299999998</v>
      </c>
      <c r="V17">
        <v>594087.94099999999</v>
      </c>
      <c r="W17">
        <v>500692.82400000002</v>
      </c>
      <c r="X17">
        <v>511262.02100000001</v>
      </c>
      <c r="Y17">
        <v>30.67</v>
      </c>
      <c r="Z17">
        <v>555743.71724999999</v>
      </c>
      <c r="AA17" t="s">
        <v>32</v>
      </c>
      <c r="AB17">
        <v>4</v>
      </c>
      <c r="AC17" t="s">
        <v>468</v>
      </c>
    </row>
    <row r="18" spans="1:29" x14ac:dyDescent="0.3">
      <c r="A18">
        <v>25</v>
      </c>
      <c r="B18" t="s">
        <v>513</v>
      </c>
      <c r="C18" t="s">
        <v>58</v>
      </c>
      <c r="D18" s="1">
        <v>29496</v>
      </c>
      <c r="E18">
        <v>176</v>
      </c>
      <c r="F18" t="s">
        <v>514</v>
      </c>
      <c r="G18">
        <v>530.1</v>
      </c>
      <c r="H18">
        <v>1479.183</v>
      </c>
      <c r="I18">
        <v>247909.905</v>
      </c>
      <c r="J18">
        <v>23033.995999999999</v>
      </c>
      <c r="K18">
        <v>167473.174</v>
      </c>
      <c r="L18">
        <v>20871.43</v>
      </c>
      <c r="M18">
        <v>114387.32399999999</v>
      </c>
      <c r="N18">
        <v>53085.85</v>
      </c>
      <c r="O18">
        <v>1378.2539999999999</v>
      </c>
      <c r="P18">
        <v>8032.5690000000004</v>
      </c>
      <c r="Q18">
        <v>31864.867999999999</v>
      </c>
      <c r="R18">
        <v>24.379000000000001</v>
      </c>
      <c r="S18">
        <v>124491.15700000001</v>
      </c>
      <c r="T18">
        <v>146252.19200000001</v>
      </c>
      <c r="U18">
        <v>176323.927</v>
      </c>
      <c r="V18">
        <v>156857.06599999999</v>
      </c>
      <c r="W18">
        <v>131933.89799999999</v>
      </c>
      <c r="X18">
        <v>133998.23699999999</v>
      </c>
      <c r="Y18">
        <v>13.06</v>
      </c>
      <c r="Z18">
        <v>149778.28200000001</v>
      </c>
      <c r="AA18" t="s">
        <v>32</v>
      </c>
      <c r="AB18">
        <v>4</v>
      </c>
      <c r="AC18" t="s">
        <v>468</v>
      </c>
    </row>
    <row r="19" spans="1:29" x14ac:dyDescent="0.3">
      <c r="A19">
        <v>28</v>
      </c>
      <c r="B19" t="s">
        <v>519</v>
      </c>
      <c r="C19" t="s">
        <v>101</v>
      </c>
      <c r="D19" s="1">
        <v>38386</v>
      </c>
      <c r="E19">
        <v>807</v>
      </c>
      <c r="F19" t="s">
        <v>520</v>
      </c>
      <c r="G19">
        <v>7302</v>
      </c>
      <c r="H19">
        <v>10246</v>
      </c>
      <c r="I19">
        <v>227162</v>
      </c>
      <c r="J19">
        <v>51315</v>
      </c>
      <c r="K19">
        <v>193906</v>
      </c>
      <c r="L19">
        <v>35961</v>
      </c>
      <c r="M19">
        <v>102197</v>
      </c>
      <c r="N19">
        <v>91709</v>
      </c>
      <c r="O19">
        <v>11363</v>
      </c>
      <c r="P19">
        <v>52496</v>
      </c>
      <c r="Q19">
        <v>46748</v>
      </c>
      <c r="R19">
        <v>4022</v>
      </c>
      <c r="S19">
        <v>163183</v>
      </c>
      <c r="T19">
        <v>148945</v>
      </c>
      <c r="U19">
        <v>249404</v>
      </c>
      <c r="V19">
        <v>242382</v>
      </c>
      <c r="W19">
        <v>219458</v>
      </c>
      <c r="X19">
        <v>187794</v>
      </c>
      <c r="Y19">
        <v>20.58</v>
      </c>
      <c r="Z19">
        <v>224759.5</v>
      </c>
      <c r="AA19" t="s">
        <v>32</v>
      </c>
      <c r="AB19">
        <v>4</v>
      </c>
      <c r="AC19" t="s">
        <v>468</v>
      </c>
    </row>
    <row r="20" spans="1:29" x14ac:dyDescent="0.3">
      <c r="A20">
        <v>29</v>
      </c>
      <c r="B20" t="s">
        <v>521</v>
      </c>
      <c r="C20" t="s">
        <v>101</v>
      </c>
      <c r="D20" s="1">
        <v>26686</v>
      </c>
      <c r="E20">
        <v>131</v>
      </c>
      <c r="F20" t="s">
        <v>522</v>
      </c>
      <c r="G20">
        <v>4290.5590000000002</v>
      </c>
      <c r="H20">
        <v>7505.2030000000004</v>
      </c>
      <c r="I20">
        <v>221709.052</v>
      </c>
      <c r="J20">
        <v>17634.306</v>
      </c>
      <c r="K20">
        <v>105703.40300000001</v>
      </c>
      <c r="L20">
        <v>15092.304</v>
      </c>
      <c r="M20">
        <v>91485.543000000005</v>
      </c>
      <c r="N20">
        <v>14217.86</v>
      </c>
      <c r="O20">
        <v>5696.634</v>
      </c>
      <c r="P20">
        <v>5422.6970000000001</v>
      </c>
      <c r="Q20">
        <v>928.87</v>
      </c>
      <c r="R20">
        <v>280.62299999999999</v>
      </c>
      <c r="S20">
        <v>118659.88099999999</v>
      </c>
      <c r="T20">
        <v>92414.413</v>
      </c>
      <c r="U20">
        <v>111308.655</v>
      </c>
      <c r="V20">
        <v>133499.361</v>
      </c>
      <c r="W20">
        <v>100443.624</v>
      </c>
      <c r="X20">
        <v>72859.843999999997</v>
      </c>
      <c r="Y20">
        <v>15.84</v>
      </c>
      <c r="Z20">
        <v>104527.871</v>
      </c>
      <c r="AA20" t="s">
        <v>32</v>
      </c>
      <c r="AB20">
        <v>4</v>
      </c>
      <c r="AC20" t="s">
        <v>468</v>
      </c>
    </row>
    <row r="21" spans="1:29" x14ac:dyDescent="0.3">
      <c r="A21">
        <v>30</v>
      </c>
      <c r="B21" t="s">
        <v>523</v>
      </c>
      <c r="C21" t="s">
        <v>58</v>
      </c>
      <c r="D21" s="1">
        <v>36236</v>
      </c>
      <c r="E21">
        <v>415</v>
      </c>
      <c r="F21" t="s">
        <v>524</v>
      </c>
      <c r="G21">
        <v>9251.0920000000006</v>
      </c>
      <c r="H21">
        <v>9666.3970000000008</v>
      </c>
      <c r="I21">
        <v>217708.72899999999</v>
      </c>
      <c r="J21">
        <v>30402.420999999998</v>
      </c>
      <c r="K21">
        <v>144451.06299999999</v>
      </c>
      <c r="L21">
        <v>6092.87</v>
      </c>
      <c r="M21">
        <v>112055.787</v>
      </c>
      <c r="N21">
        <v>32395.276000000002</v>
      </c>
      <c r="O21">
        <v>9689.7139999999999</v>
      </c>
      <c r="P21">
        <v>2591.779</v>
      </c>
      <c r="Q21">
        <v>8.5739999999999998</v>
      </c>
      <c r="R21">
        <v>20.186</v>
      </c>
      <c r="S21">
        <v>65921.528000000006</v>
      </c>
      <c r="T21">
        <v>112064.361</v>
      </c>
      <c r="U21">
        <v>147172.217</v>
      </c>
      <c r="V21">
        <v>95888.895000000004</v>
      </c>
      <c r="W21">
        <v>293970.424</v>
      </c>
      <c r="X21">
        <v>287178.58600000001</v>
      </c>
      <c r="Y21">
        <v>20.66</v>
      </c>
      <c r="Z21">
        <v>206052.53049999999</v>
      </c>
      <c r="AA21" t="s">
        <v>32</v>
      </c>
      <c r="AB21">
        <v>4</v>
      </c>
      <c r="AC21" t="s">
        <v>468</v>
      </c>
    </row>
    <row r="22" spans="1:29" x14ac:dyDescent="0.3">
      <c r="A22">
        <v>31</v>
      </c>
      <c r="B22" t="s">
        <v>525</v>
      </c>
      <c r="C22" t="s">
        <v>45</v>
      </c>
      <c r="D22" s="1">
        <v>26996</v>
      </c>
      <c r="E22">
        <v>208</v>
      </c>
      <c r="F22" t="s">
        <v>526</v>
      </c>
      <c r="G22">
        <v>3785.0189999999998</v>
      </c>
      <c r="H22">
        <v>10140.894</v>
      </c>
      <c r="I22">
        <v>214704.69200000001</v>
      </c>
      <c r="J22">
        <v>26340.846000000001</v>
      </c>
      <c r="K22">
        <v>280532.55300000001</v>
      </c>
      <c r="L22">
        <v>52928.078999999998</v>
      </c>
      <c r="M22">
        <v>234589.541</v>
      </c>
      <c r="N22">
        <v>45943.012000000002</v>
      </c>
      <c r="O22">
        <v>5936.1220000000003</v>
      </c>
      <c r="P22">
        <v>15896.746999999999</v>
      </c>
      <c r="Q22">
        <v>28437.916000000001</v>
      </c>
      <c r="R22">
        <v>3175.7750000000001</v>
      </c>
      <c r="S22">
        <v>169978.981</v>
      </c>
      <c r="T22">
        <v>263027.45699999999</v>
      </c>
      <c r="U22">
        <v>297822.788</v>
      </c>
      <c r="V22">
        <v>201578.068</v>
      </c>
      <c r="W22">
        <v>132982.527</v>
      </c>
      <c r="X22">
        <v>113304.754</v>
      </c>
      <c r="Y22">
        <v>8.84</v>
      </c>
      <c r="Z22">
        <v>186422.03425</v>
      </c>
      <c r="AA22" t="s">
        <v>32</v>
      </c>
      <c r="AB22">
        <v>4</v>
      </c>
      <c r="AC22" t="s">
        <v>468</v>
      </c>
    </row>
    <row r="23" spans="1:29" x14ac:dyDescent="0.3">
      <c r="A23">
        <v>32</v>
      </c>
      <c r="B23" t="s">
        <v>527</v>
      </c>
      <c r="C23" t="s">
        <v>101</v>
      </c>
      <c r="D23" s="1">
        <v>31316</v>
      </c>
      <c r="E23">
        <v>210</v>
      </c>
      <c r="F23" t="s">
        <v>528</v>
      </c>
      <c r="G23">
        <v>9617.6759999999995</v>
      </c>
      <c r="H23">
        <v>17857.688999999998</v>
      </c>
      <c r="I23">
        <v>212938.60699999999</v>
      </c>
      <c r="J23">
        <v>70403.213000000003</v>
      </c>
      <c r="K23">
        <v>250331.34899999999</v>
      </c>
      <c r="L23">
        <v>126663.56600000001</v>
      </c>
      <c r="M23">
        <v>214062.73</v>
      </c>
      <c r="N23">
        <v>36268.618999999999</v>
      </c>
      <c r="O23">
        <v>11373.261</v>
      </c>
      <c r="P23">
        <v>37939.03</v>
      </c>
      <c r="Q23">
        <v>636.91999999999996</v>
      </c>
      <c r="R23">
        <v>2825.1869999999999</v>
      </c>
      <c r="S23">
        <v>193143.58900000001</v>
      </c>
      <c r="T23">
        <v>214699.65</v>
      </c>
      <c r="U23">
        <v>288942.64500000002</v>
      </c>
      <c r="V23">
        <v>258291.41899999999</v>
      </c>
      <c r="W23">
        <v>276689.43699999998</v>
      </c>
      <c r="X23">
        <v>233547.83600000001</v>
      </c>
      <c r="Y23">
        <v>24.37</v>
      </c>
      <c r="Z23">
        <v>264367.83425000001</v>
      </c>
      <c r="AA23" t="s">
        <v>32</v>
      </c>
      <c r="AB23">
        <v>4</v>
      </c>
      <c r="AC23" t="s">
        <v>468</v>
      </c>
    </row>
    <row r="24" spans="1:29" x14ac:dyDescent="0.3">
      <c r="A24">
        <v>33</v>
      </c>
      <c r="B24" t="s">
        <v>529</v>
      </c>
      <c r="C24" t="s">
        <v>42</v>
      </c>
      <c r="D24" s="1">
        <v>36097</v>
      </c>
      <c r="E24">
        <v>291</v>
      </c>
      <c r="F24" t="s">
        <v>530</v>
      </c>
      <c r="G24">
        <v>17320.267</v>
      </c>
      <c r="H24">
        <v>29578.833999999999</v>
      </c>
      <c r="I24">
        <v>206954.8</v>
      </c>
      <c r="J24">
        <v>114395.58500000001</v>
      </c>
      <c r="K24">
        <v>439989.42300000001</v>
      </c>
      <c r="L24">
        <v>231176.954</v>
      </c>
      <c r="M24">
        <v>126213.548</v>
      </c>
      <c r="N24">
        <v>313775.875</v>
      </c>
      <c r="O24">
        <v>17739.772000000001</v>
      </c>
      <c r="P24">
        <v>18661.955999999998</v>
      </c>
      <c r="Q24">
        <v>211485.16500000001</v>
      </c>
      <c r="R24">
        <v>2623.18</v>
      </c>
      <c r="S24">
        <v>320963.908</v>
      </c>
      <c r="T24">
        <v>337698.71299999999</v>
      </c>
      <c r="U24">
        <v>459887.69099999999</v>
      </c>
      <c r="V24">
        <v>421235.13799999998</v>
      </c>
      <c r="W24">
        <v>369731.47</v>
      </c>
      <c r="X24">
        <v>329139.01699999999</v>
      </c>
      <c r="Y24">
        <v>24.87</v>
      </c>
      <c r="Z24">
        <v>394998.32900000003</v>
      </c>
      <c r="AA24" t="s">
        <v>32</v>
      </c>
      <c r="AB24">
        <v>4</v>
      </c>
      <c r="AC24" t="s">
        <v>468</v>
      </c>
    </row>
    <row r="25" spans="1:29" x14ac:dyDescent="0.3">
      <c r="A25">
        <v>34</v>
      </c>
      <c r="B25" t="s">
        <v>531</v>
      </c>
      <c r="C25" t="s">
        <v>58</v>
      </c>
      <c r="D25" s="1">
        <v>37937</v>
      </c>
      <c r="E25">
        <v>25</v>
      </c>
      <c r="F25" t="s">
        <v>532</v>
      </c>
      <c r="G25">
        <v>15184.733</v>
      </c>
      <c r="H25">
        <v>11472.306</v>
      </c>
      <c r="I25">
        <v>200069.02600000001</v>
      </c>
      <c r="J25">
        <v>679941.44099999999</v>
      </c>
      <c r="K25">
        <v>781073.42700000003</v>
      </c>
      <c r="L25">
        <v>435877.864</v>
      </c>
      <c r="M25">
        <v>55975.336000000003</v>
      </c>
      <c r="N25">
        <v>725098.09100000001</v>
      </c>
      <c r="O25">
        <v>15585.227999999999</v>
      </c>
      <c r="P25">
        <v>1595.098</v>
      </c>
      <c r="Q25">
        <v>13928.492</v>
      </c>
      <c r="R25">
        <v>355.37400000000002</v>
      </c>
      <c r="S25">
        <v>108410.349</v>
      </c>
      <c r="T25">
        <v>69903.827999999994</v>
      </c>
      <c r="U25">
        <v>796662.30700000003</v>
      </c>
      <c r="V25">
        <v>861302.07799999998</v>
      </c>
      <c r="W25">
        <v>864088.05099999998</v>
      </c>
      <c r="X25">
        <v>846305.8</v>
      </c>
      <c r="Y25">
        <v>85.35</v>
      </c>
      <c r="Z25">
        <v>842089.55900000001</v>
      </c>
      <c r="AA25" t="s">
        <v>32</v>
      </c>
      <c r="AB25">
        <v>4</v>
      </c>
      <c r="AC25" t="s">
        <v>468</v>
      </c>
    </row>
    <row r="26" spans="1:29" x14ac:dyDescent="0.3">
      <c r="A26">
        <v>38</v>
      </c>
      <c r="B26" t="s">
        <v>537</v>
      </c>
      <c r="C26" t="s">
        <v>45</v>
      </c>
      <c r="D26" s="1">
        <v>33029</v>
      </c>
      <c r="E26">
        <v>1028</v>
      </c>
      <c r="F26" t="s">
        <v>538</v>
      </c>
      <c r="G26">
        <v>45588</v>
      </c>
      <c r="H26">
        <v>7956</v>
      </c>
      <c r="I26">
        <v>190694</v>
      </c>
      <c r="J26">
        <v>348729</v>
      </c>
      <c r="K26">
        <v>561100</v>
      </c>
      <c r="L26">
        <v>277081</v>
      </c>
      <c r="M26">
        <v>462938</v>
      </c>
      <c r="N26">
        <v>98162</v>
      </c>
      <c r="O26">
        <v>47715</v>
      </c>
      <c r="P26">
        <v>357192</v>
      </c>
      <c r="Q26">
        <v>77360</v>
      </c>
      <c r="R26">
        <v>18774</v>
      </c>
      <c r="S26">
        <v>462371</v>
      </c>
      <c r="T26">
        <v>540298</v>
      </c>
      <c r="U26">
        <v>921370</v>
      </c>
      <c r="V26">
        <v>875112</v>
      </c>
      <c r="W26">
        <v>742148</v>
      </c>
      <c r="X26">
        <v>526623</v>
      </c>
      <c r="Y26">
        <v>37.85</v>
      </c>
      <c r="Z26">
        <v>766313.25</v>
      </c>
      <c r="AA26" t="s">
        <v>32</v>
      </c>
      <c r="AB26">
        <v>4</v>
      </c>
      <c r="AC26" t="s">
        <v>468</v>
      </c>
    </row>
    <row r="27" spans="1:29" x14ac:dyDescent="0.3">
      <c r="A27">
        <v>39</v>
      </c>
      <c r="B27" t="s">
        <v>539</v>
      </c>
      <c r="C27" t="s">
        <v>45</v>
      </c>
      <c r="D27" s="1">
        <v>22218</v>
      </c>
      <c r="E27">
        <v>230</v>
      </c>
      <c r="F27" t="s">
        <v>540</v>
      </c>
      <c r="G27">
        <v>64394.521999999997</v>
      </c>
      <c r="H27">
        <v>131107.565</v>
      </c>
      <c r="I27">
        <v>189197.87100000001</v>
      </c>
      <c r="J27">
        <v>574987.59400000004</v>
      </c>
      <c r="K27">
        <v>170533.44099999999</v>
      </c>
      <c r="L27">
        <v>2425.2080000000001</v>
      </c>
      <c r="M27">
        <v>173596.87100000001</v>
      </c>
      <c r="N27">
        <v>-3063.43</v>
      </c>
      <c r="O27">
        <v>106905.75</v>
      </c>
      <c r="P27">
        <v>1762586.9650000001</v>
      </c>
      <c r="Q27">
        <v>1134838.51</v>
      </c>
      <c r="R27">
        <v>18978.829000000002</v>
      </c>
      <c r="S27">
        <v>1262980.747</v>
      </c>
      <c r="T27">
        <v>1308435.3810000001</v>
      </c>
      <c r="U27">
        <v>1934115.7150000001</v>
      </c>
      <c r="V27">
        <v>1829583.3589999999</v>
      </c>
      <c r="W27">
        <v>1741789.1159999999</v>
      </c>
      <c r="X27">
        <v>1713797.1259999999</v>
      </c>
      <c r="Y27">
        <v>29.73</v>
      </c>
      <c r="Z27">
        <v>1804821.3289999999</v>
      </c>
      <c r="AA27" t="s">
        <v>32</v>
      </c>
      <c r="AB27">
        <v>4</v>
      </c>
      <c r="AC27" t="s">
        <v>468</v>
      </c>
    </row>
    <row r="28" spans="1:29" x14ac:dyDescent="0.3">
      <c r="A28">
        <v>40</v>
      </c>
      <c r="B28" t="s">
        <v>541</v>
      </c>
      <c r="C28" t="s">
        <v>45</v>
      </c>
      <c r="D28" s="1">
        <v>39905</v>
      </c>
      <c r="E28">
        <v>154</v>
      </c>
      <c r="F28" t="s">
        <v>542</v>
      </c>
      <c r="G28">
        <v>14589.723</v>
      </c>
      <c r="H28">
        <v>25343.881000000001</v>
      </c>
      <c r="I28">
        <v>180469.81899999999</v>
      </c>
      <c r="J28">
        <v>33761.834000000003</v>
      </c>
      <c r="K28">
        <v>237628.05900000001</v>
      </c>
      <c r="L28">
        <v>12214.141</v>
      </c>
      <c r="M28">
        <v>196218.02799999999</v>
      </c>
      <c r="N28">
        <v>41410.031000000003</v>
      </c>
      <c r="O28">
        <v>17369.345000000001</v>
      </c>
      <c r="P28">
        <v>14064.434999999999</v>
      </c>
      <c r="Q28">
        <v>19833.136999999999</v>
      </c>
      <c r="R28">
        <v>2815.9520000000002</v>
      </c>
      <c r="S28">
        <v>113752.591</v>
      </c>
      <c r="T28">
        <v>216051.16500000001</v>
      </c>
      <c r="U28">
        <v>252254.34099999999</v>
      </c>
      <c r="V28">
        <v>139974.42499999999</v>
      </c>
      <c r="W28">
        <v>87964.294999999998</v>
      </c>
      <c r="X28">
        <v>56317.930999999997</v>
      </c>
      <c r="Y28">
        <v>13.38</v>
      </c>
      <c r="Z28">
        <v>134127.74799999999</v>
      </c>
      <c r="AA28" t="s">
        <v>32</v>
      </c>
      <c r="AB28">
        <v>4</v>
      </c>
      <c r="AC28" t="s">
        <v>468</v>
      </c>
    </row>
    <row r="29" spans="1:29" x14ac:dyDescent="0.3">
      <c r="A29">
        <v>42</v>
      </c>
      <c r="B29" t="s">
        <v>545</v>
      </c>
      <c r="C29" t="s">
        <v>42</v>
      </c>
      <c r="D29" s="1">
        <v>29661</v>
      </c>
      <c r="E29">
        <v>364</v>
      </c>
      <c r="F29" t="s">
        <v>546</v>
      </c>
      <c r="G29">
        <v>2990.239</v>
      </c>
      <c r="H29">
        <v>5539.7250000000004</v>
      </c>
      <c r="I29">
        <v>163100.913</v>
      </c>
      <c r="J29">
        <v>24783.942999999999</v>
      </c>
      <c r="K29">
        <v>156209.63</v>
      </c>
      <c r="L29">
        <v>26331.547999999999</v>
      </c>
      <c r="M29">
        <v>131481.34899999999</v>
      </c>
      <c r="N29">
        <v>24728.280999999999</v>
      </c>
      <c r="O29">
        <v>3970.3229999999999</v>
      </c>
      <c r="P29">
        <v>10145.055</v>
      </c>
      <c r="Q29">
        <v>10540.075000000001</v>
      </c>
      <c r="R29">
        <v>2313.4929999999999</v>
      </c>
      <c r="S29">
        <v>105217.482</v>
      </c>
      <c r="T29">
        <v>142021.424</v>
      </c>
      <c r="U29">
        <v>167332.90100000001</v>
      </c>
      <c r="V29">
        <v>127605.258</v>
      </c>
      <c r="W29">
        <v>108113.019</v>
      </c>
      <c r="X29">
        <v>89997.232000000004</v>
      </c>
      <c r="Y29">
        <v>14.81</v>
      </c>
      <c r="Z29">
        <v>123262.10249999999</v>
      </c>
      <c r="AA29" t="s">
        <v>32</v>
      </c>
      <c r="AB29">
        <v>4</v>
      </c>
      <c r="AC29" t="s">
        <v>468</v>
      </c>
    </row>
    <row r="30" spans="1:29" x14ac:dyDescent="0.3">
      <c r="A30">
        <v>44</v>
      </c>
      <c r="B30" t="s">
        <v>547</v>
      </c>
      <c r="C30" t="s">
        <v>58</v>
      </c>
      <c r="D30" s="1">
        <v>29154</v>
      </c>
      <c r="E30">
        <v>427</v>
      </c>
      <c r="F30" t="s">
        <v>548</v>
      </c>
      <c r="G30">
        <v>461.608</v>
      </c>
      <c r="H30">
        <v>3650.107</v>
      </c>
      <c r="I30">
        <v>150181.196</v>
      </c>
      <c r="J30">
        <v>51416.858</v>
      </c>
      <c r="K30">
        <v>59840.921999999999</v>
      </c>
      <c r="L30">
        <v>0</v>
      </c>
      <c r="M30">
        <v>91473.845000000001</v>
      </c>
      <c r="N30">
        <v>-31632.922999999999</v>
      </c>
      <c r="O30">
        <v>1860.173</v>
      </c>
      <c r="P30">
        <v>94464.46</v>
      </c>
      <c r="Q30">
        <v>10200.623</v>
      </c>
      <c r="R30">
        <v>905.08600000000001</v>
      </c>
      <c r="S30">
        <v>56434.222999999998</v>
      </c>
      <c r="T30">
        <v>101674.46799999999</v>
      </c>
      <c r="U30">
        <v>154540.37400000001</v>
      </c>
      <c r="V30">
        <v>73890.792000000001</v>
      </c>
      <c r="W30">
        <v>68632.44</v>
      </c>
      <c r="X30">
        <v>68794.732000000004</v>
      </c>
      <c r="Y30">
        <v>33.270000000000003</v>
      </c>
      <c r="Z30">
        <v>91464.584499999997</v>
      </c>
      <c r="AA30" t="s">
        <v>32</v>
      </c>
      <c r="AB30">
        <v>4</v>
      </c>
      <c r="AC30" t="s">
        <v>468</v>
      </c>
    </row>
    <row r="31" spans="1:29" x14ac:dyDescent="0.3">
      <c r="A31">
        <v>45</v>
      </c>
      <c r="B31" t="s">
        <v>549</v>
      </c>
      <c r="C31" t="s">
        <v>58</v>
      </c>
      <c r="D31" s="1">
        <v>37431</v>
      </c>
      <c r="E31">
        <v>30</v>
      </c>
      <c r="F31" t="s">
        <v>550</v>
      </c>
      <c r="G31">
        <v>-1846</v>
      </c>
      <c r="H31">
        <v>23597</v>
      </c>
      <c r="I31">
        <v>144434</v>
      </c>
      <c r="J31">
        <v>66516</v>
      </c>
      <c r="K31">
        <v>163364</v>
      </c>
      <c r="L31">
        <v>255</v>
      </c>
      <c r="M31">
        <v>168593</v>
      </c>
      <c r="N31">
        <v>-5229</v>
      </c>
      <c r="O31">
        <v>13393</v>
      </c>
      <c r="P31">
        <v>99667</v>
      </c>
      <c r="Q31">
        <v>16549</v>
      </c>
      <c r="R31">
        <v>7333</v>
      </c>
      <c r="S31">
        <v>130636</v>
      </c>
      <c r="T31">
        <v>185142</v>
      </c>
      <c r="U31">
        <v>264071</v>
      </c>
      <c r="V31">
        <v>212878</v>
      </c>
      <c r="W31">
        <v>154320</v>
      </c>
      <c r="X31">
        <v>103602</v>
      </c>
      <c r="Y31">
        <v>25.19</v>
      </c>
      <c r="Z31">
        <v>183717.75</v>
      </c>
      <c r="AA31" t="s">
        <v>32</v>
      </c>
      <c r="AB31">
        <v>4</v>
      </c>
      <c r="AC31" t="s">
        <v>468</v>
      </c>
    </row>
    <row r="32" spans="1:29" x14ac:dyDescent="0.3">
      <c r="A32">
        <v>1223</v>
      </c>
      <c r="B32" t="s">
        <v>571</v>
      </c>
      <c r="C32" t="s">
        <v>58</v>
      </c>
      <c r="D32" s="1">
        <v>43629</v>
      </c>
      <c r="E32">
        <v>19</v>
      </c>
      <c r="F32" t="s">
        <v>572</v>
      </c>
      <c r="G32">
        <v>20.193999999999999</v>
      </c>
      <c r="H32">
        <v>189.50399999999999</v>
      </c>
      <c r="I32">
        <v>11933.227000000001</v>
      </c>
      <c r="J32">
        <v>787.97299999999996</v>
      </c>
      <c r="K32">
        <v>3690.14</v>
      </c>
      <c r="L32">
        <v>208.76900000000001</v>
      </c>
      <c r="M32">
        <v>3108.212</v>
      </c>
      <c r="N32">
        <v>581.928</v>
      </c>
      <c r="O32">
        <v>122.304</v>
      </c>
      <c r="P32">
        <v>309.375</v>
      </c>
      <c r="Q32">
        <v>26.991</v>
      </c>
      <c r="R32">
        <v>0.192</v>
      </c>
      <c r="S32">
        <v>2012.807</v>
      </c>
      <c r="T32">
        <v>3135.203</v>
      </c>
      <c r="U32">
        <v>4027.1529999999998</v>
      </c>
      <c r="V32">
        <v>2852.49</v>
      </c>
      <c r="W32">
        <v>1847.671</v>
      </c>
      <c r="X32">
        <v>1143.8219999999999</v>
      </c>
      <c r="Y32">
        <v>19.57</v>
      </c>
      <c r="Z32">
        <v>2467.7840000000001</v>
      </c>
      <c r="AA32" t="s">
        <v>32</v>
      </c>
      <c r="AB32">
        <v>3</v>
      </c>
      <c r="AC32" t="s">
        <v>468</v>
      </c>
    </row>
    <row r="33" spans="1:29" x14ac:dyDescent="0.3">
      <c r="A33">
        <v>1354</v>
      </c>
      <c r="B33" t="s">
        <v>573</v>
      </c>
      <c r="C33" t="s">
        <v>42</v>
      </c>
      <c r="D33" s="1">
        <v>41229</v>
      </c>
      <c r="E33">
        <v>12</v>
      </c>
      <c r="F33" t="s">
        <v>574</v>
      </c>
      <c r="G33">
        <v>111.904</v>
      </c>
      <c r="H33">
        <v>275.54899999999998</v>
      </c>
      <c r="I33">
        <v>10972.045</v>
      </c>
      <c r="J33">
        <v>311.74599999999998</v>
      </c>
      <c r="K33">
        <v>3461.35</v>
      </c>
      <c r="L33">
        <v>59.29</v>
      </c>
      <c r="M33">
        <v>3189.125</v>
      </c>
      <c r="N33">
        <v>272.22500000000002</v>
      </c>
      <c r="O33">
        <v>149.048</v>
      </c>
      <c r="P33">
        <v>131.26499999999999</v>
      </c>
      <c r="Q33">
        <v>193.28299999999999</v>
      </c>
      <c r="R33">
        <v>33.722999999999999</v>
      </c>
      <c r="S33">
        <v>2367.6669999999999</v>
      </c>
      <c r="T33">
        <v>3382.4079999999999</v>
      </c>
      <c r="U33">
        <v>3878.183</v>
      </c>
      <c r="V33">
        <v>2917.4789999999998</v>
      </c>
      <c r="W33">
        <v>1829.4390000000001</v>
      </c>
      <c r="X33">
        <v>1398.0050000000001</v>
      </c>
      <c r="Y33">
        <v>8.0399999999999991</v>
      </c>
      <c r="Z33">
        <v>2505.7764999999999</v>
      </c>
      <c r="AA33" t="s">
        <v>32</v>
      </c>
      <c r="AB33">
        <v>3</v>
      </c>
      <c r="AC33" t="s">
        <v>468</v>
      </c>
    </row>
    <row r="34" spans="1:29" x14ac:dyDescent="0.3">
      <c r="A34">
        <v>1445</v>
      </c>
      <c r="B34" t="s">
        <v>575</v>
      </c>
      <c r="C34" t="s">
        <v>58</v>
      </c>
      <c r="D34" s="1">
        <v>41674</v>
      </c>
      <c r="E34">
        <v>24</v>
      </c>
      <c r="F34" t="s">
        <v>576</v>
      </c>
      <c r="G34">
        <v>315.95800000000003</v>
      </c>
      <c r="H34">
        <v>480.41199999999998</v>
      </c>
      <c r="I34">
        <v>10319.142</v>
      </c>
      <c r="J34">
        <v>667.85799999999995</v>
      </c>
      <c r="K34">
        <v>5316.1369999999997</v>
      </c>
      <c r="L34">
        <v>999.14200000000005</v>
      </c>
      <c r="M34">
        <v>4811.8540000000003</v>
      </c>
      <c r="N34">
        <v>504.28300000000002</v>
      </c>
      <c r="O34">
        <v>420.29199999999997</v>
      </c>
      <c r="P34">
        <v>382.245</v>
      </c>
      <c r="Q34">
        <v>63.366999999999997</v>
      </c>
      <c r="R34">
        <v>83.52</v>
      </c>
      <c r="S34">
        <v>2956.8310000000001</v>
      </c>
      <c r="T34">
        <v>4875.2209999999995</v>
      </c>
      <c r="U34">
        <v>5750.0510000000004</v>
      </c>
      <c r="V34">
        <v>3576.8820000000001</v>
      </c>
      <c r="W34">
        <v>2754.605</v>
      </c>
      <c r="X34">
        <v>1626.511</v>
      </c>
      <c r="Y34">
        <v>11.61</v>
      </c>
      <c r="Z34">
        <v>3427.0122500000002</v>
      </c>
      <c r="AA34" t="s">
        <v>32</v>
      </c>
      <c r="AB34">
        <v>3</v>
      </c>
      <c r="AC34" t="s">
        <v>468</v>
      </c>
    </row>
    <row r="35" spans="1:29" x14ac:dyDescent="0.3">
      <c r="A35">
        <v>1515</v>
      </c>
      <c r="B35" t="s">
        <v>577</v>
      </c>
      <c r="C35" t="s">
        <v>58</v>
      </c>
      <c r="D35" s="1">
        <v>44011</v>
      </c>
      <c r="E35">
        <v>76</v>
      </c>
      <c r="F35" t="s">
        <v>578</v>
      </c>
      <c r="G35">
        <v>136.88200000000001</v>
      </c>
      <c r="H35">
        <v>281.54599999999999</v>
      </c>
      <c r="I35">
        <v>9902.6380000000008</v>
      </c>
      <c r="J35">
        <v>911.05100000000004</v>
      </c>
      <c r="K35">
        <v>3602.752</v>
      </c>
      <c r="L35">
        <v>598.58100000000002</v>
      </c>
      <c r="M35">
        <v>2435.152</v>
      </c>
      <c r="N35">
        <v>1167.5999999999999</v>
      </c>
      <c r="O35">
        <v>174.68199999999999</v>
      </c>
      <c r="P35">
        <v>197.41</v>
      </c>
      <c r="Q35">
        <v>0</v>
      </c>
      <c r="R35">
        <v>20.581</v>
      </c>
      <c r="S35">
        <v>4066.91</v>
      </c>
      <c r="T35">
        <v>2435.152</v>
      </c>
      <c r="U35">
        <v>3876.0990000000002</v>
      </c>
      <c r="V35">
        <v>5342.0439999999999</v>
      </c>
      <c r="W35">
        <v>2104.1999999999998</v>
      </c>
      <c r="X35">
        <v>831.60199999999998</v>
      </c>
      <c r="Y35">
        <v>23.5</v>
      </c>
      <c r="Z35">
        <v>3038.4862499999999</v>
      </c>
      <c r="AA35" t="s">
        <v>32</v>
      </c>
      <c r="AB35">
        <v>3</v>
      </c>
      <c r="AC35" t="s">
        <v>468</v>
      </c>
    </row>
    <row r="36" spans="1:29" x14ac:dyDescent="0.3">
      <c r="A36">
        <v>1566</v>
      </c>
      <c r="B36" t="s">
        <v>579</v>
      </c>
      <c r="C36" t="s">
        <v>58</v>
      </c>
      <c r="D36" s="1">
        <v>42990</v>
      </c>
      <c r="E36">
        <v>14</v>
      </c>
      <c r="F36" t="s">
        <v>580</v>
      </c>
      <c r="G36">
        <v>47.848999999999997</v>
      </c>
      <c r="H36">
        <v>168.154</v>
      </c>
      <c r="I36">
        <v>9613.7459999999992</v>
      </c>
      <c r="J36">
        <v>583.74599999999998</v>
      </c>
      <c r="K36">
        <v>1566.6990000000001</v>
      </c>
      <c r="L36">
        <v>0</v>
      </c>
      <c r="M36">
        <v>1006.545</v>
      </c>
      <c r="N36">
        <v>560.154</v>
      </c>
      <c r="O36">
        <v>117.101</v>
      </c>
      <c r="P36">
        <v>557.81399999999996</v>
      </c>
      <c r="Q36">
        <v>449.99400000000003</v>
      </c>
      <c r="R36">
        <v>11.646000000000001</v>
      </c>
      <c r="S36">
        <v>2476.1759999999999</v>
      </c>
      <c r="T36">
        <v>1456.539</v>
      </c>
      <c r="U36">
        <v>2127.8519999999999</v>
      </c>
      <c r="V36">
        <v>3075.0909999999999</v>
      </c>
      <c r="W36">
        <v>1553.692</v>
      </c>
      <c r="X36">
        <v>1377.9259999999999</v>
      </c>
      <c r="Y36">
        <v>27.43</v>
      </c>
      <c r="Z36">
        <v>2033.6402499999999</v>
      </c>
      <c r="AA36" t="s">
        <v>32</v>
      </c>
      <c r="AB36">
        <v>3</v>
      </c>
      <c r="AC36" t="s">
        <v>468</v>
      </c>
    </row>
    <row r="37" spans="1:29" x14ac:dyDescent="0.3">
      <c r="A37">
        <v>1573</v>
      </c>
      <c r="B37" t="s">
        <v>581</v>
      </c>
      <c r="C37" t="s">
        <v>45</v>
      </c>
      <c r="D37" s="1">
        <v>39631</v>
      </c>
      <c r="E37">
        <v>41</v>
      </c>
      <c r="F37" t="s">
        <v>582</v>
      </c>
      <c r="G37">
        <v>404.387</v>
      </c>
      <c r="H37">
        <v>678.92899999999997</v>
      </c>
      <c r="I37">
        <v>9579.1880000000001</v>
      </c>
      <c r="J37">
        <v>669.59900000000005</v>
      </c>
      <c r="K37">
        <v>4073.32</v>
      </c>
      <c r="L37">
        <v>1015.184</v>
      </c>
      <c r="M37">
        <v>1804.96</v>
      </c>
      <c r="N37">
        <v>2268.36</v>
      </c>
      <c r="O37">
        <v>455.45800000000003</v>
      </c>
      <c r="P37">
        <v>152.49600000000001</v>
      </c>
      <c r="Q37">
        <v>661.11699999999996</v>
      </c>
      <c r="R37">
        <v>91.388000000000005</v>
      </c>
      <c r="S37">
        <v>2667.9989999999998</v>
      </c>
      <c r="T37">
        <v>2466.0770000000002</v>
      </c>
      <c r="U37">
        <v>4369.1109999999999</v>
      </c>
      <c r="V37">
        <v>3630.4920000000002</v>
      </c>
      <c r="W37">
        <v>2887.2429999999999</v>
      </c>
      <c r="X37">
        <v>1417.7539999999999</v>
      </c>
      <c r="Y37">
        <v>15.33</v>
      </c>
      <c r="Z37">
        <v>3076.15</v>
      </c>
      <c r="AA37" t="s">
        <v>32</v>
      </c>
      <c r="AB37">
        <v>3</v>
      </c>
      <c r="AC37" t="s">
        <v>468</v>
      </c>
    </row>
    <row r="38" spans="1:29" x14ac:dyDescent="0.3">
      <c r="A38">
        <v>1686</v>
      </c>
      <c r="B38" t="s">
        <v>583</v>
      </c>
      <c r="C38" t="s">
        <v>58</v>
      </c>
      <c r="D38" s="1">
        <v>37326</v>
      </c>
      <c r="E38">
        <v>10</v>
      </c>
      <c r="F38" t="s">
        <v>584</v>
      </c>
      <c r="G38">
        <v>211.928</v>
      </c>
      <c r="H38">
        <v>465.60199999999998</v>
      </c>
      <c r="I38">
        <v>9083.9760000000006</v>
      </c>
      <c r="J38">
        <v>364.464</v>
      </c>
      <c r="K38">
        <v>4103.8159999999998</v>
      </c>
      <c r="L38">
        <v>461.58800000000002</v>
      </c>
      <c r="M38">
        <v>3232.384</v>
      </c>
      <c r="N38">
        <v>871.43200000000002</v>
      </c>
      <c r="O38">
        <v>276.93200000000002</v>
      </c>
      <c r="P38">
        <v>376.07</v>
      </c>
      <c r="Q38">
        <v>609.01800000000003</v>
      </c>
      <c r="R38">
        <v>101.773</v>
      </c>
      <c r="S38">
        <v>2312.4029999999998</v>
      </c>
      <c r="T38">
        <v>3841.402</v>
      </c>
      <c r="U38">
        <v>4524.4319999999998</v>
      </c>
      <c r="V38">
        <v>2828.9580000000001</v>
      </c>
      <c r="W38">
        <v>1532.4570000000001</v>
      </c>
      <c r="X38">
        <v>1828.633</v>
      </c>
      <c r="Y38">
        <v>8.06</v>
      </c>
      <c r="Z38">
        <v>2678.62</v>
      </c>
      <c r="AA38" t="s">
        <v>32</v>
      </c>
      <c r="AB38">
        <v>3</v>
      </c>
      <c r="AC38" t="s">
        <v>468</v>
      </c>
    </row>
    <row r="39" spans="1:29" x14ac:dyDescent="0.3">
      <c r="A39">
        <v>1743</v>
      </c>
      <c r="B39" t="s">
        <v>585</v>
      </c>
      <c r="C39" t="s">
        <v>45</v>
      </c>
      <c r="D39" s="1">
        <v>43145</v>
      </c>
      <c r="E39">
        <v>1</v>
      </c>
      <c r="F39" t="s">
        <v>586</v>
      </c>
      <c r="G39">
        <v>0.36199999999999999</v>
      </c>
      <c r="H39">
        <v>87.966999999999999</v>
      </c>
      <c r="I39">
        <v>8778.1530000000002</v>
      </c>
      <c r="J39">
        <v>92.472999999999999</v>
      </c>
      <c r="K39">
        <v>3891.5360000000001</v>
      </c>
      <c r="L39">
        <v>169.797</v>
      </c>
      <c r="M39">
        <v>3831.62</v>
      </c>
      <c r="N39">
        <v>59.915999999999997</v>
      </c>
      <c r="O39">
        <v>13.170999999999999</v>
      </c>
      <c r="P39">
        <v>44.115000000000002</v>
      </c>
      <c r="Q39">
        <v>9.5670000000000002</v>
      </c>
      <c r="R39">
        <v>37.058</v>
      </c>
      <c r="S39">
        <v>2024.2639999999999</v>
      </c>
      <c r="T39">
        <v>3841.1869999999999</v>
      </c>
      <c r="U39">
        <v>3937.22</v>
      </c>
      <c r="V39">
        <v>2119.1619999999998</v>
      </c>
      <c r="W39">
        <v>1376.2729999999999</v>
      </c>
      <c r="X39">
        <v>8.2479999999999993</v>
      </c>
      <c r="Y39">
        <v>2.35</v>
      </c>
      <c r="Z39">
        <v>1860.2257500000001</v>
      </c>
      <c r="AA39" t="s">
        <v>32</v>
      </c>
      <c r="AB39">
        <v>3</v>
      </c>
      <c r="AC39" t="s">
        <v>468</v>
      </c>
    </row>
    <row r="40" spans="1:29" x14ac:dyDescent="0.3">
      <c r="A40">
        <v>1781</v>
      </c>
      <c r="B40" t="s">
        <v>587</v>
      </c>
      <c r="C40" t="s">
        <v>101</v>
      </c>
      <c r="D40" s="1">
        <v>37866</v>
      </c>
      <c r="E40">
        <v>8</v>
      </c>
      <c r="F40" t="s">
        <v>588</v>
      </c>
      <c r="G40">
        <v>152.84100000000001</v>
      </c>
      <c r="H40">
        <v>460.65899999999999</v>
      </c>
      <c r="I40">
        <v>4626.2579999999998</v>
      </c>
      <c r="J40">
        <v>807.83699999999999</v>
      </c>
      <c r="K40">
        <v>2688.21</v>
      </c>
      <c r="L40">
        <v>0</v>
      </c>
      <c r="M40">
        <v>1642.4749999999999</v>
      </c>
      <c r="N40">
        <v>1045.7349999999999</v>
      </c>
      <c r="O40">
        <v>239.56</v>
      </c>
      <c r="P40">
        <v>462.887</v>
      </c>
      <c r="Q40">
        <v>560.17999999999995</v>
      </c>
      <c r="R40">
        <v>148.01599999999999</v>
      </c>
      <c r="S40">
        <v>1899.3330000000001</v>
      </c>
      <c r="T40">
        <v>2202.6550000000002</v>
      </c>
      <c r="U40">
        <v>3182.6170000000002</v>
      </c>
      <c r="V40">
        <v>2702.1889999999999</v>
      </c>
      <c r="W40">
        <v>1819.5989999999999</v>
      </c>
      <c r="X40">
        <v>3248.194</v>
      </c>
      <c r="Y40">
        <v>25.38</v>
      </c>
      <c r="Z40">
        <v>2738.14975</v>
      </c>
      <c r="AA40" t="s">
        <v>32</v>
      </c>
      <c r="AB40">
        <v>3</v>
      </c>
      <c r="AC40" t="s">
        <v>468</v>
      </c>
    </row>
    <row r="41" spans="1:29" x14ac:dyDescent="0.3">
      <c r="A41">
        <v>1818</v>
      </c>
      <c r="B41" t="s">
        <v>589</v>
      </c>
      <c r="C41" t="s">
        <v>58</v>
      </c>
      <c r="D41" s="1">
        <v>41261</v>
      </c>
      <c r="E41">
        <v>8</v>
      </c>
      <c r="F41" t="s">
        <v>590</v>
      </c>
      <c r="G41">
        <v>1.5129999999999999</v>
      </c>
      <c r="H41">
        <v>315.95</v>
      </c>
      <c r="I41">
        <v>8490.2749999999996</v>
      </c>
      <c r="J41">
        <v>285.654</v>
      </c>
      <c r="K41">
        <v>2150.5790000000002</v>
      </c>
      <c r="L41">
        <v>3.2080000000000002</v>
      </c>
      <c r="M41">
        <v>1766.366</v>
      </c>
      <c r="N41">
        <v>384.21300000000002</v>
      </c>
      <c r="O41">
        <v>179.541</v>
      </c>
      <c r="P41">
        <v>441.30599999999998</v>
      </c>
      <c r="Q41">
        <v>465.346</v>
      </c>
      <c r="R41">
        <v>115.72199999999999</v>
      </c>
      <c r="S41">
        <v>2109.8710000000001</v>
      </c>
      <c r="T41">
        <v>2231.712</v>
      </c>
      <c r="U41">
        <v>2604.0160000000001</v>
      </c>
      <c r="V41">
        <v>2461.1770000000001</v>
      </c>
      <c r="W41">
        <v>2171.875</v>
      </c>
      <c r="X41">
        <v>1254.3979999999999</v>
      </c>
      <c r="Y41">
        <v>10.97</v>
      </c>
      <c r="Z41">
        <v>2122.8665000000001</v>
      </c>
      <c r="AA41" t="s">
        <v>32</v>
      </c>
      <c r="AB41">
        <v>3</v>
      </c>
      <c r="AC41" t="s">
        <v>468</v>
      </c>
    </row>
    <row r="42" spans="1:29" x14ac:dyDescent="0.3">
      <c r="A42">
        <v>1862</v>
      </c>
      <c r="B42" t="s">
        <v>591</v>
      </c>
      <c r="C42" t="s">
        <v>58</v>
      </c>
      <c r="D42" s="1">
        <v>36291</v>
      </c>
      <c r="E42">
        <v>138</v>
      </c>
      <c r="F42" t="s">
        <v>592</v>
      </c>
      <c r="G42">
        <v>11.288</v>
      </c>
      <c r="H42">
        <v>343.79199999999997</v>
      </c>
      <c r="I42">
        <v>8295.5580000000009</v>
      </c>
      <c r="J42">
        <v>117.40300000000001</v>
      </c>
      <c r="K42">
        <v>2744.5039999999999</v>
      </c>
      <c r="L42">
        <v>0</v>
      </c>
      <c r="M42">
        <v>2021.4970000000001</v>
      </c>
      <c r="N42">
        <v>723.00699999999995</v>
      </c>
      <c r="O42">
        <v>75.908000000000001</v>
      </c>
      <c r="P42">
        <v>1096.328</v>
      </c>
      <c r="Q42">
        <v>643.99400000000003</v>
      </c>
      <c r="R42">
        <v>183.24799999999999</v>
      </c>
      <c r="S42">
        <v>2372.0360000000001</v>
      </c>
      <c r="T42">
        <v>2665.491</v>
      </c>
      <c r="U42">
        <v>3945.4520000000002</v>
      </c>
      <c r="V42">
        <v>3744.5720000000001</v>
      </c>
      <c r="W42">
        <v>3217.0259999999998</v>
      </c>
      <c r="X42">
        <v>3273.154</v>
      </c>
      <c r="Y42">
        <v>2.98</v>
      </c>
      <c r="Z42">
        <v>3545.0509999999999</v>
      </c>
      <c r="AA42" t="s">
        <v>32</v>
      </c>
      <c r="AB42">
        <v>3</v>
      </c>
      <c r="AC42" t="s">
        <v>468</v>
      </c>
    </row>
    <row r="43" spans="1:29" x14ac:dyDescent="0.3">
      <c r="A43">
        <v>1892</v>
      </c>
      <c r="B43" t="s">
        <v>593</v>
      </c>
      <c r="C43" t="s">
        <v>58</v>
      </c>
      <c r="D43" s="1">
        <v>38791</v>
      </c>
      <c r="E43">
        <v>35</v>
      </c>
      <c r="F43" t="s">
        <v>594</v>
      </c>
      <c r="G43">
        <v>290.89499999999998</v>
      </c>
      <c r="H43">
        <v>587.04300000000001</v>
      </c>
      <c r="I43">
        <v>8184.3280000000004</v>
      </c>
      <c r="J43">
        <v>1165.6500000000001</v>
      </c>
      <c r="K43">
        <v>3320.9749999999999</v>
      </c>
      <c r="L43">
        <v>188.96700000000001</v>
      </c>
      <c r="M43">
        <v>2998.0509999999999</v>
      </c>
      <c r="N43">
        <v>322.92399999999998</v>
      </c>
      <c r="O43">
        <v>393.24099999999999</v>
      </c>
      <c r="P43">
        <v>1189.537</v>
      </c>
      <c r="Q43">
        <v>253.90299999999999</v>
      </c>
      <c r="R43">
        <v>62.304000000000002</v>
      </c>
      <c r="S43">
        <v>2582.8939999999998</v>
      </c>
      <c r="T43">
        <v>3251.9540000000002</v>
      </c>
      <c r="U43">
        <v>4562.9639999999999</v>
      </c>
      <c r="V43">
        <v>3606.9279999999999</v>
      </c>
      <c r="W43">
        <v>3667.444</v>
      </c>
      <c r="X43">
        <v>2369.069</v>
      </c>
      <c r="Y43">
        <v>25.55</v>
      </c>
      <c r="Z43">
        <v>3551.6012500000002</v>
      </c>
      <c r="AA43" t="s">
        <v>32</v>
      </c>
      <c r="AB43">
        <v>3</v>
      </c>
      <c r="AC43" t="s">
        <v>468</v>
      </c>
    </row>
    <row r="44" spans="1:29" x14ac:dyDescent="0.3">
      <c r="A44">
        <v>1903</v>
      </c>
      <c r="B44" t="s">
        <v>595</v>
      </c>
      <c r="C44" t="s">
        <v>30</v>
      </c>
      <c r="D44" s="1">
        <v>42025</v>
      </c>
      <c r="E44">
        <v>24</v>
      </c>
      <c r="F44" t="s">
        <v>596</v>
      </c>
      <c r="G44">
        <v>158.33699999999999</v>
      </c>
      <c r="H44">
        <v>481.83199999999999</v>
      </c>
      <c r="I44">
        <v>8128.0209999999997</v>
      </c>
      <c r="J44">
        <v>398.91800000000001</v>
      </c>
      <c r="K44">
        <v>3222.2809999999999</v>
      </c>
      <c r="L44">
        <v>466.51</v>
      </c>
      <c r="M44">
        <v>2877.4720000000002</v>
      </c>
      <c r="N44">
        <v>344.80900000000003</v>
      </c>
      <c r="O44">
        <v>325.03199999999998</v>
      </c>
      <c r="P44">
        <v>331.79500000000002</v>
      </c>
      <c r="Q44">
        <v>41.959000000000003</v>
      </c>
      <c r="R44">
        <v>93.006</v>
      </c>
      <c r="S44">
        <v>1864.318</v>
      </c>
      <c r="T44">
        <v>2919.431</v>
      </c>
      <c r="U44">
        <v>3603.68</v>
      </c>
      <c r="V44">
        <v>2421.0320000000002</v>
      </c>
      <c r="W44">
        <v>1942.0709999999999</v>
      </c>
      <c r="X44">
        <v>1641.4359999999999</v>
      </c>
      <c r="Y44">
        <v>11.07</v>
      </c>
      <c r="Z44">
        <v>2402.0547499999998</v>
      </c>
      <c r="AA44" t="s">
        <v>32</v>
      </c>
      <c r="AB44">
        <v>3</v>
      </c>
      <c r="AC44" t="s">
        <v>468</v>
      </c>
    </row>
    <row r="45" spans="1:29" x14ac:dyDescent="0.3">
      <c r="A45">
        <v>1949</v>
      </c>
      <c r="B45" t="s">
        <v>597</v>
      </c>
      <c r="C45" t="s">
        <v>58</v>
      </c>
      <c r="D45" s="1">
        <v>43047</v>
      </c>
      <c r="E45">
        <v>34</v>
      </c>
      <c r="F45" t="s">
        <v>598</v>
      </c>
      <c r="G45">
        <v>274.428</v>
      </c>
      <c r="H45">
        <v>632.55899999999997</v>
      </c>
      <c r="I45">
        <v>7975.4949999999999</v>
      </c>
      <c r="J45">
        <v>742.93499999999995</v>
      </c>
      <c r="K45">
        <v>3036.6080000000002</v>
      </c>
      <c r="L45">
        <v>914.62300000000005</v>
      </c>
      <c r="M45">
        <v>2733.451</v>
      </c>
      <c r="N45">
        <v>303.15699999999998</v>
      </c>
      <c r="O45">
        <v>379.95400000000001</v>
      </c>
      <c r="P45">
        <v>955.56600000000003</v>
      </c>
      <c r="Q45">
        <v>282.16500000000002</v>
      </c>
      <c r="R45">
        <v>62.463000000000001</v>
      </c>
      <c r="S45">
        <v>2549.2190000000001</v>
      </c>
      <c r="T45">
        <v>3015.616</v>
      </c>
      <c r="U45">
        <v>4064.0819999999999</v>
      </c>
      <c r="V45">
        <v>3186.2539999999999</v>
      </c>
      <c r="W45">
        <v>2567.6410000000001</v>
      </c>
      <c r="X45">
        <v>1880.306</v>
      </c>
      <c r="Y45">
        <v>18.28</v>
      </c>
      <c r="Z45">
        <v>2924.5707499999999</v>
      </c>
      <c r="AA45" t="s">
        <v>32</v>
      </c>
      <c r="AB45">
        <v>3</v>
      </c>
      <c r="AC45" t="s">
        <v>468</v>
      </c>
    </row>
    <row r="46" spans="1:29" x14ac:dyDescent="0.3">
      <c r="A46">
        <v>1995</v>
      </c>
      <c r="B46" t="s">
        <v>603</v>
      </c>
      <c r="C46" t="s">
        <v>58</v>
      </c>
      <c r="D46" s="1">
        <v>43515</v>
      </c>
      <c r="E46">
        <v>26</v>
      </c>
      <c r="F46" t="s">
        <v>604</v>
      </c>
      <c r="G46">
        <v>108.154</v>
      </c>
      <c r="H46">
        <v>221.16</v>
      </c>
      <c r="I46">
        <v>7804.3760000000002</v>
      </c>
      <c r="J46">
        <v>635.803</v>
      </c>
      <c r="K46">
        <v>2540.134</v>
      </c>
      <c r="L46">
        <v>150</v>
      </c>
      <c r="M46">
        <v>2372.3539999999998</v>
      </c>
      <c r="N46">
        <v>167.78</v>
      </c>
      <c r="O46">
        <v>136.29</v>
      </c>
      <c r="P46">
        <v>596.96699999999998</v>
      </c>
      <c r="Q46">
        <v>12.2</v>
      </c>
      <c r="R46">
        <v>0</v>
      </c>
      <c r="S46">
        <v>2704.145</v>
      </c>
      <c r="T46">
        <v>2384.5540000000001</v>
      </c>
      <c r="U46">
        <v>3155.8629999999998</v>
      </c>
      <c r="V46">
        <v>3337.5720000000001</v>
      </c>
      <c r="W46">
        <v>2093.3049999999998</v>
      </c>
      <c r="X46">
        <v>1481.9369999999999</v>
      </c>
      <c r="Y46">
        <v>20.149999999999999</v>
      </c>
      <c r="Z46">
        <v>2517.1692499999999</v>
      </c>
      <c r="AA46" t="s">
        <v>32</v>
      </c>
      <c r="AB46">
        <v>3</v>
      </c>
      <c r="AC46" t="s">
        <v>468</v>
      </c>
    </row>
    <row r="47" spans="1:29" x14ac:dyDescent="0.3">
      <c r="A47">
        <v>2028</v>
      </c>
      <c r="B47" t="s">
        <v>609</v>
      </c>
      <c r="C47" t="s">
        <v>35</v>
      </c>
      <c r="D47" s="1">
        <v>43368</v>
      </c>
      <c r="E47">
        <v>8</v>
      </c>
      <c r="F47" t="s">
        <v>610</v>
      </c>
      <c r="G47">
        <v>263.24</v>
      </c>
      <c r="H47">
        <v>317.899</v>
      </c>
      <c r="I47">
        <v>7667.7370000000001</v>
      </c>
      <c r="J47">
        <v>685.45799999999997</v>
      </c>
      <c r="K47">
        <v>3531.3719999999998</v>
      </c>
      <c r="L47">
        <v>678.92399999999998</v>
      </c>
      <c r="M47">
        <v>2788.5149999999999</v>
      </c>
      <c r="N47">
        <v>742.85699999999997</v>
      </c>
      <c r="O47">
        <v>296.20299999999997</v>
      </c>
      <c r="P47">
        <v>344.887</v>
      </c>
      <c r="Q47">
        <v>356.16</v>
      </c>
      <c r="R47">
        <v>375.74099999999999</v>
      </c>
      <c r="S47">
        <v>4945.3140000000003</v>
      </c>
      <c r="T47">
        <v>3144.6750000000002</v>
      </c>
      <c r="U47">
        <v>3932.6120000000001</v>
      </c>
      <c r="V47">
        <v>5474.1760000000004</v>
      </c>
      <c r="W47">
        <v>1706.1279999999999</v>
      </c>
      <c r="X47">
        <v>267.767</v>
      </c>
      <c r="Y47">
        <v>17.43</v>
      </c>
      <c r="Z47">
        <v>2845.1707500000002</v>
      </c>
      <c r="AA47" t="s">
        <v>32</v>
      </c>
      <c r="AB47">
        <v>3</v>
      </c>
      <c r="AC47" t="s">
        <v>468</v>
      </c>
    </row>
    <row r="48" spans="1:29" x14ac:dyDescent="0.3">
      <c r="A48">
        <v>2032</v>
      </c>
      <c r="B48" t="s">
        <v>611</v>
      </c>
      <c r="C48" t="s">
        <v>101</v>
      </c>
      <c r="D48" s="1">
        <v>41200</v>
      </c>
      <c r="E48">
        <v>26</v>
      </c>
      <c r="F48" t="s">
        <v>612</v>
      </c>
      <c r="G48">
        <v>241.874</v>
      </c>
      <c r="H48">
        <v>557.87300000000005</v>
      </c>
      <c r="I48">
        <v>7646.9030000000002</v>
      </c>
      <c r="J48">
        <v>958.25900000000001</v>
      </c>
      <c r="K48">
        <v>5035.2830000000004</v>
      </c>
      <c r="L48">
        <v>148.864</v>
      </c>
      <c r="M48">
        <v>3704.8539999999998</v>
      </c>
      <c r="N48">
        <v>1330.4290000000001</v>
      </c>
      <c r="O48">
        <v>370.988</v>
      </c>
      <c r="P48">
        <v>454.721</v>
      </c>
      <c r="Q48">
        <v>594.18700000000001</v>
      </c>
      <c r="R48">
        <v>69.013999999999996</v>
      </c>
      <c r="S48">
        <v>2030.2550000000001</v>
      </c>
      <c r="T48">
        <v>4299.0410000000002</v>
      </c>
      <c r="U48">
        <v>5504.2550000000001</v>
      </c>
      <c r="V48">
        <v>2912.7759999999998</v>
      </c>
      <c r="W48">
        <v>3547.1080000000002</v>
      </c>
      <c r="X48">
        <v>1531.374</v>
      </c>
      <c r="Y48">
        <v>17.41</v>
      </c>
      <c r="Z48">
        <v>3373.8782500000002</v>
      </c>
      <c r="AA48" t="s">
        <v>32</v>
      </c>
      <c r="AB48">
        <v>3</v>
      </c>
      <c r="AC48" t="s">
        <v>468</v>
      </c>
    </row>
    <row r="49" spans="1:29" x14ac:dyDescent="0.3">
      <c r="A49">
        <v>2037</v>
      </c>
      <c r="B49" t="s">
        <v>613</v>
      </c>
      <c r="C49" t="s">
        <v>58</v>
      </c>
      <c r="D49" s="1">
        <v>44076</v>
      </c>
      <c r="E49">
        <v>0</v>
      </c>
      <c r="F49" t="s">
        <v>614</v>
      </c>
      <c r="G49">
        <v>667.90800000000002</v>
      </c>
      <c r="H49">
        <v>1031.999</v>
      </c>
      <c r="I49">
        <v>7641.6490000000003</v>
      </c>
      <c r="J49">
        <v>1291.4670000000001</v>
      </c>
      <c r="K49">
        <v>6067.8540000000003</v>
      </c>
      <c r="L49">
        <v>4415.8440000000001</v>
      </c>
      <c r="M49">
        <v>2912.3380000000002</v>
      </c>
      <c r="N49">
        <v>3155.5160000000001</v>
      </c>
      <c r="O49">
        <v>669.06700000000001</v>
      </c>
      <c r="P49">
        <v>3.895</v>
      </c>
      <c r="Q49">
        <v>1776.124</v>
      </c>
      <c r="R49">
        <v>96.497</v>
      </c>
      <c r="S49">
        <v>4713.8770000000004</v>
      </c>
      <c r="T49">
        <v>4688.4620000000004</v>
      </c>
      <c r="U49">
        <v>6071.7489999999998</v>
      </c>
      <c r="V49">
        <v>5337.4369999999999</v>
      </c>
      <c r="W49">
        <v>2153.6419999999998</v>
      </c>
      <c r="X49">
        <v>9.3030000000000008</v>
      </c>
      <c r="Y49">
        <v>21.27</v>
      </c>
      <c r="Z49">
        <v>3393.0327499999999</v>
      </c>
      <c r="AA49" t="s">
        <v>32</v>
      </c>
      <c r="AB49">
        <v>3</v>
      </c>
      <c r="AC49" t="s">
        <v>468</v>
      </c>
    </row>
    <row r="50" spans="1:29" x14ac:dyDescent="0.3">
      <c r="A50">
        <v>2055</v>
      </c>
      <c r="B50" t="s">
        <v>615</v>
      </c>
      <c r="C50" t="s">
        <v>58</v>
      </c>
      <c r="D50" s="1">
        <v>38979</v>
      </c>
      <c r="E50">
        <v>8</v>
      </c>
      <c r="F50" t="s">
        <v>616</v>
      </c>
      <c r="G50">
        <v>205.321</v>
      </c>
      <c r="H50">
        <v>400.64800000000002</v>
      </c>
      <c r="I50">
        <v>7597.8729999999996</v>
      </c>
      <c r="J50">
        <v>436.66800000000001</v>
      </c>
      <c r="K50">
        <v>3348.9639999999999</v>
      </c>
      <c r="L50">
        <v>53.2</v>
      </c>
      <c r="M50">
        <v>2316.027</v>
      </c>
      <c r="N50">
        <v>1032.9369999999999</v>
      </c>
      <c r="O50">
        <v>280.77999999999997</v>
      </c>
      <c r="P50">
        <v>221.453</v>
      </c>
      <c r="Q50">
        <v>540.46199999999999</v>
      </c>
      <c r="R50">
        <v>55.011000000000003</v>
      </c>
      <c r="S50">
        <v>1483.502</v>
      </c>
      <c r="T50">
        <v>2856.489</v>
      </c>
      <c r="U50">
        <v>3650.877</v>
      </c>
      <c r="V50">
        <v>2369.9830000000002</v>
      </c>
      <c r="W50">
        <v>2192.71</v>
      </c>
      <c r="X50">
        <v>1305.2909999999999</v>
      </c>
      <c r="Y50">
        <v>11.96</v>
      </c>
      <c r="Z50">
        <v>2379.7152500000002</v>
      </c>
      <c r="AA50" t="s">
        <v>32</v>
      </c>
      <c r="AB50">
        <v>3</v>
      </c>
      <c r="AC50" t="s">
        <v>468</v>
      </c>
    </row>
    <row r="51" spans="1:29" x14ac:dyDescent="0.3">
      <c r="A51">
        <v>2073</v>
      </c>
      <c r="B51" t="s">
        <v>617</v>
      </c>
      <c r="C51" t="s">
        <v>42</v>
      </c>
      <c r="D51" s="1">
        <v>41779</v>
      </c>
      <c r="E51">
        <v>15</v>
      </c>
      <c r="F51" t="s">
        <v>618</v>
      </c>
      <c r="G51">
        <v>-65.900999999999996</v>
      </c>
      <c r="H51">
        <v>21.992999999999999</v>
      </c>
      <c r="I51">
        <v>7527.357</v>
      </c>
      <c r="J51">
        <v>42.64</v>
      </c>
      <c r="K51">
        <v>3351.8389999999999</v>
      </c>
      <c r="L51">
        <v>50.152999999999999</v>
      </c>
      <c r="M51">
        <v>3294.6039999999998</v>
      </c>
      <c r="N51">
        <v>57.234999999999999</v>
      </c>
      <c r="O51">
        <v>6.5609999999999999</v>
      </c>
      <c r="P51">
        <v>383.21100000000001</v>
      </c>
      <c r="Q51">
        <v>335.952</v>
      </c>
      <c r="R51">
        <v>36.834000000000003</v>
      </c>
      <c r="S51">
        <v>2937.4859999999999</v>
      </c>
      <c r="T51">
        <v>3630.556</v>
      </c>
      <c r="U51">
        <v>3748.2020000000002</v>
      </c>
      <c r="V51">
        <v>3115.4670000000001</v>
      </c>
      <c r="W51">
        <v>2509.8409999999999</v>
      </c>
      <c r="X51">
        <v>2455.1930000000002</v>
      </c>
      <c r="Y51">
        <v>1.1399999999999999</v>
      </c>
      <c r="Z51">
        <v>2957.1757499999999</v>
      </c>
      <c r="AA51" t="s">
        <v>32</v>
      </c>
      <c r="AB51">
        <v>3</v>
      </c>
      <c r="AC51" t="s">
        <v>468</v>
      </c>
    </row>
    <row r="52" spans="1:29" x14ac:dyDescent="0.3">
      <c r="A52">
        <v>2076</v>
      </c>
      <c r="B52" t="s">
        <v>619</v>
      </c>
      <c r="C52" t="s">
        <v>58</v>
      </c>
      <c r="D52" s="1">
        <v>30134</v>
      </c>
      <c r="E52">
        <v>18</v>
      </c>
      <c r="F52" t="s">
        <v>620</v>
      </c>
      <c r="G52">
        <v>4.3159999999999998</v>
      </c>
      <c r="H52">
        <v>152.86199999999999</v>
      </c>
      <c r="I52">
        <v>7511.9179999999997</v>
      </c>
      <c r="J52">
        <v>481.59699999999998</v>
      </c>
      <c r="K52">
        <v>3351.6680000000001</v>
      </c>
      <c r="L52">
        <v>20.282</v>
      </c>
      <c r="M52">
        <v>3121.6860000000001</v>
      </c>
      <c r="N52">
        <v>229.982</v>
      </c>
      <c r="O52">
        <v>61.908999999999999</v>
      </c>
      <c r="P52">
        <v>913.26099999999997</v>
      </c>
      <c r="Q52">
        <v>412.14499999999998</v>
      </c>
      <c r="R52">
        <v>21.763999999999999</v>
      </c>
      <c r="S52">
        <v>3062.482</v>
      </c>
      <c r="T52">
        <v>3533.8310000000001</v>
      </c>
      <c r="U52">
        <v>4291.5749999999998</v>
      </c>
      <c r="V52">
        <v>3669.8339999999998</v>
      </c>
      <c r="W52">
        <v>1934.03</v>
      </c>
      <c r="X52">
        <v>1914.971</v>
      </c>
      <c r="Y52">
        <v>11.22</v>
      </c>
      <c r="Z52">
        <v>2952.6025</v>
      </c>
      <c r="AA52" t="s">
        <v>32</v>
      </c>
      <c r="AB52">
        <v>3</v>
      </c>
      <c r="AC52" t="s">
        <v>468</v>
      </c>
    </row>
    <row r="53" spans="1:29" x14ac:dyDescent="0.3">
      <c r="A53">
        <v>2098</v>
      </c>
      <c r="B53" t="s">
        <v>623</v>
      </c>
      <c r="C53" t="s">
        <v>58</v>
      </c>
      <c r="D53" s="1">
        <v>42503</v>
      </c>
      <c r="E53">
        <v>21</v>
      </c>
      <c r="F53" t="s">
        <v>624</v>
      </c>
      <c r="G53">
        <v>29.34</v>
      </c>
      <c r="H53">
        <v>136.26499999999999</v>
      </c>
      <c r="I53">
        <v>7441.085</v>
      </c>
      <c r="J53">
        <v>152.441</v>
      </c>
      <c r="K53">
        <v>4123.8879999999999</v>
      </c>
      <c r="L53">
        <v>0</v>
      </c>
      <c r="M53">
        <v>3691.8609999999999</v>
      </c>
      <c r="N53">
        <v>432.02699999999999</v>
      </c>
      <c r="O53">
        <v>75.183000000000007</v>
      </c>
      <c r="P53">
        <v>142.21899999999999</v>
      </c>
      <c r="Q53">
        <v>151.29400000000001</v>
      </c>
      <c r="R53">
        <v>21.097999999999999</v>
      </c>
      <c r="S53">
        <v>1058.7550000000001</v>
      </c>
      <c r="T53">
        <v>3843.1550000000002</v>
      </c>
      <c r="U53">
        <v>4316.68</v>
      </c>
      <c r="V53">
        <v>1417.518</v>
      </c>
      <c r="W53">
        <v>187.30500000000001</v>
      </c>
      <c r="X53">
        <v>141.24299999999999</v>
      </c>
      <c r="Y53">
        <v>3.53</v>
      </c>
      <c r="Z53">
        <v>1515.6865</v>
      </c>
      <c r="AA53" t="s">
        <v>32</v>
      </c>
      <c r="AB53">
        <v>3</v>
      </c>
      <c r="AC53" t="s">
        <v>468</v>
      </c>
    </row>
    <row r="54" spans="1:29" x14ac:dyDescent="0.3">
      <c r="A54">
        <v>2104</v>
      </c>
      <c r="B54" t="s">
        <v>625</v>
      </c>
      <c r="C54" t="s">
        <v>58</v>
      </c>
      <c r="D54" s="1">
        <v>43869</v>
      </c>
      <c r="E54">
        <v>19</v>
      </c>
      <c r="F54" t="s">
        <v>626</v>
      </c>
      <c r="G54">
        <v>363.327</v>
      </c>
      <c r="H54">
        <v>622.30100000000004</v>
      </c>
      <c r="I54">
        <v>7425.6689999999999</v>
      </c>
      <c r="J54">
        <v>943.63400000000001</v>
      </c>
      <c r="K54">
        <v>6049.5950000000003</v>
      </c>
      <c r="L54">
        <v>165.41399999999999</v>
      </c>
      <c r="M54">
        <v>4786.4170000000004</v>
      </c>
      <c r="N54">
        <v>1263.1780000000001</v>
      </c>
      <c r="O54">
        <v>409.661</v>
      </c>
      <c r="P54">
        <v>787.53399999999999</v>
      </c>
      <c r="Q54">
        <v>895.05700000000002</v>
      </c>
      <c r="R54">
        <v>457.71899999999999</v>
      </c>
      <c r="S54">
        <v>2220.2649999999999</v>
      </c>
      <c r="T54">
        <v>5681.4740000000002</v>
      </c>
      <c r="U54">
        <v>6921.1729999999998</v>
      </c>
      <c r="V54">
        <v>2989.6489999999999</v>
      </c>
      <c r="W54">
        <v>1199.3679999999999</v>
      </c>
      <c r="X54">
        <v>363.36399999999998</v>
      </c>
      <c r="Y54">
        <v>13.63</v>
      </c>
      <c r="Z54">
        <v>2868.3885</v>
      </c>
      <c r="AA54" t="s">
        <v>32</v>
      </c>
      <c r="AB54">
        <v>3</v>
      </c>
      <c r="AC54" t="s">
        <v>468</v>
      </c>
    </row>
    <row r="55" spans="1:29" x14ac:dyDescent="0.3">
      <c r="A55">
        <v>2134</v>
      </c>
      <c r="B55" t="s">
        <v>629</v>
      </c>
      <c r="C55" t="s">
        <v>101</v>
      </c>
      <c r="D55" s="1">
        <v>41290</v>
      </c>
      <c r="E55">
        <v>26</v>
      </c>
      <c r="F55" t="s">
        <v>630</v>
      </c>
      <c r="G55">
        <v>81.638999999999996</v>
      </c>
      <c r="H55">
        <v>366.45</v>
      </c>
      <c r="I55">
        <v>7337.77</v>
      </c>
      <c r="J55">
        <v>890.15599999999995</v>
      </c>
      <c r="K55">
        <v>3598.01</v>
      </c>
      <c r="L55">
        <v>1139.461</v>
      </c>
      <c r="M55">
        <v>3150.8339999999998</v>
      </c>
      <c r="N55">
        <v>447.17599999999999</v>
      </c>
      <c r="O55">
        <v>240.625</v>
      </c>
      <c r="P55">
        <v>723.61699999999996</v>
      </c>
      <c r="Q55">
        <v>14.757999999999999</v>
      </c>
      <c r="R55">
        <v>13.28</v>
      </c>
      <c r="S55">
        <v>3705.4259999999999</v>
      </c>
      <c r="T55">
        <v>3165.5920000000001</v>
      </c>
      <c r="U55">
        <v>4329.5360000000001</v>
      </c>
      <c r="V55">
        <v>4805.4340000000002</v>
      </c>
      <c r="W55">
        <v>3059.8820000000001</v>
      </c>
      <c r="X55">
        <v>1608.883</v>
      </c>
      <c r="Y55">
        <v>20.56</v>
      </c>
      <c r="Z55">
        <v>3450.9337500000001</v>
      </c>
      <c r="AA55" t="s">
        <v>32</v>
      </c>
      <c r="AB55">
        <v>3</v>
      </c>
      <c r="AC55" t="s">
        <v>468</v>
      </c>
    </row>
    <row r="56" spans="1:29" x14ac:dyDescent="0.3">
      <c r="A56">
        <v>2137</v>
      </c>
      <c r="B56" t="s">
        <v>631</v>
      </c>
      <c r="C56" t="s">
        <v>143</v>
      </c>
      <c r="D56" s="1">
        <v>33315</v>
      </c>
      <c r="E56">
        <v>21</v>
      </c>
      <c r="F56" t="s">
        <v>632</v>
      </c>
      <c r="G56">
        <v>292.01</v>
      </c>
      <c r="H56">
        <v>577.22400000000005</v>
      </c>
      <c r="I56">
        <v>7332.5230000000001</v>
      </c>
      <c r="J56">
        <v>1135.6189999999999</v>
      </c>
      <c r="K56">
        <v>3088.4870000000001</v>
      </c>
      <c r="L56">
        <v>155.91300000000001</v>
      </c>
      <c r="M56">
        <v>1949.9659999999999</v>
      </c>
      <c r="N56">
        <v>1138.521</v>
      </c>
      <c r="O56">
        <v>393.666</v>
      </c>
      <c r="P56">
        <v>416.21899999999999</v>
      </c>
      <c r="Q56">
        <v>218.63399999999999</v>
      </c>
      <c r="R56">
        <v>68.489000000000004</v>
      </c>
      <c r="S56">
        <v>2063.54</v>
      </c>
      <c r="T56">
        <v>2168.6</v>
      </c>
      <c r="U56">
        <v>3549.404</v>
      </c>
      <c r="V56">
        <v>3227.2069999999999</v>
      </c>
      <c r="W56">
        <v>2907.9690000000001</v>
      </c>
      <c r="X56">
        <v>4113.6019999999999</v>
      </c>
      <c r="Y56">
        <v>31.99</v>
      </c>
      <c r="Z56">
        <v>3449.5455000000002</v>
      </c>
      <c r="AA56" t="s">
        <v>32</v>
      </c>
      <c r="AB56">
        <v>3</v>
      </c>
      <c r="AC56" t="s">
        <v>468</v>
      </c>
    </row>
    <row r="57" spans="1:29" x14ac:dyDescent="0.3">
      <c r="A57">
        <v>2152</v>
      </c>
      <c r="B57" t="s">
        <v>633</v>
      </c>
      <c r="C57" t="s">
        <v>58</v>
      </c>
      <c r="D57" s="1">
        <v>43202</v>
      </c>
      <c r="E57">
        <v>28</v>
      </c>
      <c r="F57" t="s">
        <v>634</v>
      </c>
      <c r="G57">
        <v>134.58500000000001</v>
      </c>
      <c r="H57">
        <v>323.25400000000002</v>
      </c>
      <c r="I57">
        <v>7309.4939999999997</v>
      </c>
      <c r="J57">
        <v>331.43400000000003</v>
      </c>
      <c r="K57">
        <v>2909.4780000000001</v>
      </c>
      <c r="L57">
        <v>359.86</v>
      </c>
      <c r="M57">
        <v>2617.8649999999998</v>
      </c>
      <c r="N57">
        <v>291.613</v>
      </c>
      <c r="O57">
        <v>181.72200000000001</v>
      </c>
      <c r="P57">
        <v>473.92200000000003</v>
      </c>
      <c r="Q57">
        <v>282.92099999999999</v>
      </c>
      <c r="R57">
        <v>65.248999999999995</v>
      </c>
      <c r="S57">
        <v>3652.9639999999999</v>
      </c>
      <c r="T57">
        <v>2900.7860000000001</v>
      </c>
      <c r="U57">
        <v>3386.59</v>
      </c>
      <c r="V57">
        <v>4068.5819999999999</v>
      </c>
      <c r="W57">
        <v>2876.5990000000002</v>
      </c>
      <c r="X57">
        <v>2047.0830000000001</v>
      </c>
      <c r="Y57">
        <v>9.7899999999999991</v>
      </c>
      <c r="Z57">
        <v>3094.7134999999998</v>
      </c>
      <c r="AA57" t="s">
        <v>32</v>
      </c>
      <c r="AB57">
        <v>3</v>
      </c>
      <c r="AC57" t="s">
        <v>468</v>
      </c>
    </row>
    <row r="58" spans="1:29" x14ac:dyDescent="0.3">
      <c r="A58">
        <v>2157</v>
      </c>
      <c r="B58" t="s">
        <v>635</v>
      </c>
      <c r="C58" t="s">
        <v>58</v>
      </c>
      <c r="D58" s="1">
        <v>39954</v>
      </c>
      <c r="E58">
        <v>21</v>
      </c>
      <c r="F58" t="s">
        <v>636</v>
      </c>
      <c r="G58">
        <v>272.13799999999998</v>
      </c>
      <c r="H58">
        <v>784.97199999999998</v>
      </c>
      <c r="I58">
        <v>7304.6149999999998</v>
      </c>
      <c r="J58">
        <v>1028.501</v>
      </c>
      <c r="K58">
        <v>4469.3559999999998</v>
      </c>
      <c r="L58">
        <v>380.786</v>
      </c>
      <c r="M58">
        <v>1860.0650000000001</v>
      </c>
      <c r="N58">
        <v>2609.2910000000002</v>
      </c>
      <c r="O58">
        <v>349.05799999999999</v>
      </c>
      <c r="P58">
        <v>116.925</v>
      </c>
      <c r="Q58">
        <v>1460.7940000000001</v>
      </c>
      <c r="R58">
        <v>734.88599999999997</v>
      </c>
      <c r="S58">
        <v>4159.8940000000002</v>
      </c>
      <c r="T58">
        <v>3320.8589999999999</v>
      </c>
      <c r="U58">
        <v>4606.585</v>
      </c>
      <c r="V58">
        <v>5311.5630000000001</v>
      </c>
      <c r="W58">
        <v>1342.252</v>
      </c>
      <c r="X58">
        <v>411.34399999999999</v>
      </c>
      <c r="Y58">
        <v>22.33</v>
      </c>
      <c r="Z58">
        <v>2917.9360000000001</v>
      </c>
      <c r="AA58" t="s">
        <v>32</v>
      </c>
      <c r="AB58">
        <v>3</v>
      </c>
      <c r="AC58" t="s">
        <v>468</v>
      </c>
    </row>
    <row r="59" spans="1:29" x14ac:dyDescent="0.3">
      <c r="A59">
        <v>2186</v>
      </c>
      <c r="B59" t="s">
        <v>641</v>
      </c>
      <c r="C59" t="s">
        <v>58</v>
      </c>
      <c r="D59" s="1">
        <v>30709</v>
      </c>
      <c r="E59">
        <v>18</v>
      </c>
      <c r="F59" t="s">
        <v>642</v>
      </c>
      <c r="G59">
        <v>336.822</v>
      </c>
      <c r="H59">
        <v>1033.308</v>
      </c>
      <c r="I59">
        <v>7215.2709999999997</v>
      </c>
      <c r="J59">
        <v>1235.135</v>
      </c>
      <c r="K59">
        <v>2104.0030000000002</v>
      </c>
      <c r="L59">
        <v>0</v>
      </c>
      <c r="M59">
        <v>3063.2669999999998</v>
      </c>
      <c r="N59">
        <v>-959.26400000000001</v>
      </c>
      <c r="O59">
        <v>845.93499999999995</v>
      </c>
      <c r="P59">
        <v>2625.59</v>
      </c>
      <c r="Q59">
        <v>0</v>
      </c>
      <c r="R59">
        <v>55.078000000000003</v>
      </c>
      <c r="S59">
        <v>1844.7470000000001</v>
      </c>
      <c r="T59">
        <v>3063.2669999999998</v>
      </c>
      <c r="U59">
        <v>4729.5929999999998</v>
      </c>
      <c r="V59">
        <v>2663.6779999999999</v>
      </c>
      <c r="W59">
        <v>3369.5340000000001</v>
      </c>
      <c r="X59">
        <v>2895.23</v>
      </c>
      <c r="Y59">
        <v>26.12</v>
      </c>
      <c r="Z59">
        <v>3414.50875</v>
      </c>
      <c r="AA59" t="s">
        <v>32</v>
      </c>
      <c r="AB59">
        <v>3</v>
      </c>
      <c r="AC59" t="s">
        <v>468</v>
      </c>
    </row>
    <row r="60" spans="1:29" x14ac:dyDescent="0.3">
      <c r="A60">
        <v>2199</v>
      </c>
      <c r="B60" t="s">
        <v>643</v>
      </c>
      <c r="C60" t="s">
        <v>58</v>
      </c>
      <c r="D60" s="1">
        <v>40603</v>
      </c>
      <c r="E60">
        <v>20</v>
      </c>
      <c r="F60" t="s">
        <v>644</v>
      </c>
      <c r="G60">
        <v>3.37</v>
      </c>
      <c r="H60">
        <v>128.33099999999999</v>
      </c>
      <c r="I60">
        <v>7174.076</v>
      </c>
      <c r="J60">
        <v>183.458</v>
      </c>
      <c r="K60">
        <v>2181.0990000000002</v>
      </c>
      <c r="L60">
        <v>0</v>
      </c>
      <c r="M60">
        <v>1815.34</v>
      </c>
      <c r="N60">
        <v>365.75900000000001</v>
      </c>
      <c r="O60">
        <v>18.91</v>
      </c>
      <c r="P60">
        <v>115.86</v>
      </c>
      <c r="Q60">
        <v>234.09100000000001</v>
      </c>
      <c r="R60">
        <v>33.344000000000001</v>
      </c>
      <c r="S60">
        <v>1948.171</v>
      </c>
      <c r="T60">
        <v>2049.431</v>
      </c>
      <c r="U60">
        <v>2336.6579999999999</v>
      </c>
      <c r="V60">
        <v>2197.9340000000002</v>
      </c>
      <c r="W60">
        <v>1935.933</v>
      </c>
      <c r="X60">
        <v>1698.268</v>
      </c>
      <c r="Y60">
        <v>7.85</v>
      </c>
      <c r="Z60">
        <v>2042.1982499999999</v>
      </c>
      <c r="AA60" t="s">
        <v>32</v>
      </c>
      <c r="AB60">
        <v>3</v>
      </c>
      <c r="AC60" t="s">
        <v>468</v>
      </c>
    </row>
    <row r="61" spans="1:29" x14ac:dyDescent="0.3">
      <c r="A61">
        <v>3225</v>
      </c>
      <c r="B61" t="s">
        <v>675</v>
      </c>
      <c r="C61" t="s">
        <v>58</v>
      </c>
      <c r="D61" s="1">
        <v>39378</v>
      </c>
      <c r="E61">
        <v>9</v>
      </c>
      <c r="F61" t="s">
        <v>676</v>
      </c>
      <c r="G61">
        <v>1.6839999999999999</v>
      </c>
      <c r="H61">
        <v>25.466000000000001</v>
      </c>
      <c r="I61">
        <v>4928.8599999999997</v>
      </c>
      <c r="J61">
        <v>89.652000000000001</v>
      </c>
      <c r="K61">
        <v>2197.1129999999998</v>
      </c>
      <c r="L61">
        <v>202.15</v>
      </c>
      <c r="M61">
        <v>1650.05</v>
      </c>
      <c r="N61">
        <v>547.06299999999999</v>
      </c>
      <c r="O61">
        <v>3.5870000000000002</v>
      </c>
      <c r="P61">
        <v>44.253</v>
      </c>
      <c r="Q61">
        <v>337.40600000000001</v>
      </c>
      <c r="R61">
        <v>12.704000000000001</v>
      </c>
      <c r="S61">
        <v>1116.355</v>
      </c>
      <c r="T61">
        <v>1987.4559999999999</v>
      </c>
      <c r="U61">
        <v>2241.366</v>
      </c>
      <c r="V61">
        <v>1356.0820000000001</v>
      </c>
      <c r="W61">
        <v>914.17700000000002</v>
      </c>
      <c r="X61">
        <v>840.553</v>
      </c>
      <c r="Y61">
        <v>4</v>
      </c>
      <c r="Z61">
        <v>1338.0445</v>
      </c>
      <c r="AA61" t="s">
        <v>32</v>
      </c>
      <c r="AB61">
        <v>2</v>
      </c>
      <c r="AC61" t="s">
        <v>468</v>
      </c>
    </row>
    <row r="62" spans="1:29" x14ac:dyDescent="0.3">
      <c r="A62">
        <v>3399</v>
      </c>
      <c r="B62" t="s">
        <v>679</v>
      </c>
      <c r="C62" t="s">
        <v>58</v>
      </c>
      <c r="D62" s="1">
        <v>39195</v>
      </c>
      <c r="E62">
        <v>57</v>
      </c>
      <c r="F62" t="s">
        <v>680</v>
      </c>
      <c r="G62">
        <v>115.877</v>
      </c>
      <c r="H62">
        <v>298.52600000000001</v>
      </c>
      <c r="I62">
        <v>4693.1639999999998</v>
      </c>
      <c r="J62">
        <v>382.97500000000002</v>
      </c>
      <c r="K62">
        <v>1298.6279999999999</v>
      </c>
      <c r="L62">
        <v>10.65</v>
      </c>
      <c r="M62">
        <v>906.798</v>
      </c>
      <c r="N62">
        <v>391.83</v>
      </c>
      <c r="O62">
        <v>176.21</v>
      </c>
      <c r="P62">
        <v>457.96300000000002</v>
      </c>
      <c r="Q62">
        <v>329.28899999999999</v>
      </c>
      <c r="R62">
        <v>18.756</v>
      </c>
      <c r="S62">
        <v>764.02300000000002</v>
      </c>
      <c r="T62">
        <v>1236.087</v>
      </c>
      <c r="U62">
        <v>1784.6469999999999</v>
      </c>
      <c r="V62">
        <v>1169.654</v>
      </c>
      <c r="W62">
        <v>886.85500000000002</v>
      </c>
      <c r="X62">
        <v>586.745</v>
      </c>
      <c r="Y62">
        <v>21.46</v>
      </c>
      <c r="Z62">
        <v>1106.97525</v>
      </c>
      <c r="AA62" t="s">
        <v>32</v>
      </c>
      <c r="AB62">
        <v>2</v>
      </c>
      <c r="AC62" t="s">
        <v>468</v>
      </c>
    </row>
    <row r="63" spans="1:29" x14ac:dyDescent="0.3">
      <c r="A63">
        <v>3682</v>
      </c>
      <c r="B63" t="s">
        <v>681</v>
      </c>
      <c r="C63" t="s">
        <v>58</v>
      </c>
      <c r="D63" s="1">
        <v>40095</v>
      </c>
      <c r="E63">
        <v>18</v>
      </c>
      <c r="F63" t="s">
        <v>682</v>
      </c>
      <c r="G63">
        <v>1.454</v>
      </c>
      <c r="H63">
        <v>80.323999999999998</v>
      </c>
      <c r="I63">
        <v>4344.8459999999995</v>
      </c>
      <c r="J63">
        <v>204.38800000000001</v>
      </c>
      <c r="K63">
        <v>2288.0920000000001</v>
      </c>
      <c r="L63">
        <v>699.67</v>
      </c>
      <c r="M63">
        <v>1384.865</v>
      </c>
      <c r="N63">
        <v>903.22699999999998</v>
      </c>
      <c r="O63">
        <v>48.476999999999997</v>
      </c>
      <c r="P63">
        <v>261.46800000000002</v>
      </c>
      <c r="Q63">
        <v>903.11599999999999</v>
      </c>
      <c r="R63">
        <v>17.731999999999999</v>
      </c>
      <c r="S63">
        <v>757.66399999999999</v>
      </c>
      <c r="T63">
        <v>2287.9810000000002</v>
      </c>
      <c r="U63">
        <v>2554.904</v>
      </c>
      <c r="V63">
        <v>992.78499999999997</v>
      </c>
      <c r="W63">
        <v>806.94100000000003</v>
      </c>
      <c r="X63">
        <v>634.47699999999998</v>
      </c>
      <c r="Y63">
        <v>8</v>
      </c>
      <c r="Z63">
        <v>1247.27675</v>
      </c>
      <c r="AA63" t="s">
        <v>32</v>
      </c>
      <c r="AB63">
        <v>2</v>
      </c>
      <c r="AC63" t="s">
        <v>468</v>
      </c>
    </row>
    <row r="64" spans="1:29" x14ac:dyDescent="0.3">
      <c r="A64">
        <v>3738</v>
      </c>
      <c r="B64" t="s">
        <v>683</v>
      </c>
      <c r="C64" t="s">
        <v>42</v>
      </c>
      <c r="D64" s="1">
        <v>42683</v>
      </c>
      <c r="E64">
        <v>3</v>
      </c>
      <c r="F64" t="s">
        <v>684</v>
      </c>
      <c r="G64">
        <v>56.573</v>
      </c>
      <c r="H64">
        <v>94.366</v>
      </c>
      <c r="I64">
        <v>4278.8190000000004</v>
      </c>
      <c r="J64">
        <v>326.39400000000001</v>
      </c>
      <c r="K64">
        <v>962.78</v>
      </c>
      <c r="L64">
        <v>66.5</v>
      </c>
      <c r="M64">
        <v>525.29200000000003</v>
      </c>
      <c r="N64">
        <v>437.488</v>
      </c>
      <c r="O64">
        <v>58.982999999999997</v>
      </c>
      <c r="P64">
        <v>55.497999999999998</v>
      </c>
      <c r="Q64">
        <v>120.771</v>
      </c>
      <c r="R64">
        <v>8.3390000000000004</v>
      </c>
      <c r="S64">
        <v>470.57799999999997</v>
      </c>
      <c r="T64">
        <v>646.06299999999999</v>
      </c>
      <c r="U64">
        <v>1018.287</v>
      </c>
      <c r="V64">
        <v>776.98299999999995</v>
      </c>
      <c r="W64">
        <v>1882.3710000000001</v>
      </c>
      <c r="X64">
        <v>370.93200000000002</v>
      </c>
      <c r="Y64">
        <v>32.049999999999997</v>
      </c>
      <c r="Z64">
        <v>1012.14325</v>
      </c>
      <c r="AA64" t="s">
        <v>32</v>
      </c>
      <c r="AB64">
        <v>2</v>
      </c>
      <c r="AC64" t="s">
        <v>468</v>
      </c>
    </row>
    <row r="65" spans="1:29" x14ac:dyDescent="0.3">
      <c r="A65">
        <v>3771</v>
      </c>
      <c r="B65" t="s">
        <v>685</v>
      </c>
      <c r="C65" t="s">
        <v>58</v>
      </c>
      <c r="D65" s="1">
        <v>43251</v>
      </c>
      <c r="E65">
        <v>12</v>
      </c>
      <c r="F65" t="s">
        <v>686</v>
      </c>
      <c r="G65">
        <v>119.506</v>
      </c>
      <c r="H65">
        <v>232.489</v>
      </c>
      <c r="I65">
        <v>4244.2849999999999</v>
      </c>
      <c r="J65">
        <v>160.32300000000001</v>
      </c>
      <c r="K65">
        <v>923.346</v>
      </c>
      <c r="L65">
        <v>5.218</v>
      </c>
      <c r="M65">
        <v>1023.193</v>
      </c>
      <c r="N65">
        <v>-99.846999999999994</v>
      </c>
      <c r="O65">
        <v>161.26400000000001</v>
      </c>
      <c r="P65">
        <v>722.82399999999996</v>
      </c>
      <c r="Q65">
        <v>357.49799999999999</v>
      </c>
      <c r="R65">
        <v>31.428000000000001</v>
      </c>
      <c r="S65">
        <v>1345.681</v>
      </c>
      <c r="T65">
        <v>1380.691</v>
      </c>
      <c r="U65">
        <v>1656.9259999999999</v>
      </c>
      <c r="V65">
        <v>1462.836</v>
      </c>
      <c r="W65">
        <v>1325.6179999999999</v>
      </c>
      <c r="X65">
        <v>645.31100000000004</v>
      </c>
      <c r="Y65">
        <v>9.68</v>
      </c>
      <c r="Z65">
        <v>1272.67275</v>
      </c>
      <c r="AA65" t="s">
        <v>32</v>
      </c>
      <c r="AB65">
        <v>2</v>
      </c>
      <c r="AC65" t="s">
        <v>468</v>
      </c>
    </row>
    <row r="66" spans="1:29" x14ac:dyDescent="0.3">
      <c r="A66">
        <v>3973</v>
      </c>
      <c r="B66" t="s">
        <v>687</v>
      </c>
      <c r="C66" t="s">
        <v>58</v>
      </c>
      <c r="D66" s="1">
        <v>26976</v>
      </c>
      <c r="E66">
        <v>8</v>
      </c>
      <c r="F66" t="s">
        <v>688</v>
      </c>
      <c r="G66">
        <v>11.37</v>
      </c>
      <c r="H66">
        <v>65.766000000000005</v>
      </c>
      <c r="I66">
        <v>4032.8440000000001</v>
      </c>
      <c r="J66">
        <v>84.662999999999997</v>
      </c>
      <c r="K66">
        <v>1238.9100000000001</v>
      </c>
      <c r="L66">
        <v>19.8</v>
      </c>
      <c r="M66">
        <v>880.65300000000002</v>
      </c>
      <c r="N66">
        <v>358.25700000000001</v>
      </c>
      <c r="O66">
        <v>25.375</v>
      </c>
      <c r="P66">
        <v>37.881999999999998</v>
      </c>
      <c r="Q66">
        <v>176.67099999999999</v>
      </c>
      <c r="R66">
        <v>9.3160000000000007</v>
      </c>
      <c r="S66">
        <v>610.10199999999998</v>
      </c>
      <c r="T66">
        <v>1057.3240000000001</v>
      </c>
      <c r="U66">
        <v>1294.722</v>
      </c>
      <c r="V66">
        <v>1494.4169999999999</v>
      </c>
      <c r="W66">
        <v>1057.7190000000001</v>
      </c>
      <c r="X66">
        <v>1208.97</v>
      </c>
      <c r="Y66">
        <v>6.54</v>
      </c>
      <c r="Z66">
        <v>1263.9570000000001</v>
      </c>
      <c r="AA66" t="s">
        <v>32</v>
      </c>
      <c r="AB66">
        <v>2</v>
      </c>
      <c r="AC66" t="s">
        <v>468</v>
      </c>
    </row>
    <row r="67" spans="1:29" x14ac:dyDescent="0.3">
      <c r="A67">
        <v>4007</v>
      </c>
      <c r="B67" t="s">
        <v>689</v>
      </c>
      <c r="C67" t="s">
        <v>143</v>
      </c>
      <c r="D67" s="1">
        <v>40366</v>
      </c>
      <c r="E67">
        <v>8</v>
      </c>
      <c r="F67" t="s">
        <v>690</v>
      </c>
      <c r="G67">
        <v>38.314</v>
      </c>
      <c r="H67">
        <v>117.709</v>
      </c>
      <c r="I67">
        <v>3999.55</v>
      </c>
      <c r="J67">
        <v>215.352</v>
      </c>
      <c r="K67">
        <v>1022.775</v>
      </c>
      <c r="L67">
        <v>12.702999999999999</v>
      </c>
      <c r="M67">
        <v>836.04200000000003</v>
      </c>
      <c r="N67">
        <v>186.733</v>
      </c>
      <c r="O67">
        <v>62.53</v>
      </c>
      <c r="P67">
        <v>443.678</v>
      </c>
      <c r="Q67">
        <v>284.96899999999999</v>
      </c>
      <c r="R67">
        <v>15.474</v>
      </c>
      <c r="S67">
        <v>736.73500000000001</v>
      </c>
      <c r="T67">
        <v>1121.011</v>
      </c>
      <c r="U67">
        <v>1485.963</v>
      </c>
      <c r="V67">
        <v>1044.9970000000001</v>
      </c>
      <c r="W67">
        <v>1115.347</v>
      </c>
      <c r="X67">
        <v>960.28300000000002</v>
      </c>
      <c r="Y67">
        <v>14.49</v>
      </c>
      <c r="Z67">
        <v>1151.6475</v>
      </c>
      <c r="AA67" t="s">
        <v>32</v>
      </c>
      <c r="AB67">
        <v>2</v>
      </c>
      <c r="AC67" t="s">
        <v>468</v>
      </c>
    </row>
    <row r="68" spans="1:29" x14ac:dyDescent="0.3">
      <c r="A68">
        <v>4164</v>
      </c>
      <c r="B68" t="s">
        <v>693</v>
      </c>
      <c r="C68" t="s">
        <v>58</v>
      </c>
      <c r="D68" s="1">
        <v>39031</v>
      </c>
      <c r="E68">
        <v>5</v>
      </c>
      <c r="F68" t="s">
        <v>694</v>
      </c>
      <c r="G68">
        <v>64.474000000000004</v>
      </c>
      <c r="H68">
        <v>139.65899999999999</v>
      </c>
      <c r="I68">
        <v>3878.1089999999999</v>
      </c>
      <c r="J68">
        <v>79.712000000000003</v>
      </c>
      <c r="K68">
        <v>1563.2380000000001</v>
      </c>
      <c r="L68">
        <v>8.8559999999999999</v>
      </c>
      <c r="M68">
        <v>1111.2049999999999</v>
      </c>
      <c r="N68">
        <v>452.03300000000002</v>
      </c>
      <c r="O68">
        <v>102.65300000000001</v>
      </c>
      <c r="P68">
        <v>49.226999999999997</v>
      </c>
      <c r="Q68">
        <v>403.39600000000002</v>
      </c>
      <c r="R68">
        <v>0.66</v>
      </c>
      <c r="S68">
        <v>954.59799999999996</v>
      </c>
      <c r="T68">
        <v>1514.6010000000001</v>
      </c>
      <c r="U68">
        <v>1625.364</v>
      </c>
      <c r="V68">
        <v>996.91700000000003</v>
      </c>
      <c r="W68">
        <v>819.53800000000001</v>
      </c>
      <c r="X68">
        <v>295.93099999999998</v>
      </c>
      <c r="Y68">
        <v>4.9000000000000004</v>
      </c>
      <c r="Z68">
        <v>934.4375</v>
      </c>
      <c r="AA68" t="s">
        <v>32</v>
      </c>
      <c r="AB68">
        <v>2</v>
      </c>
      <c r="AC68" t="s">
        <v>468</v>
      </c>
    </row>
    <row r="69" spans="1:29" x14ac:dyDescent="0.3">
      <c r="A69">
        <v>4260</v>
      </c>
      <c r="B69" t="s">
        <v>697</v>
      </c>
      <c r="C69" t="s">
        <v>101</v>
      </c>
      <c r="D69" s="1">
        <v>34227</v>
      </c>
      <c r="E69">
        <v>11</v>
      </c>
      <c r="F69" t="s">
        <v>698</v>
      </c>
      <c r="G69">
        <v>43.406999999999996</v>
      </c>
      <c r="H69">
        <v>108.373</v>
      </c>
      <c r="I69">
        <v>3798.1790000000001</v>
      </c>
      <c r="J69">
        <v>268.68099999999998</v>
      </c>
      <c r="K69">
        <v>1831.2850000000001</v>
      </c>
      <c r="L69">
        <v>485.98099999999999</v>
      </c>
      <c r="M69">
        <v>1571.6020000000001</v>
      </c>
      <c r="N69">
        <v>259.68299999999999</v>
      </c>
      <c r="O69">
        <v>79.281999999999996</v>
      </c>
      <c r="P69">
        <v>62.677999999999997</v>
      </c>
      <c r="Q69">
        <v>0</v>
      </c>
      <c r="R69">
        <v>10.877000000000001</v>
      </c>
      <c r="S69">
        <v>742.75400000000002</v>
      </c>
      <c r="T69">
        <v>1571.6020000000001</v>
      </c>
      <c r="U69">
        <v>1906.6990000000001</v>
      </c>
      <c r="V69">
        <v>1037.5920000000001</v>
      </c>
      <c r="W69">
        <v>1027.9690000000001</v>
      </c>
      <c r="X69">
        <v>1174.701</v>
      </c>
      <c r="Y69">
        <v>14.09</v>
      </c>
      <c r="Z69">
        <v>1286.7402500000001</v>
      </c>
      <c r="AA69" t="s">
        <v>32</v>
      </c>
      <c r="AB69">
        <v>2</v>
      </c>
      <c r="AC69" t="s">
        <v>468</v>
      </c>
    </row>
    <row r="70" spans="1:29" x14ac:dyDescent="0.3">
      <c r="A70">
        <v>4331</v>
      </c>
      <c r="B70" t="s">
        <v>699</v>
      </c>
      <c r="C70" t="s">
        <v>58</v>
      </c>
      <c r="D70" s="1">
        <v>43461</v>
      </c>
      <c r="E70">
        <v>45</v>
      </c>
      <c r="F70" t="s">
        <v>700</v>
      </c>
      <c r="G70">
        <v>16.260999999999999</v>
      </c>
      <c r="H70">
        <v>104.316</v>
      </c>
      <c r="I70">
        <v>3748.3609999999999</v>
      </c>
      <c r="J70">
        <v>593.35799999999995</v>
      </c>
      <c r="K70">
        <v>2340.8820000000001</v>
      </c>
      <c r="L70">
        <v>0</v>
      </c>
      <c r="M70">
        <v>1715.521</v>
      </c>
      <c r="N70">
        <v>625.36099999999999</v>
      </c>
      <c r="O70">
        <v>62.411000000000001</v>
      </c>
      <c r="P70">
        <v>222.583</v>
      </c>
      <c r="Q70">
        <v>39.597999999999999</v>
      </c>
      <c r="R70">
        <v>4.0910000000000002</v>
      </c>
      <c r="S70">
        <v>968.96</v>
      </c>
      <c r="T70">
        <v>1755.1189999999999</v>
      </c>
      <c r="U70">
        <v>2563.4650000000001</v>
      </c>
      <c r="V70">
        <v>1688.402</v>
      </c>
      <c r="W70">
        <v>719.67499999999995</v>
      </c>
      <c r="X70">
        <v>307.88400000000001</v>
      </c>
      <c r="Y70">
        <v>23.15</v>
      </c>
      <c r="Z70">
        <v>1319.8565000000001</v>
      </c>
      <c r="AA70" t="s">
        <v>32</v>
      </c>
      <c r="AB70">
        <v>2</v>
      </c>
      <c r="AC70" t="s">
        <v>468</v>
      </c>
    </row>
    <row r="71" spans="1:29" x14ac:dyDescent="0.3">
      <c r="A71">
        <v>4362</v>
      </c>
      <c r="B71" t="s">
        <v>701</v>
      </c>
      <c r="C71" t="s">
        <v>58</v>
      </c>
      <c r="D71" s="1">
        <v>40263</v>
      </c>
      <c r="E71">
        <v>90</v>
      </c>
      <c r="F71" t="s">
        <v>702</v>
      </c>
      <c r="G71">
        <v>72.346000000000004</v>
      </c>
      <c r="H71">
        <v>180.53</v>
      </c>
      <c r="I71">
        <v>3729.6689999999999</v>
      </c>
      <c r="J71">
        <v>1045.3320000000001</v>
      </c>
      <c r="K71">
        <v>702.49099999999999</v>
      </c>
      <c r="L71">
        <v>0</v>
      </c>
      <c r="M71">
        <v>617.82600000000002</v>
      </c>
      <c r="N71">
        <v>84.665000000000006</v>
      </c>
      <c r="O71">
        <v>176.11500000000001</v>
      </c>
      <c r="P71">
        <v>968.27499999999998</v>
      </c>
      <c r="Q71">
        <v>0</v>
      </c>
      <c r="R71">
        <v>0</v>
      </c>
      <c r="S71">
        <v>761.80600000000004</v>
      </c>
      <c r="T71">
        <v>617.82600000000002</v>
      </c>
      <c r="U71">
        <v>1671.5920000000001</v>
      </c>
      <c r="V71">
        <v>735.82500000000005</v>
      </c>
      <c r="W71">
        <v>10.855</v>
      </c>
      <c r="X71">
        <v>121.58499999999999</v>
      </c>
      <c r="Y71">
        <v>62.54</v>
      </c>
      <c r="Z71">
        <v>634.96424999999999</v>
      </c>
      <c r="AA71" t="s">
        <v>32</v>
      </c>
      <c r="AB71">
        <v>2</v>
      </c>
      <c r="AC71" t="s">
        <v>468</v>
      </c>
    </row>
    <row r="72" spans="1:29" x14ac:dyDescent="0.3">
      <c r="A72">
        <v>4407</v>
      </c>
      <c r="B72" t="s">
        <v>705</v>
      </c>
      <c r="C72" t="s">
        <v>42</v>
      </c>
      <c r="D72" s="1">
        <v>39070</v>
      </c>
      <c r="E72">
        <v>3</v>
      </c>
      <c r="F72" t="s">
        <v>706</v>
      </c>
      <c r="G72">
        <v>82.271000000000001</v>
      </c>
      <c r="H72">
        <v>184</v>
      </c>
      <c r="I72">
        <v>3680.7040000000002</v>
      </c>
      <c r="J72">
        <v>188.49799999999999</v>
      </c>
      <c r="K72">
        <v>1275.4359999999999</v>
      </c>
      <c r="L72">
        <v>0</v>
      </c>
      <c r="M72">
        <v>1035.374</v>
      </c>
      <c r="N72">
        <v>240.06200000000001</v>
      </c>
      <c r="O72">
        <v>108.044</v>
      </c>
      <c r="P72">
        <v>352.75</v>
      </c>
      <c r="Q72">
        <v>236.59</v>
      </c>
      <c r="R72">
        <v>9.8930000000000007</v>
      </c>
      <c r="S72">
        <v>847.76900000000001</v>
      </c>
      <c r="T72">
        <v>1271.9639999999999</v>
      </c>
      <c r="U72">
        <v>1634.4559999999999</v>
      </c>
      <c r="V72">
        <v>1168.1030000000001</v>
      </c>
      <c r="W72">
        <v>990.85900000000004</v>
      </c>
      <c r="X72">
        <v>810.96199999999999</v>
      </c>
      <c r="Y72">
        <v>11.53</v>
      </c>
      <c r="Z72">
        <v>1151.095</v>
      </c>
      <c r="AA72" t="s">
        <v>32</v>
      </c>
      <c r="AB72">
        <v>2</v>
      </c>
      <c r="AC72" t="s">
        <v>468</v>
      </c>
    </row>
    <row r="73" spans="1:29" x14ac:dyDescent="0.3">
      <c r="A73">
        <v>4436</v>
      </c>
      <c r="B73" t="s">
        <v>709</v>
      </c>
      <c r="C73" t="s">
        <v>58</v>
      </c>
      <c r="D73" s="1">
        <v>33177</v>
      </c>
      <c r="E73">
        <v>1</v>
      </c>
      <c r="F73" t="s">
        <v>710</v>
      </c>
      <c r="G73">
        <v>236.48</v>
      </c>
      <c r="H73">
        <v>294.49700000000001</v>
      </c>
      <c r="I73">
        <v>3660.5520000000001</v>
      </c>
      <c r="J73">
        <v>243.75399999999999</v>
      </c>
      <c r="K73">
        <v>3725.11</v>
      </c>
      <c r="L73">
        <v>0</v>
      </c>
      <c r="M73">
        <v>3569.636</v>
      </c>
      <c r="N73">
        <v>155.47399999999999</v>
      </c>
      <c r="O73">
        <v>247.74</v>
      </c>
      <c r="P73">
        <v>86.832999999999998</v>
      </c>
      <c r="Q73">
        <v>0</v>
      </c>
      <c r="R73">
        <v>15.567</v>
      </c>
      <c r="S73">
        <v>2.85</v>
      </c>
      <c r="T73">
        <v>3569.636</v>
      </c>
      <c r="U73">
        <v>3822.1419999999998</v>
      </c>
      <c r="V73">
        <v>10.195</v>
      </c>
      <c r="W73">
        <v>13.727</v>
      </c>
      <c r="X73">
        <v>14.837999999999999</v>
      </c>
      <c r="Y73">
        <v>6.38</v>
      </c>
      <c r="Z73">
        <v>965.22550000000001</v>
      </c>
      <c r="AA73" t="s">
        <v>32</v>
      </c>
      <c r="AB73">
        <v>2</v>
      </c>
      <c r="AC73" t="s">
        <v>468</v>
      </c>
    </row>
    <row r="74" spans="1:29" x14ac:dyDescent="0.3">
      <c r="A74">
        <v>4439</v>
      </c>
      <c r="B74" t="s">
        <v>711</v>
      </c>
      <c r="C74" t="s">
        <v>143</v>
      </c>
      <c r="D74" s="1">
        <v>43229</v>
      </c>
      <c r="E74">
        <v>3</v>
      </c>
      <c r="F74" t="s">
        <v>712</v>
      </c>
      <c r="G74">
        <v>6.1890000000000001</v>
      </c>
      <c r="H74">
        <v>24.568999999999999</v>
      </c>
      <c r="I74">
        <v>3659.8609999999999</v>
      </c>
      <c r="J74">
        <v>34.639000000000003</v>
      </c>
      <c r="K74">
        <v>927.779</v>
      </c>
      <c r="L74">
        <v>0</v>
      </c>
      <c r="M74">
        <v>913.49699999999996</v>
      </c>
      <c r="N74">
        <v>14.282</v>
      </c>
      <c r="O74">
        <v>10.361000000000001</v>
      </c>
      <c r="P74">
        <v>24.265000000000001</v>
      </c>
      <c r="Q74">
        <v>0</v>
      </c>
      <c r="R74">
        <v>9.3360000000000003</v>
      </c>
      <c r="S74">
        <v>1423.0219999999999</v>
      </c>
      <c r="T74">
        <v>913.49699999999996</v>
      </c>
      <c r="U74">
        <v>952.10500000000002</v>
      </c>
      <c r="V74">
        <v>1456.2940000000001</v>
      </c>
      <c r="W74">
        <v>122.33199999999999</v>
      </c>
      <c r="X74">
        <v>121.16500000000001</v>
      </c>
      <c r="Y74">
        <v>3.64</v>
      </c>
      <c r="Z74">
        <v>662.97400000000005</v>
      </c>
      <c r="AA74" t="s">
        <v>32</v>
      </c>
      <c r="AB74">
        <v>2</v>
      </c>
      <c r="AC74" t="s">
        <v>468</v>
      </c>
    </row>
    <row r="75" spans="1:29" x14ac:dyDescent="0.3">
      <c r="A75">
        <v>4503</v>
      </c>
      <c r="B75" t="s">
        <v>715</v>
      </c>
      <c r="C75" t="s">
        <v>101</v>
      </c>
      <c r="D75" s="1">
        <v>42671</v>
      </c>
      <c r="E75">
        <v>11</v>
      </c>
      <c r="F75" t="s">
        <v>716</v>
      </c>
      <c r="G75">
        <v>46.866</v>
      </c>
      <c r="H75">
        <v>122.64400000000001</v>
      </c>
      <c r="I75">
        <v>3608.0810000000001</v>
      </c>
      <c r="J75">
        <v>169.15899999999999</v>
      </c>
      <c r="K75">
        <v>959.31200000000001</v>
      </c>
      <c r="L75">
        <v>0</v>
      </c>
      <c r="M75">
        <v>628.66899999999998</v>
      </c>
      <c r="N75">
        <v>330.64299999999997</v>
      </c>
      <c r="O75">
        <v>77.641999999999996</v>
      </c>
      <c r="P75">
        <v>77.076999999999998</v>
      </c>
      <c r="Q75">
        <v>206.73500000000001</v>
      </c>
      <c r="R75">
        <v>4.0640000000000001</v>
      </c>
      <c r="S75">
        <v>832.44200000000001</v>
      </c>
      <c r="T75">
        <v>835.404</v>
      </c>
      <c r="U75">
        <v>1042.627</v>
      </c>
      <c r="V75">
        <v>999.74300000000005</v>
      </c>
      <c r="W75">
        <v>856.50300000000004</v>
      </c>
      <c r="X75">
        <v>577.774</v>
      </c>
      <c r="Y75">
        <v>16.22</v>
      </c>
      <c r="Z75">
        <v>869.16174999999998</v>
      </c>
      <c r="AA75" t="s">
        <v>32</v>
      </c>
      <c r="AB75">
        <v>2</v>
      </c>
      <c r="AC75" t="s">
        <v>468</v>
      </c>
    </row>
    <row r="76" spans="1:29" x14ac:dyDescent="0.3">
      <c r="A76">
        <v>4513</v>
      </c>
      <c r="B76" t="s">
        <v>717</v>
      </c>
      <c r="C76" t="s">
        <v>58</v>
      </c>
      <c r="D76" s="1">
        <v>41992</v>
      </c>
      <c r="E76">
        <v>7</v>
      </c>
      <c r="F76" t="s">
        <v>718</v>
      </c>
      <c r="G76">
        <v>28.120999999999999</v>
      </c>
      <c r="H76">
        <v>103.146</v>
      </c>
      <c r="I76">
        <v>3600.4760000000001</v>
      </c>
      <c r="J76">
        <v>346.48</v>
      </c>
      <c r="K76">
        <v>1208.704</v>
      </c>
      <c r="L76">
        <v>75.545000000000002</v>
      </c>
      <c r="M76">
        <v>909.74599999999998</v>
      </c>
      <c r="N76">
        <v>298.95800000000003</v>
      </c>
      <c r="O76">
        <v>71.799000000000007</v>
      </c>
      <c r="P76">
        <v>294.2</v>
      </c>
      <c r="Q76">
        <v>179.197</v>
      </c>
      <c r="R76">
        <v>6.9829999999999997</v>
      </c>
      <c r="S76">
        <v>1709.1510000000001</v>
      </c>
      <c r="T76">
        <v>1088.943</v>
      </c>
      <c r="U76">
        <v>1502.904</v>
      </c>
      <c r="V76">
        <v>2099.491</v>
      </c>
      <c r="W76">
        <v>1114.2170000000001</v>
      </c>
      <c r="X76">
        <v>576.74699999999996</v>
      </c>
      <c r="Y76">
        <v>23.05</v>
      </c>
      <c r="Z76">
        <v>1323.3397500000001</v>
      </c>
      <c r="AA76" t="s">
        <v>32</v>
      </c>
      <c r="AB76">
        <v>2</v>
      </c>
      <c r="AC76" t="s">
        <v>468</v>
      </c>
    </row>
    <row r="77" spans="1:29" x14ac:dyDescent="0.3">
      <c r="A77">
        <v>4525</v>
      </c>
      <c r="B77" t="s">
        <v>719</v>
      </c>
      <c r="C77" t="s">
        <v>58</v>
      </c>
      <c r="D77" s="1">
        <v>42261</v>
      </c>
      <c r="E77">
        <v>4</v>
      </c>
      <c r="F77" t="s">
        <v>720</v>
      </c>
      <c r="G77">
        <v>3.3109999999999999</v>
      </c>
      <c r="H77">
        <v>36.610999999999997</v>
      </c>
      <c r="I77">
        <v>3590.1930000000002</v>
      </c>
      <c r="J77">
        <v>94.228999999999999</v>
      </c>
      <c r="K77">
        <v>1548.6769999999999</v>
      </c>
      <c r="L77">
        <v>0</v>
      </c>
      <c r="M77">
        <v>1398.8309999999999</v>
      </c>
      <c r="N77">
        <v>149.846</v>
      </c>
      <c r="O77">
        <v>15.933999999999999</v>
      </c>
      <c r="P77">
        <v>32.421999999999997</v>
      </c>
      <c r="Q77">
        <v>57.262999999999998</v>
      </c>
      <c r="R77">
        <v>7.7080000000000002</v>
      </c>
      <c r="S77">
        <v>1162.5999999999999</v>
      </c>
      <c r="T77">
        <v>1456.0940000000001</v>
      </c>
      <c r="U77">
        <v>1581.0989999999999</v>
      </c>
      <c r="V77">
        <v>1277.7460000000001</v>
      </c>
      <c r="W77">
        <v>1068.7370000000001</v>
      </c>
      <c r="X77">
        <v>951.35799999999995</v>
      </c>
      <c r="Y77">
        <v>5.96</v>
      </c>
      <c r="Z77">
        <v>1219.7349999999999</v>
      </c>
      <c r="AA77" t="s">
        <v>32</v>
      </c>
      <c r="AB77">
        <v>2</v>
      </c>
      <c r="AC77" t="s">
        <v>468</v>
      </c>
    </row>
    <row r="78" spans="1:29" x14ac:dyDescent="0.3">
      <c r="A78">
        <v>4562</v>
      </c>
      <c r="B78" t="s">
        <v>721</v>
      </c>
      <c r="C78" t="s">
        <v>58</v>
      </c>
      <c r="D78" s="1">
        <v>43427</v>
      </c>
      <c r="E78">
        <v>6</v>
      </c>
      <c r="F78" t="s">
        <v>722</v>
      </c>
      <c r="G78">
        <v>108.441</v>
      </c>
      <c r="H78">
        <v>193.27799999999999</v>
      </c>
      <c r="I78">
        <v>3559.7510000000002</v>
      </c>
      <c r="J78">
        <v>483.51900000000001</v>
      </c>
      <c r="K78">
        <v>1858.2660000000001</v>
      </c>
      <c r="L78">
        <v>14.97</v>
      </c>
      <c r="M78">
        <v>1251.3679999999999</v>
      </c>
      <c r="N78">
        <v>606.89800000000002</v>
      </c>
      <c r="O78">
        <v>116.26900000000001</v>
      </c>
      <c r="P78">
        <v>29.061</v>
      </c>
      <c r="Q78">
        <v>106.12</v>
      </c>
      <c r="R78">
        <v>14.948</v>
      </c>
      <c r="S78">
        <v>786.59299999999996</v>
      </c>
      <c r="T78">
        <v>1357.4880000000001</v>
      </c>
      <c r="U78">
        <v>1924.3489999999999</v>
      </c>
      <c r="V78">
        <v>1235.3130000000001</v>
      </c>
      <c r="W78">
        <v>1070.482</v>
      </c>
      <c r="X78">
        <v>864.37599999999998</v>
      </c>
      <c r="Y78">
        <v>25.13</v>
      </c>
      <c r="Z78">
        <v>1273.6300000000001</v>
      </c>
      <c r="AA78" t="s">
        <v>32</v>
      </c>
      <c r="AB78">
        <v>2</v>
      </c>
      <c r="AC78" t="s">
        <v>468</v>
      </c>
    </row>
    <row r="79" spans="1:29" x14ac:dyDescent="0.3">
      <c r="A79">
        <v>4586</v>
      </c>
      <c r="B79" t="s">
        <v>723</v>
      </c>
      <c r="C79" t="s">
        <v>101</v>
      </c>
      <c r="D79" s="1">
        <v>40091</v>
      </c>
      <c r="E79">
        <v>19</v>
      </c>
      <c r="F79" t="s">
        <v>724</v>
      </c>
      <c r="G79">
        <v>96.897999999999996</v>
      </c>
      <c r="H79">
        <v>172.94399999999999</v>
      </c>
      <c r="I79">
        <v>3543.6410000000001</v>
      </c>
      <c r="J79">
        <v>375.64400000000001</v>
      </c>
      <c r="K79">
        <v>1763.5730000000001</v>
      </c>
      <c r="L79">
        <v>195.95099999999999</v>
      </c>
      <c r="M79">
        <v>1321.9069999999999</v>
      </c>
      <c r="N79">
        <v>441.666</v>
      </c>
      <c r="O79">
        <v>113.568</v>
      </c>
      <c r="P79">
        <v>73.399000000000001</v>
      </c>
      <c r="Q79">
        <v>0</v>
      </c>
      <c r="R79">
        <v>15.785</v>
      </c>
      <c r="S79">
        <v>634.46</v>
      </c>
      <c r="T79">
        <v>1321.9069999999999</v>
      </c>
      <c r="U79">
        <v>1836.972</v>
      </c>
      <c r="V79">
        <v>957.02499999999998</v>
      </c>
      <c r="W79">
        <v>490.2</v>
      </c>
      <c r="X79">
        <v>216.386</v>
      </c>
      <c r="Y79">
        <v>20.45</v>
      </c>
      <c r="Z79">
        <v>875.14575000000002</v>
      </c>
      <c r="AA79" t="s">
        <v>32</v>
      </c>
      <c r="AB79">
        <v>2</v>
      </c>
      <c r="AC79" t="s">
        <v>468</v>
      </c>
    </row>
    <row r="80" spans="1:29" x14ac:dyDescent="0.3">
      <c r="A80">
        <v>4588</v>
      </c>
      <c r="B80" t="s">
        <v>725</v>
      </c>
      <c r="C80" t="s">
        <v>58</v>
      </c>
      <c r="D80" s="1">
        <v>36811</v>
      </c>
      <c r="E80">
        <v>2</v>
      </c>
      <c r="F80" t="s">
        <v>726</v>
      </c>
      <c r="G80">
        <v>94.125</v>
      </c>
      <c r="H80">
        <v>140.024</v>
      </c>
      <c r="I80">
        <v>3542.7</v>
      </c>
      <c r="J80">
        <v>438.64600000000002</v>
      </c>
      <c r="K80">
        <v>2144.4879999999998</v>
      </c>
      <c r="L80">
        <v>221.5</v>
      </c>
      <c r="M80">
        <v>1635.1020000000001</v>
      </c>
      <c r="N80">
        <v>509.38600000000002</v>
      </c>
      <c r="O80">
        <v>105.441</v>
      </c>
      <c r="P80">
        <v>23.361999999999998</v>
      </c>
      <c r="Q80">
        <v>1.0999999999999999E-2</v>
      </c>
      <c r="R80">
        <v>3.6999999999999998E-2</v>
      </c>
      <c r="S80">
        <v>956.096</v>
      </c>
      <c r="T80">
        <v>1635.1130000000001</v>
      </c>
      <c r="U80">
        <v>2176.5250000000001</v>
      </c>
      <c r="V80">
        <v>1351.4480000000001</v>
      </c>
      <c r="W80">
        <v>623.96100000000001</v>
      </c>
      <c r="X80">
        <v>617.95899999999995</v>
      </c>
      <c r="Y80">
        <v>20.149999999999999</v>
      </c>
      <c r="Z80">
        <v>1192.47325</v>
      </c>
      <c r="AA80" t="s">
        <v>32</v>
      </c>
      <c r="AB80">
        <v>2</v>
      </c>
      <c r="AC80" t="s">
        <v>468</v>
      </c>
    </row>
    <row r="81" spans="1:29" x14ac:dyDescent="0.3">
      <c r="A81">
        <v>4640</v>
      </c>
      <c r="B81" t="s">
        <v>727</v>
      </c>
      <c r="C81" t="s">
        <v>58</v>
      </c>
      <c r="D81" s="1">
        <v>41550</v>
      </c>
      <c r="E81">
        <v>2</v>
      </c>
      <c r="F81" t="s">
        <v>728</v>
      </c>
      <c r="G81">
        <v>30.556999999999999</v>
      </c>
      <c r="H81">
        <v>67.644000000000005</v>
      </c>
      <c r="I81">
        <v>3503.3420000000001</v>
      </c>
      <c r="J81">
        <v>200.988</v>
      </c>
      <c r="K81">
        <v>1225.7</v>
      </c>
      <c r="L81">
        <v>0</v>
      </c>
      <c r="M81">
        <v>1022.976</v>
      </c>
      <c r="N81">
        <v>202.72399999999999</v>
      </c>
      <c r="O81">
        <v>36.715000000000003</v>
      </c>
      <c r="P81">
        <v>37.609000000000002</v>
      </c>
      <c r="Q81">
        <v>0</v>
      </c>
      <c r="R81">
        <v>0.36399999999999999</v>
      </c>
      <c r="S81">
        <v>834.702</v>
      </c>
      <c r="T81">
        <v>1022.976</v>
      </c>
      <c r="U81">
        <v>1273.0930000000001</v>
      </c>
      <c r="V81">
        <v>1047.4490000000001</v>
      </c>
      <c r="W81">
        <v>649.46</v>
      </c>
      <c r="X81">
        <v>700.51300000000003</v>
      </c>
      <c r="Y81">
        <v>15.79</v>
      </c>
      <c r="Z81">
        <v>917.62874999999997</v>
      </c>
      <c r="AA81" t="s">
        <v>32</v>
      </c>
      <c r="AB81">
        <v>2</v>
      </c>
      <c r="AC81" t="s">
        <v>468</v>
      </c>
    </row>
    <row r="82" spans="1:29" x14ac:dyDescent="0.3">
      <c r="A82">
        <v>4050</v>
      </c>
      <c r="B82" t="s">
        <v>691</v>
      </c>
      <c r="C82" t="s">
        <v>42</v>
      </c>
      <c r="D82" s="1">
        <v>39087</v>
      </c>
      <c r="E82">
        <v>2</v>
      </c>
      <c r="F82" t="s">
        <v>692</v>
      </c>
      <c r="G82">
        <v>53.689</v>
      </c>
      <c r="H82">
        <v>81.138999999999996</v>
      </c>
      <c r="I82">
        <v>3965.2629999999999</v>
      </c>
      <c r="J82">
        <v>355.46499999999997</v>
      </c>
      <c r="K82">
        <v>497.80599999999998</v>
      </c>
      <c r="L82">
        <v>44.698</v>
      </c>
      <c r="M82">
        <v>111.09099999999999</v>
      </c>
      <c r="N82">
        <v>386.71499999999997</v>
      </c>
      <c r="O82">
        <v>60.472999999999999</v>
      </c>
      <c r="P82">
        <v>16.178999999999998</v>
      </c>
      <c r="Q82">
        <v>29.757000000000001</v>
      </c>
      <c r="R82">
        <v>1.294</v>
      </c>
      <c r="S82">
        <v>146.44</v>
      </c>
      <c r="T82">
        <v>140.84800000000001</v>
      </c>
      <c r="U82">
        <v>523.91800000000001</v>
      </c>
      <c r="V82">
        <v>449.83800000000002</v>
      </c>
      <c r="W82">
        <v>400.88200000000001</v>
      </c>
      <c r="X82">
        <v>285.30799999999999</v>
      </c>
      <c r="Y82">
        <v>67.849999999999994</v>
      </c>
      <c r="Z82">
        <v>414.98649999999998</v>
      </c>
      <c r="AA82" t="s">
        <v>32</v>
      </c>
      <c r="AB82">
        <v>1</v>
      </c>
      <c r="AC82" t="s">
        <v>468</v>
      </c>
    </row>
    <row r="83" spans="1:29" x14ac:dyDescent="0.3">
      <c r="A83">
        <v>6494</v>
      </c>
      <c r="B83" t="s">
        <v>781</v>
      </c>
      <c r="C83" t="s">
        <v>101</v>
      </c>
      <c r="D83" s="1">
        <v>31090</v>
      </c>
      <c r="E83">
        <v>14</v>
      </c>
      <c r="F83" t="s">
        <v>782</v>
      </c>
      <c r="G83">
        <v>21.387</v>
      </c>
      <c r="H83">
        <v>67.789000000000001</v>
      </c>
      <c r="I83">
        <v>2519.777</v>
      </c>
      <c r="J83">
        <v>303.32299999999998</v>
      </c>
      <c r="K83">
        <v>1043.828</v>
      </c>
      <c r="L83">
        <v>192.15</v>
      </c>
      <c r="M83">
        <v>889.18499999999995</v>
      </c>
      <c r="N83">
        <v>154.643</v>
      </c>
      <c r="O83">
        <v>60.783000000000001</v>
      </c>
      <c r="P83">
        <v>239.17</v>
      </c>
      <c r="Q83">
        <v>0</v>
      </c>
      <c r="R83">
        <v>1.242</v>
      </c>
      <c r="S83">
        <v>273.404</v>
      </c>
      <c r="T83">
        <v>889.18499999999995</v>
      </c>
      <c r="U83">
        <v>1355.17</v>
      </c>
      <c r="V83">
        <v>391.98599999999999</v>
      </c>
      <c r="W83">
        <v>288.89299999999997</v>
      </c>
      <c r="X83">
        <v>285.34100000000001</v>
      </c>
      <c r="Y83">
        <v>22.38</v>
      </c>
      <c r="Z83">
        <v>580.34749999999997</v>
      </c>
      <c r="AA83" t="s">
        <v>32</v>
      </c>
      <c r="AB83">
        <v>1</v>
      </c>
      <c r="AC83" t="s">
        <v>468</v>
      </c>
    </row>
    <row r="84" spans="1:29" x14ac:dyDescent="0.3">
      <c r="A84">
        <v>6827</v>
      </c>
      <c r="B84" t="s">
        <v>785</v>
      </c>
      <c r="C84" t="s">
        <v>101</v>
      </c>
      <c r="D84" s="1">
        <v>43641</v>
      </c>
      <c r="E84">
        <v>13</v>
      </c>
      <c r="F84" t="s">
        <v>786</v>
      </c>
      <c r="G84">
        <v>17.722000000000001</v>
      </c>
      <c r="H84">
        <v>85.245000000000005</v>
      </c>
      <c r="I84">
        <v>2397.1990000000001</v>
      </c>
      <c r="J84">
        <v>103.173</v>
      </c>
      <c r="K84">
        <v>782.27499999999998</v>
      </c>
      <c r="L84">
        <v>41.15</v>
      </c>
      <c r="M84">
        <v>839.59500000000003</v>
      </c>
      <c r="N84">
        <v>-57.32</v>
      </c>
      <c r="O84">
        <v>75.478999999999999</v>
      </c>
      <c r="P84">
        <v>161.72800000000001</v>
      </c>
      <c r="Q84">
        <v>0</v>
      </c>
      <c r="R84">
        <v>1.49</v>
      </c>
      <c r="S84">
        <v>601.50800000000004</v>
      </c>
      <c r="T84">
        <v>839.59500000000003</v>
      </c>
      <c r="U84">
        <v>944.00300000000004</v>
      </c>
      <c r="V84">
        <v>688.19299999999998</v>
      </c>
      <c r="W84">
        <v>321.72199999999998</v>
      </c>
      <c r="X84">
        <v>211.768</v>
      </c>
      <c r="Y84">
        <v>10.93</v>
      </c>
      <c r="Z84">
        <v>541.42150000000004</v>
      </c>
      <c r="AA84" t="s">
        <v>32</v>
      </c>
      <c r="AB84">
        <v>1</v>
      </c>
      <c r="AC84" t="s">
        <v>468</v>
      </c>
    </row>
    <row r="85" spans="1:29" x14ac:dyDescent="0.3">
      <c r="A85">
        <v>7204</v>
      </c>
      <c r="B85" t="s">
        <v>789</v>
      </c>
      <c r="C85" t="s">
        <v>101</v>
      </c>
      <c r="D85" s="1">
        <v>41715</v>
      </c>
      <c r="E85">
        <v>7</v>
      </c>
      <c r="F85" t="s">
        <v>790</v>
      </c>
      <c r="G85">
        <v>22.686</v>
      </c>
      <c r="H85">
        <v>64.781999999999996</v>
      </c>
      <c r="I85">
        <v>2261.5010000000002</v>
      </c>
      <c r="J85">
        <v>133.13900000000001</v>
      </c>
      <c r="K85">
        <v>657.69100000000003</v>
      </c>
      <c r="L85">
        <v>44.357999999999997</v>
      </c>
      <c r="M85">
        <v>499.346</v>
      </c>
      <c r="N85">
        <v>158.345</v>
      </c>
      <c r="O85">
        <v>36.628999999999998</v>
      </c>
      <c r="P85">
        <v>54.878</v>
      </c>
      <c r="Q85">
        <v>74.010000000000005</v>
      </c>
      <c r="R85">
        <v>5.1630000000000003</v>
      </c>
      <c r="S85">
        <v>490.54300000000001</v>
      </c>
      <c r="T85">
        <v>573.35599999999999</v>
      </c>
      <c r="U85">
        <v>727.23500000000001</v>
      </c>
      <c r="V85">
        <v>662.16</v>
      </c>
      <c r="W85">
        <v>585.00300000000004</v>
      </c>
      <c r="X85">
        <v>240.30799999999999</v>
      </c>
      <c r="Y85">
        <v>18.309999999999999</v>
      </c>
      <c r="Z85">
        <v>553.67650000000003</v>
      </c>
      <c r="AA85" t="s">
        <v>32</v>
      </c>
      <c r="AB85">
        <v>1</v>
      </c>
      <c r="AC85" t="s">
        <v>468</v>
      </c>
    </row>
    <row r="86" spans="1:29" x14ac:dyDescent="0.3">
      <c r="A86">
        <v>7416</v>
      </c>
      <c r="B86" t="s">
        <v>795</v>
      </c>
      <c r="C86" t="s">
        <v>101</v>
      </c>
      <c r="D86" s="1">
        <v>38729</v>
      </c>
      <c r="E86">
        <v>0</v>
      </c>
      <c r="F86" t="s">
        <v>796</v>
      </c>
      <c r="G86">
        <v>57.749000000000002</v>
      </c>
      <c r="H86">
        <v>85.009</v>
      </c>
      <c r="I86">
        <v>2196.7190000000001</v>
      </c>
      <c r="J86">
        <v>343.99099999999999</v>
      </c>
      <c r="K86">
        <v>690.70399999999995</v>
      </c>
      <c r="L86">
        <v>77.757000000000005</v>
      </c>
      <c r="M86">
        <v>337.48099999999999</v>
      </c>
      <c r="N86">
        <v>353.22300000000001</v>
      </c>
      <c r="O86">
        <v>59.716999999999999</v>
      </c>
      <c r="P86">
        <v>8.75</v>
      </c>
      <c r="Q86">
        <v>27.44</v>
      </c>
      <c r="R86">
        <v>3.4689999999999999</v>
      </c>
      <c r="S86">
        <v>385.19</v>
      </c>
      <c r="T86">
        <v>364.92099999999999</v>
      </c>
      <c r="U86">
        <v>714.09199999999998</v>
      </c>
      <c r="V86">
        <v>674.31299999999999</v>
      </c>
      <c r="W86">
        <v>569.37</v>
      </c>
      <c r="X86">
        <v>154.905</v>
      </c>
      <c r="Y86">
        <v>48.17</v>
      </c>
      <c r="Z86">
        <v>528.16999999999996</v>
      </c>
      <c r="AA86" t="s">
        <v>32</v>
      </c>
      <c r="AB86">
        <v>1</v>
      </c>
      <c r="AC86" t="s">
        <v>468</v>
      </c>
    </row>
    <row r="87" spans="1:29" x14ac:dyDescent="0.3">
      <c r="A87">
        <v>7795</v>
      </c>
      <c r="B87" t="s">
        <v>797</v>
      </c>
      <c r="C87" t="s">
        <v>58</v>
      </c>
      <c r="D87" s="1">
        <v>44076</v>
      </c>
      <c r="E87">
        <v>6</v>
      </c>
      <c r="F87" t="s">
        <v>798</v>
      </c>
      <c r="G87">
        <v>4.0190000000000001</v>
      </c>
      <c r="H87">
        <v>54.743000000000002</v>
      </c>
      <c r="I87">
        <v>2081.643</v>
      </c>
      <c r="J87">
        <v>91.682000000000002</v>
      </c>
      <c r="K87">
        <v>574.89</v>
      </c>
      <c r="L87">
        <v>160.27000000000001</v>
      </c>
      <c r="M87">
        <v>559.221</v>
      </c>
      <c r="N87">
        <v>15.669</v>
      </c>
      <c r="O87">
        <v>13.377000000000001</v>
      </c>
      <c r="P87">
        <v>277.173</v>
      </c>
      <c r="Q87">
        <v>206.559</v>
      </c>
      <c r="R87">
        <v>12.087</v>
      </c>
      <c r="S87">
        <v>354.041</v>
      </c>
      <c r="T87">
        <v>765.78</v>
      </c>
      <c r="U87">
        <v>899.96400000000006</v>
      </c>
      <c r="V87">
        <v>451.24</v>
      </c>
      <c r="W87">
        <v>256.822</v>
      </c>
      <c r="X87">
        <v>76.423000000000002</v>
      </c>
      <c r="Y87">
        <v>10.19</v>
      </c>
      <c r="Z87">
        <v>421.11225000000002</v>
      </c>
      <c r="AA87" t="s">
        <v>32</v>
      </c>
      <c r="AB87">
        <v>1</v>
      </c>
      <c r="AC87" t="s">
        <v>468</v>
      </c>
    </row>
    <row r="88" spans="1:29" x14ac:dyDescent="0.3">
      <c r="A88">
        <v>8119</v>
      </c>
      <c r="B88" t="s">
        <v>799</v>
      </c>
      <c r="C88" t="s">
        <v>101</v>
      </c>
      <c r="D88" s="1">
        <v>41558</v>
      </c>
      <c r="E88">
        <v>5</v>
      </c>
      <c r="F88" t="s">
        <v>800</v>
      </c>
      <c r="G88">
        <v>5.0309999999999997</v>
      </c>
      <c r="H88">
        <v>24.77</v>
      </c>
      <c r="I88">
        <v>1999.723</v>
      </c>
      <c r="J88">
        <v>112.236</v>
      </c>
      <c r="K88">
        <v>487.60700000000003</v>
      </c>
      <c r="L88">
        <v>89.799000000000007</v>
      </c>
      <c r="M88">
        <v>353.21800000000002</v>
      </c>
      <c r="N88">
        <v>134.38900000000001</v>
      </c>
      <c r="O88">
        <v>10.157999999999999</v>
      </c>
      <c r="P88">
        <v>29.463999999999999</v>
      </c>
      <c r="Q88">
        <v>49.523000000000003</v>
      </c>
      <c r="R88">
        <v>5.74</v>
      </c>
      <c r="S88">
        <v>471.74700000000001</v>
      </c>
      <c r="T88">
        <v>402.74099999999999</v>
      </c>
      <c r="U88">
        <v>540.12900000000002</v>
      </c>
      <c r="V88">
        <v>558.39</v>
      </c>
      <c r="W88">
        <v>347.96199999999999</v>
      </c>
      <c r="X88">
        <v>344.16</v>
      </c>
      <c r="Y88">
        <v>20.78</v>
      </c>
      <c r="Z88">
        <v>447.66025000000002</v>
      </c>
      <c r="AA88" t="s">
        <v>32</v>
      </c>
      <c r="AB88">
        <v>1</v>
      </c>
      <c r="AC88" t="s">
        <v>468</v>
      </c>
    </row>
    <row r="89" spans="1:29" x14ac:dyDescent="0.3">
      <c r="A89">
        <v>8161</v>
      </c>
      <c r="B89" t="s">
        <v>801</v>
      </c>
      <c r="C89" t="s">
        <v>35</v>
      </c>
      <c r="D89" s="1">
        <v>42615</v>
      </c>
      <c r="E89">
        <v>38</v>
      </c>
      <c r="F89" t="s">
        <v>802</v>
      </c>
      <c r="G89">
        <v>89.382999999999996</v>
      </c>
      <c r="H89">
        <v>128.61000000000001</v>
      </c>
      <c r="I89">
        <v>1987.277</v>
      </c>
      <c r="J89">
        <v>157.17599999999999</v>
      </c>
      <c r="K89">
        <v>817.70600000000002</v>
      </c>
      <c r="L89">
        <v>17.878</v>
      </c>
      <c r="M89">
        <v>765.97199999999998</v>
      </c>
      <c r="N89">
        <v>51.734000000000002</v>
      </c>
      <c r="O89">
        <v>99.096000000000004</v>
      </c>
      <c r="P89">
        <v>179.91200000000001</v>
      </c>
      <c r="Q89">
        <v>24.709</v>
      </c>
      <c r="R89">
        <v>2.008</v>
      </c>
      <c r="S89">
        <v>489.51400000000001</v>
      </c>
      <c r="T89">
        <v>790.68100000000004</v>
      </c>
      <c r="U89">
        <v>997.61800000000005</v>
      </c>
      <c r="V89">
        <v>594.17700000000002</v>
      </c>
      <c r="W89">
        <v>352.86700000000002</v>
      </c>
      <c r="X89">
        <v>0.05</v>
      </c>
      <c r="Y89">
        <v>15.76</v>
      </c>
      <c r="Z89">
        <v>486.178</v>
      </c>
      <c r="AA89" t="s">
        <v>32</v>
      </c>
      <c r="AB89">
        <v>1</v>
      </c>
      <c r="AC89" t="s">
        <v>468</v>
      </c>
    </row>
    <row r="90" spans="1:29" x14ac:dyDescent="0.3">
      <c r="A90">
        <v>8265</v>
      </c>
      <c r="B90" t="s">
        <v>805</v>
      </c>
      <c r="C90" t="s">
        <v>58</v>
      </c>
      <c r="D90" s="1">
        <v>38343</v>
      </c>
      <c r="E90">
        <v>12</v>
      </c>
      <c r="F90" t="s">
        <v>806</v>
      </c>
      <c r="G90">
        <v>4.5590000000000002</v>
      </c>
      <c r="H90">
        <v>19.001999999999999</v>
      </c>
      <c r="I90">
        <v>1958.7349999999999</v>
      </c>
      <c r="J90">
        <v>90.296000000000006</v>
      </c>
      <c r="K90">
        <v>415.79500000000002</v>
      </c>
      <c r="L90">
        <v>0</v>
      </c>
      <c r="M90">
        <v>219.66</v>
      </c>
      <c r="N90">
        <v>196.13499999999999</v>
      </c>
      <c r="O90">
        <v>9.673</v>
      </c>
      <c r="P90">
        <v>10.436999999999999</v>
      </c>
      <c r="Q90">
        <v>16.302</v>
      </c>
      <c r="R90">
        <v>0.19600000000000001</v>
      </c>
      <c r="S90">
        <v>335.42899999999997</v>
      </c>
      <c r="T90">
        <v>235.96199999999999</v>
      </c>
      <c r="U90">
        <v>435.84300000000002</v>
      </c>
      <c r="V90">
        <v>523.60900000000004</v>
      </c>
      <c r="W90">
        <v>502.43</v>
      </c>
      <c r="X90">
        <v>348.18099999999998</v>
      </c>
      <c r="Y90">
        <v>20.72</v>
      </c>
      <c r="Z90">
        <v>452.51575000000003</v>
      </c>
      <c r="AA90" t="s">
        <v>32</v>
      </c>
      <c r="AB90">
        <v>1</v>
      </c>
      <c r="AC90" t="s">
        <v>468</v>
      </c>
    </row>
    <row r="91" spans="1:29" x14ac:dyDescent="0.3">
      <c r="A91">
        <v>8527</v>
      </c>
      <c r="B91" t="s">
        <v>809</v>
      </c>
      <c r="C91" t="s">
        <v>35</v>
      </c>
      <c r="D91" s="1">
        <v>42664</v>
      </c>
      <c r="E91">
        <v>2</v>
      </c>
      <c r="F91" t="s">
        <v>810</v>
      </c>
      <c r="G91">
        <v>56.363</v>
      </c>
      <c r="H91">
        <v>116.643</v>
      </c>
      <c r="I91">
        <v>1896.075</v>
      </c>
      <c r="J91">
        <v>340.19</v>
      </c>
      <c r="K91">
        <v>732.91899999999998</v>
      </c>
      <c r="L91">
        <v>0</v>
      </c>
      <c r="M91">
        <v>427.34100000000001</v>
      </c>
      <c r="N91">
        <v>305.57799999999997</v>
      </c>
      <c r="O91">
        <v>64.501999999999995</v>
      </c>
      <c r="P91">
        <v>81.254999999999995</v>
      </c>
      <c r="Q91">
        <v>46.087000000000003</v>
      </c>
      <c r="R91">
        <v>3.2570000000000001</v>
      </c>
      <c r="S91">
        <v>366.36099999999999</v>
      </c>
      <c r="T91">
        <v>473.428</v>
      </c>
      <c r="U91">
        <v>819.52</v>
      </c>
      <c r="V91">
        <v>656.22900000000004</v>
      </c>
      <c r="W91">
        <v>376.84100000000001</v>
      </c>
      <c r="X91">
        <v>242.607</v>
      </c>
      <c r="Y91">
        <v>41.51</v>
      </c>
      <c r="Z91">
        <v>523.79925000000003</v>
      </c>
      <c r="AA91" t="s">
        <v>32</v>
      </c>
      <c r="AB91">
        <v>1</v>
      </c>
      <c r="AC91" t="s">
        <v>468</v>
      </c>
    </row>
    <row r="92" spans="1:29" x14ac:dyDescent="0.3">
      <c r="A92">
        <v>8573</v>
      </c>
      <c r="B92" t="s">
        <v>811</v>
      </c>
      <c r="C92" t="s">
        <v>101</v>
      </c>
      <c r="D92" s="1">
        <v>42072</v>
      </c>
      <c r="E92">
        <v>0</v>
      </c>
      <c r="F92" t="s">
        <v>812</v>
      </c>
      <c r="G92">
        <v>11.847</v>
      </c>
      <c r="H92">
        <v>46.518000000000001</v>
      </c>
      <c r="I92">
        <v>1886.135</v>
      </c>
      <c r="J92">
        <v>72.515000000000001</v>
      </c>
      <c r="K92">
        <v>412.83</v>
      </c>
      <c r="L92">
        <v>0</v>
      </c>
      <c r="M92">
        <v>373.904</v>
      </c>
      <c r="N92">
        <v>38.926000000000002</v>
      </c>
      <c r="O92">
        <v>32.018999999999998</v>
      </c>
      <c r="P92">
        <v>73.588999999999999</v>
      </c>
      <c r="Q92">
        <v>0</v>
      </c>
      <c r="R92">
        <v>1.292</v>
      </c>
      <c r="S92">
        <v>419.35</v>
      </c>
      <c r="T92">
        <v>373.904</v>
      </c>
      <c r="U92">
        <v>486.41899999999998</v>
      </c>
      <c r="V92">
        <v>510.01799999999997</v>
      </c>
      <c r="W92">
        <v>319.12200000000001</v>
      </c>
      <c r="X92">
        <v>167.792</v>
      </c>
      <c r="Y92">
        <v>14.91</v>
      </c>
      <c r="Z92">
        <v>370.83775000000003</v>
      </c>
      <c r="AA92" t="s">
        <v>32</v>
      </c>
      <c r="AB92">
        <v>1</v>
      </c>
      <c r="AC92" t="s">
        <v>468</v>
      </c>
    </row>
    <row r="93" spans="1:29" x14ac:dyDescent="0.3">
      <c r="A93">
        <v>8650</v>
      </c>
      <c r="B93" t="s">
        <v>817</v>
      </c>
      <c r="C93" t="s">
        <v>58</v>
      </c>
      <c r="D93" s="1">
        <v>43161</v>
      </c>
      <c r="E93">
        <v>13</v>
      </c>
      <c r="F93" t="s">
        <v>818</v>
      </c>
      <c r="G93">
        <v>16.332000000000001</v>
      </c>
      <c r="H93">
        <v>73.691999999999993</v>
      </c>
      <c r="I93">
        <v>1865.75</v>
      </c>
      <c r="J93">
        <v>206.358</v>
      </c>
      <c r="K93">
        <v>714.04100000000005</v>
      </c>
      <c r="L93">
        <v>101.047</v>
      </c>
      <c r="M93">
        <v>416.83199999999999</v>
      </c>
      <c r="N93">
        <v>297.209</v>
      </c>
      <c r="O93">
        <v>28.931000000000001</v>
      </c>
      <c r="P93">
        <v>8.6950000000000003</v>
      </c>
      <c r="Q93">
        <v>8.0649999999999995</v>
      </c>
      <c r="R93">
        <v>3.7679999999999998</v>
      </c>
      <c r="S93">
        <v>415.96100000000001</v>
      </c>
      <c r="T93">
        <v>424.89699999999999</v>
      </c>
      <c r="U93">
        <v>725.87599999999998</v>
      </c>
      <c r="V93">
        <v>700.46600000000001</v>
      </c>
      <c r="W93">
        <v>502.73099999999999</v>
      </c>
      <c r="X93">
        <v>394.16399999999999</v>
      </c>
      <c r="Y93">
        <v>28.43</v>
      </c>
      <c r="Z93">
        <v>580.80925000000002</v>
      </c>
      <c r="AA93" t="s">
        <v>32</v>
      </c>
      <c r="AB93">
        <v>1</v>
      </c>
      <c r="AC93" t="s">
        <v>468</v>
      </c>
    </row>
    <row r="94" spans="1:29" x14ac:dyDescent="0.3">
      <c r="A94">
        <v>8661</v>
      </c>
      <c r="B94" t="s">
        <v>819</v>
      </c>
      <c r="C94" t="s">
        <v>58</v>
      </c>
      <c r="D94" s="1">
        <v>43845</v>
      </c>
      <c r="E94">
        <v>3</v>
      </c>
      <c r="F94" t="s">
        <v>820</v>
      </c>
      <c r="G94">
        <v>39.770000000000003</v>
      </c>
      <c r="H94">
        <v>107.273</v>
      </c>
      <c r="I94">
        <v>1864.0309999999999</v>
      </c>
      <c r="J94">
        <v>101.664</v>
      </c>
      <c r="K94">
        <v>862.73</v>
      </c>
      <c r="L94">
        <v>0</v>
      </c>
      <c r="M94">
        <v>744.07799999999997</v>
      </c>
      <c r="N94">
        <v>118.652</v>
      </c>
      <c r="O94">
        <v>50.838999999999999</v>
      </c>
      <c r="P94">
        <v>21.105</v>
      </c>
      <c r="Q94">
        <v>25.945</v>
      </c>
      <c r="R94">
        <v>24.577999999999999</v>
      </c>
      <c r="S94">
        <v>324.99400000000003</v>
      </c>
      <c r="T94">
        <v>770.02300000000002</v>
      </c>
      <c r="U94">
        <v>899.83199999999999</v>
      </c>
      <c r="V94">
        <v>396.47800000000001</v>
      </c>
      <c r="W94">
        <v>359.87599999999998</v>
      </c>
      <c r="X94">
        <v>182.864</v>
      </c>
      <c r="Y94">
        <v>11.3</v>
      </c>
      <c r="Z94">
        <v>459.76249999999999</v>
      </c>
      <c r="AA94" t="s">
        <v>32</v>
      </c>
      <c r="AB94">
        <v>1</v>
      </c>
      <c r="AC94" t="s">
        <v>468</v>
      </c>
    </row>
    <row r="95" spans="1:29" x14ac:dyDescent="0.3">
      <c r="A95">
        <v>8921</v>
      </c>
      <c r="B95" t="s">
        <v>823</v>
      </c>
      <c r="C95" t="s">
        <v>101</v>
      </c>
      <c r="D95" s="1">
        <v>42041</v>
      </c>
      <c r="E95">
        <v>4</v>
      </c>
      <c r="F95" t="s">
        <v>824</v>
      </c>
      <c r="G95">
        <v>104.008</v>
      </c>
      <c r="H95">
        <v>162.113</v>
      </c>
      <c r="I95">
        <v>1801.6790000000001</v>
      </c>
      <c r="J95">
        <v>189.71100000000001</v>
      </c>
      <c r="K95">
        <v>600.96299999999997</v>
      </c>
      <c r="L95">
        <v>17.53</v>
      </c>
      <c r="M95">
        <v>404.613</v>
      </c>
      <c r="N95">
        <v>196.35</v>
      </c>
      <c r="O95">
        <v>116.19799999999999</v>
      </c>
      <c r="P95">
        <v>303.459</v>
      </c>
      <c r="Q95">
        <v>316.74599999999998</v>
      </c>
      <c r="R95">
        <v>2.4889999999999999</v>
      </c>
      <c r="S95">
        <v>341.24299999999999</v>
      </c>
      <c r="T95">
        <v>721.35900000000004</v>
      </c>
      <c r="U95">
        <v>926.46100000000001</v>
      </c>
      <c r="V95">
        <v>469.077</v>
      </c>
      <c r="W95">
        <v>366.56799999999998</v>
      </c>
      <c r="X95">
        <v>139.56100000000001</v>
      </c>
      <c r="Y95">
        <v>20.48</v>
      </c>
      <c r="Z95">
        <v>475.41674999999998</v>
      </c>
      <c r="AA95" t="s">
        <v>32</v>
      </c>
      <c r="AB95">
        <v>1</v>
      </c>
      <c r="AC95" t="s">
        <v>468</v>
      </c>
    </row>
    <row r="96" spans="1:29" x14ac:dyDescent="0.3">
      <c r="A96">
        <v>8984</v>
      </c>
      <c r="B96" t="s">
        <v>825</v>
      </c>
      <c r="C96" t="s">
        <v>58</v>
      </c>
      <c r="D96" s="1">
        <v>43581</v>
      </c>
      <c r="E96">
        <v>5</v>
      </c>
      <c r="F96" t="s">
        <v>826</v>
      </c>
      <c r="G96">
        <v>0.19</v>
      </c>
      <c r="H96">
        <v>21.309000000000001</v>
      </c>
      <c r="I96">
        <v>1789.8689999999999</v>
      </c>
      <c r="J96">
        <v>46.241</v>
      </c>
      <c r="K96">
        <v>340.19299999999998</v>
      </c>
      <c r="L96">
        <v>0</v>
      </c>
      <c r="M96">
        <v>291.51</v>
      </c>
      <c r="N96">
        <v>48.683</v>
      </c>
      <c r="O96">
        <v>8.7609999999999992</v>
      </c>
      <c r="P96">
        <v>25.852</v>
      </c>
      <c r="Q96">
        <v>25.338000000000001</v>
      </c>
      <c r="R96">
        <v>0.54400000000000004</v>
      </c>
      <c r="S96">
        <v>298.34899999999999</v>
      </c>
      <c r="T96">
        <v>316.84800000000001</v>
      </c>
      <c r="U96">
        <v>367.74400000000003</v>
      </c>
      <c r="V96">
        <v>352.24799999999999</v>
      </c>
      <c r="W96">
        <v>116.816</v>
      </c>
      <c r="X96">
        <v>119.508</v>
      </c>
      <c r="Y96">
        <v>12.57</v>
      </c>
      <c r="Z96">
        <v>239.07900000000001</v>
      </c>
      <c r="AA96" t="s">
        <v>32</v>
      </c>
      <c r="AB96">
        <v>1</v>
      </c>
      <c r="AC96" t="s">
        <v>468</v>
      </c>
    </row>
    <row r="97" spans="1:29" x14ac:dyDescent="0.3">
      <c r="A97">
        <v>9078</v>
      </c>
      <c r="B97" t="s">
        <v>827</v>
      </c>
      <c r="C97" t="s">
        <v>58</v>
      </c>
      <c r="D97" s="1">
        <v>43158</v>
      </c>
      <c r="E97">
        <v>7</v>
      </c>
      <c r="F97" t="s">
        <v>828</v>
      </c>
      <c r="G97">
        <v>34.723999999999997</v>
      </c>
      <c r="H97">
        <v>84.899000000000001</v>
      </c>
      <c r="I97">
        <v>1773.9359999999999</v>
      </c>
      <c r="J97">
        <v>135.35300000000001</v>
      </c>
      <c r="K97">
        <v>705.47299999999996</v>
      </c>
      <c r="L97">
        <v>0</v>
      </c>
      <c r="M97">
        <v>528.375</v>
      </c>
      <c r="N97">
        <v>177.09800000000001</v>
      </c>
      <c r="O97">
        <v>52.459000000000003</v>
      </c>
      <c r="P97">
        <v>76.061999999999998</v>
      </c>
      <c r="Q97">
        <v>90.537999999999997</v>
      </c>
      <c r="R97">
        <v>12.397</v>
      </c>
      <c r="S97">
        <v>321.524</v>
      </c>
      <c r="T97">
        <v>618.91300000000001</v>
      </c>
      <c r="U97">
        <v>792.23599999999999</v>
      </c>
      <c r="V97">
        <v>456.26600000000002</v>
      </c>
      <c r="W97">
        <v>413.70299999999997</v>
      </c>
      <c r="X97">
        <v>292.88099999999997</v>
      </c>
      <c r="Y97">
        <v>17.079999999999998</v>
      </c>
      <c r="Z97">
        <v>488.7715</v>
      </c>
      <c r="AA97" t="s">
        <v>32</v>
      </c>
      <c r="AB97">
        <v>1</v>
      </c>
      <c r="AC97" t="s">
        <v>468</v>
      </c>
    </row>
    <row r="98" spans="1:29" x14ac:dyDescent="0.3">
      <c r="A98">
        <v>9079</v>
      </c>
      <c r="B98" t="s">
        <v>829</v>
      </c>
      <c r="C98" t="s">
        <v>42</v>
      </c>
      <c r="D98" s="1">
        <v>37651</v>
      </c>
      <c r="E98">
        <v>1</v>
      </c>
      <c r="F98" t="s">
        <v>830</v>
      </c>
      <c r="G98">
        <v>51.307000000000002</v>
      </c>
      <c r="H98">
        <v>102.425</v>
      </c>
      <c r="I98">
        <v>1773.4780000000001</v>
      </c>
      <c r="J98">
        <v>214.88200000000001</v>
      </c>
      <c r="K98">
        <v>368.74299999999999</v>
      </c>
      <c r="L98">
        <v>112</v>
      </c>
      <c r="M98">
        <v>326.61500000000001</v>
      </c>
      <c r="N98">
        <v>42.128</v>
      </c>
      <c r="O98">
        <v>52.012</v>
      </c>
      <c r="P98">
        <v>203.261</v>
      </c>
      <c r="Q98">
        <v>42.975999999999999</v>
      </c>
      <c r="R98">
        <v>5.2060000000000004</v>
      </c>
      <c r="S98">
        <v>326.81599999999997</v>
      </c>
      <c r="T98">
        <v>369.59100000000001</v>
      </c>
      <c r="U98">
        <v>587.35</v>
      </c>
      <c r="V98">
        <v>491.28899999999999</v>
      </c>
      <c r="W98">
        <v>509.54399999999998</v>
      </c>
      <c r="X98">
        <v>432.154</v>
      </c>
      <c r="Y98">
        <v>36.590000000000003</v>
      </c>
      <c r="Z98">
        <v>505.08425</v>
      </c>
      <c r="AA98" t="s">
        <v>32</v>
      </c>
      <c r="AB98">
        <v>1</v>
      </c>
      <c r="AC98" t="s">
        <v>468</v>
      </c>
    </row>
    <row r="99" spans="1:29" x14ac:dyDescent="0.3">
      <c r="A99">
        <v>9130</v>
      </c>
      <c r="B99" t="s">
        <v>831</v>
      </c>
      <c r="C99" t="s">
        <v>58</v>
      </c>
      <c r="D99" s="1">
        <v>43790</v>
      </c>
      <c r="E99">
        <v>6</v>
      </c>
      <c r="F99" t="s">
        <v>832</v>
      </c>
      <c r="G99">
        <v>14.988</v>
      </c>
      <c r="H99">
        <v>86.405000000000001</v>
      </c>
      <c r="I99">
        <v>1764.595</v>
      </c>
      <c r="J99">
        <v>34.271999999999998</v>
      </c>
      <c r="K99">
        <v>512.15300000000002</v>
      </c>
      <c r="L99">
        <v>180</v>
      </c>
      <c r="M99">
        <v>402.15699999999998</v>
      </c>
      <c r="N99">
        <v>109.996</v>
      </c>
      <c r="O99">
        <v>36.6</v>
      </c>
      <c r="P99">
        <v>75.573999999999998</v>
      </c>
      <c r="Q99">
        <v>146.57</v>
      </c>
      <c r="R99">
        <v>9.2409999999999997</v>
      </c>
      <c r="S99">
        <v>650.59500000000003</v>
      </c>
      <c r="T99">
        <v>548.72699999999998</v>
      </c>
      <c r="U99">
        <v>593.25900000000001</v>
      </c>
      <c r="V99">
        <v>673.19399999999996</v>
      </c>
      <c r="W99">
        <v>411.37599999999998</v>
      </c>
      <c r="X99">
        <v>182.74700000000001</v>
      </c>
      <c r="Y99">
        <v>5.78</v>
      </c>
      <c r="Z99">
        <v>465.14400000000001</v>
      </c>
      <c r="AA99" t="s">
        <v>32</v>
      </c>
      <c r="AB99">
        <v>1</v>
      </c>
      <c r="AC99" t="s">
        <v>468</v>
      </c>
    </row>
    <row r="100" spans="1:29" x14ac:dyDescent="0.3">
      <c r="A100">
        <v>9184</v>
      </c>
      <c r="B100" t="s">
        <v>833</v>
      </c>
      <c r="C100" t="s">
        <v>58</v>
      </c>
      <c r="D100" s="1">
        <v>40904</v>
      </c>
      <c r="E100">
        <v>7</v>
      </c>
      <c r="F100" t="s">
        <v>834</v>
      </c>
      <c r="G100">
        <v>-23.355</v>
      </c>
      <c r="H100">
        <v>-17.082999999999998</v>
      </c>
      <c r="I100">
        <v>1750.779</v>
      </c>
      <c r="J100">
        <v>139.077</v>
      </c>
      <c r="K100">
        <v>487.42700000000002</v>
      </c>
      <c r="L100">
        <v>0</v>
      </c>
      <c r="M100">
        <v>335.49</v>
      </c>
      <c r="N100">
        <v>151.93700000000001</v>
      </c>
      <c r="O100">
        <v>-21.754999999999999</v>
      </c>
      <c r="P100">
        <v>19.212</v>
      </c>
      <c r="Q100">
        <v>0</v>
      </c>
      <c r="R100">
        <v>0.754</v>
      </c>
      <c r="S100">
        <v>593.91099999999994</v>
      </c>
      <c r="T100">
        <v>335.49</v>
      </c>
      <c r="U100">
        <v>513.70399999999995</v>
      </c>
      <c r="V100">
        <v>803.04</v>
      </c>
      <c r="W100">
        <v>431.267</v>
      </c>
      <c r="X100">
        <v>426.90199999999999</v>
      </c>
      <c r="Y100">
        <v>27.07</v>
      </c>
      <c r="Z100">
        <v>543.72825</v>
      </c>
      <c r="AA100" t="s">
        <v>32</v>
      </c>
      <c r="AB100">
        <v>1</v>
      </c>
      <c r="AC100" t="s">
        <v>468</v>
      </c>
    </row>
    <row r="101" spans="1:29" x14ac:dyDescent="0.3">
      <c r="A101">
        <v>9269</v>
      </c>
      <c r="B101" t="s">
        <v>835</v>
      </c>
      <c r="C101" t="s">
        <v>58</v>
      </c>
      <c r="D101" s="1">
        <v>42552</v>
      </c>
      <c r="E101">
        <v>0</v>
      </c>
      <c r="F101" t="s">
        <v>836</v>
      </c>
      <c r="G101">
        <v>14.911</v>
      </c>
      <c r="H101">
        <v>48.652999999999999</v>
      </c>
      <c r="I101">
        <v>1732.557</v>
      </c>
      <c r="J101">
        <v>448.95800000000003</v>
      </c>
      <c r="K101">
        <v>472.04500000000002</v>
      </c>
      <c r="L101">
        <v>0</v>
      </c>
      <c r="M101">
        <v>30.280999999999999</v>
      </c>
      <c r="N101">
        <v>441.76400000000001</v>
      </c>
      <c r="O101">
        <v>15.843999999999999</v>
      </c>
      <c r="P101">
        <v>2.9860000000000002</v>
      </c>
      <c r="Q101">
        <v>0</v>
      </c>
      <c r="R101">
        <v>26.408000000000001</v>
      </c>
      <c r="S101">
        <v>835.12800000000004</v>
      </c>
      <c r="T101">
        <v>30.280999999999999</v>
      </c>
      <c r="U101">
        <v>479.39699999999999</v>
      </c>
      <c r="V101">
        <v>1269.3510000000001</v>
      </c>
      <c r="W101">
        <v>267.49400000000003</v>
      </c>
      <c r="X101">
        <v>152.95699999999999</v>
      </c>
      <c r="Y101">
        <v>93.65</v>
      </c>
      <c r="Z101">
        <v>542.29975000000002</v>
      </c>
      <c r="AA101" t="s">
        <v>32</v>
      </c>
      <c r="AB101">
        <v>1</v>
      </c>
      <c r="AC101" t="s">
        <v>468</v>
      </c>
    </row>
    <row r="102" spans="1:29" x14ac:dyDescent="0.3">
      <c r="A102">
        <v>9285</v>
      </c>
      <c r="B102" t="s">
        <v>837</v>
      </c>
      <c r="C102" t="s">
        <v>101</v>
      </c>
      <c r="D102" s="1">
        <v>43846</v>
      </c>
      <c r="E102">
        <v>14</v>
      </c>
      <c r="F102" t="s">
        <v>838</v>
      </c>
      <c r="G102">
        <v>16.291</v>
      </c>
      <c r="H102">
        <v>48.085000000000001</v>
      </c>
      <c r="I102">
        <v>1728.7760000000001</v>
      </c>
      <c r="J102">
        <v>88.459000000000003</v>
      </c>
      <c r="K102">
        <v>408.25700000000001</v>
      </c>
      <c r="L102">
        <v>75.188000000000002</v>
      </c>
      <c r="M102">
        <v>410.76799999999997</v>
      </c>
      <c r="N102">
        <v>-2.5110000000000001</v>
      </c>
      <c r="O102">
        <v>27.702999999999999</v>
      </c>
      <c r="P102">
        <v>88.266999999999996</v>
      </c>
      <c r="Q102">
        <v>0</v>
      </c>
      <c r="R102">
        <v>0.52100000000000002</v>
      </c>
      <c r="S102">
        <v>417.755</v>
      </c>
      <c r="T102">
        <v>410.76799999999997</v>
      </c>
      <c r="U102">
        <v>525.69600000000003</v>
      </c>
      <c r="V102">
        <v>502.04399999999998</v>
      </c>
      <c r="W102">
        <v>145.923</v>
      </c>
      <c r="X102">
        <v>94.099000000000004</v>
      </c>
      <c r="Y102">
        <v>16.829999999999998</v>
      </c>
      <c r="Z102">
        <v>316.94049999999999</v>
      </c>
      <c r="AA102" t="s">
        <v>32</v>
      </c>
      <c r="AB102">
        <v>1</v>
      </c>
      <c r="AC102" t="s">
        <v>468</v>
      </c>
    </row>
    <row r="103" spans="1:29" x14ac:dyDescent="0.3">
      <c r="A103">
        <v>7</v>
      </c>
      <c r="B103" t="s">
        <v>477</v>
      </c>
      <c r="C103" t="s">
        <v>55</v>
      </c>
      <c r="D103" s="1">
        <v>31309</v>
      </c>
      <c r="E103">
        <v>1831</v>
      </c>
      <c r="F103" t="s">
        <v>478</v>
      </c>
      <c r="G103">
        <v>6199</v>
      </c>
      <c r="H103">
        <v>36061</v>
      </c>
      <c r="I103">
        <v>805095</v>
      </c>
      <c r="J103">
        <v>473563</v>
      </c>
      <c r="K103">
        <v>843789</v>
      </c>
      <c r="L103">
        <v>27747</v>
      </c>
      <c r="M103">
        <v>540150</v>
      </c>
      <c r="N103">
        <v>303639</v>
      </c>
      <c r="O103">
        <v>22002</v>
      </c>
      <c r="P103">
        <v>501116</v>
      </c>
      <c r="Q103">
        <v>270026</v>
      </c>
      <c r="R103">
        <v>20187</v>
      </c>
      <c r="S103">
        <v>630366</v>
      </c>
      <c r="T103">
        <v>810176</v>
      </c>
      <c r="U103">
        <v>1357551</v>
      </c>
      <c r="V103">
        <v>1153174</v>
      </c>
      <c r="W103">
        <v>974073</v>
      </c>
      <c r="X103">
        <v>948465</v>
      </c>
      <c r="Y103">
        <v>34.880000000000003</v>
      </c>
      <c r="Z103">
        <v>1108315.75</v>
      </c>
      <c r="AA103" t="s">
        <v>53</v>
      </c>
      <c r="AB103">
        <v>4</v>
      </c>
      <c r="AC103" t="s">
        <v>468</v>
      </c>
    </row>
    <row r="104" spans="1:29" x14ac:dyDescent="0.3">
      <c r="A104">
        <v>8</v>
      </c>
      <c r="B104" t="s">
        <v>479</v>
      </c>
      <c r="C104" t="s">
        <v>55</v>
      </c>
      <c r="D104" s="1">
        <v>25692</v>
      </c>
      <c r="E104">
        <v>1460</v>
      </c>
      <c r="F104" t="s">
        <v>480</v>
      </c>
      <c r="G104">
        <v>88.07</v>
      </c>
      <c r="H104">
        <v>20379</v>
      </c>
      <c r="I104">
        <v>668847</v>
      </c>
      <c r="J104">
        <v>54235.07</v>
      </c>
      <c r="K104">
        <v>528353</v>
      </c>
      <c r="L104">
        <v>380163</v>
      </c>
      <c r="M104">
        <v>446860.33299999998</v>
      </c>
      <c r="N104">
        <v>81492.667000000001</v>
      </c>
      <c r="O104">
        <v>10140.07</v>
      </c>
      <c r="P104">
        <v>84721</v>
      </c>
      <c r="Q104">
        <v>106195.59699999999</v>
      </c>
      <c r="R104">
        <v>7504</v>
      </c>
      <c r="S104">
        <v>498244.087</v>
      </c>
      <c r="T104">
        <v>553055.93000000005</v>
      </c>
      <c r="U104">
        <v>618609</v>
      </c>
      <c r="V104">
        <v>562415.74800000002</v>
      </c>
      <c r="W104">
        <v>541070.57299999997</v>
      </c>
      <c r="X104">
        <v>459926.533</v>
      </c>
      <c r="Y104">
        <v>8.77</v>
      </c>
      <c r="Z104">
        <v>545505.46349999995</v>
      </c>
      <c r="AA104" t="s">
        <v>53</v>
      </c>
      <c r="AB104">
        <v>4</v>
      </c>
      <c r="AC104" t="s">
        <v>468</v>
      </c>
    </row>
    <row r="105" spans="1:29" x14ac:dyDescent="0.3">
      <c r="A105">
        <v>10</v>
      </c>
      <c r="B105" t="s">
        <v>483</v>
      </c>
      <c r="C105" t="s">
        <v>55</v>
      </c>
      <c r="D105" s="1">
        <v>41969</v>
      </c>
      <c r="E105">
        <v>308</v>
      </c>
      <c r="F105" t="s">
        <v>484</v>
      </c>
      <c r="G105">
        <v>-73040</v>
      </c>
      <c r="H105">
        <v>103801</v>
      </c>
      <c r="I105">
        <v>507895</v>
      </c>
      <c r="J105">
        <v>96062</v>
      </c>
      <c r="K105">
        <v>773610</v>
      </c>
      <c r="L105">
        <v>56449</v>
      </c>
      <c r="M105">
        <v>458213</v>
      </c>
      <c r="N105">
        <v>315397</v>
      </c>
      <c r="O105">
        <v>73650</v>
      </c>
      <c r="P105">
        <v>83468</v>
      </c>
      <c r="Q105">
        <v>162129</v>
      </c>
      <c r="R105">
        <v>46405</v>
      </c>
      <c r="S105">
        <v>1065656</v>
      </c>
      <c r="T105">
        <v>620342</v>
      </c>
      <c r="U105">
        <v>858901</v>
      </c>
      <c r="V105">
        <v>1307770</v>
      </c>
      <c r="W105">
        <v>746878</v>
      </c>
      <c r="X105">
        <v>323813.147</v>
      </c>
      <c r="Y105">
        <v>11.18</v>
      </c>
      <c r="Z105">
        <v>809340.53674999997</v>
      </c>
      <c r="AA105" t="s">
        <v>53</v>
      </c>
      <c r="AB105">
        <v>4</v>
      </c>
      <c r="AC105" t="s">
        <v>468</v>
      </c>
    </row>
    <row r="106" spans="1:29" x14ac:dyDescent="0.3">
      <c r="A106">
        <v>17</v>
      </c>
      <c r="B106" t="s">
        <v>497</v>
      </c>
      <c r="C106" t="s">
        <v>55</v>
      </c>
      <c r="D106" s="1">
        <v>32940</v>
      </c>
      <c r="E106">
        <v>731</v>
      </c>
      <c r="F106" t="s">
        <v>498</v>
      </c>
      <c r="G106">
        <v>50248.264000000003</v>
      </c>
      <c r="H106">
        <v>83551.962</v>
      </c>
      <c r="I106">
        <v>387371.60200000001</v>
      </c>
      <c r="J106">
        <v>347447.42099999997</v>
      </c>
      <c r="K106">
        <v>550730.75100000005</v>
      </c>
      <c r="L106">
        <v>154191.128</v>
      </c>
      <c r="M106">
        <v>314033.51500000001</v>
      </c>
      <c r="N106">
        <v>236697.236</v>
      </c>
      <c r="O106">
        <v>70169.293999999994</v>
      </c>
      <c r="P106">
        <v>166741.96</v>
      </c>
      <c r="Q106">
        <v>49700.338000000003</v>
      </c>
      <c r="R106">
        <v>2413.3980000000001</v>
      </c>
      <c r="S106">
        <v>285146.30599999998</v>
      </c>
      <c r="T106">
        <v>363733.853</v>
      </c>
      <c r="U106">
        <v>725731.07299999997</v>
      </c>
      <c r="V106">
        <v>595981.15300000005</v>
      </c>
      <c r="W106">
        <v>521519.815</v>
      </c>
      <c r="X106">
        <v>508457.679</v>
      </c>
      <c r="Y106">
        <v>47.88</v>
      </c>
      <c r="Z106">
        <v>587922.43000000005</v>
      </c>
      <c r="AA106" t="s">
        <v>53</v>
      </c>
      <c r="AB106">
        <v>4</v>
      </c>
      <c r="AC106" t="s">
        <v>468</v>
      </c>
    </row>
    <row r="107" spans="1:29" x14ac:dyDescent="0.3">
      <c r="A107">
        <v>19</v>
      </c>
      <c r="B107" t="s">
        <v>501</v>
      </c>
      <c r="C107" t="s">
        <v>96</v>
      </c>
      <c r="D107" s="1">
        <v>22428</v>
      </c>
      <c r="E107">
        <v>186</v>
      </c>
      <c r="F107" t="s">
        <v>502</v>
      </c>
      <c r="G107">
        <v>-15012.370999999999</v>
      </c>
      <c r="H107">
        <v>99272.66</v>
      </c>
      <c r="I107">
        <v>330400.96899999998</v>
      </c>
      <c r="J107">
        <v>868593.36100000003</v>
      </c>
      <c r="K107">
        <v>780768.19700000004</v>
      </c>
      <c r="L107">
        <v>6147.8869999999997</v>
      </c>
      <c r="M107">
        <v>435370.196</v>
      </c>
      <c r="N107">
        <v>345398.00099999999</v>
      </c>
      <c r="O107">
        <v>49318.487999999998</v>
      </c>
      <c r="P107">
        <v>1005131.973</v>
      </c>
      <c r="Q107">
        <v>250781.69099999999</v>
      </c>
      <c r="R107">
        <v>18769.157999999999</v>
      </c>
      <c r="S107">
        <v>712980.07499999995</v>
      </c>
      <c r="T107">
        <v>686151.88699999999</v>
      </c>
      <c r="U107">
        <v>1787119.203</v>
      </c>
      <c r="V107">
        <v>1751234.986</v>
      </c>
      <c r="W107">
        <v>1580547.933</v>
      </c>
      <c r="X107">
        <v>1493530.5360000001</v>
      </c>
      <c r="Y107">
        <v>48.6</v>
      </c>
      <c r="Z107">
        <v>1653108.1645</v>
      </c>
      <c r="AA107" t="s">
        <v>53</v>
      </c>
      <c r="AB107">
        <v>4</v>
      </c>
      <c r="AC107" t="s">
        <v>468</v>
      </c>
    </row>
    <row r="108" spans="1:29" x14ac:dyDescent="0.3">
      <c r="A108">
        <v>26</v>
      </c>
      <c r="B108" t="s">
        <v>515</v>
      </c>
      <c r="C108" t="s">
        <v>55</v>
      </c>
      <c r="D108" s="1">
        <v>25633</v>
      </c>
      <c r="E108">
        <v>660</v>
      </c>
      <c r="F108" t="s">
        <v>516</v>
      </c>
      <c r="G108">
        <v>18486</v>
      </c>
      <c r="H108">
        <v>24096</v>
      </c>
      <c r="I108">
        <v>240753</v>
      </c>
      <c r="J108">
        <v>213787</v>
      </c>
      <c r="K108">
        <v>947016</v>
      </c>
      <c r="L108">
        <v>99265</v>
      </c>
      <c r="M108">
        <v>406619</v>
      </c>
      <c r="N108">
        <v>540397</v>
      </c>
      <c r="O108">
        <v>30308</v>
      </c>
      <c r="P108">
        <v>290824</v>
      </c>
      <c r="Q108">
        <v>615830</v>
      </c>
      <c r="R108">
        <v>57697</v>
      </c>
      <c r="S108">
        <v>508344</v>
      </c>
      <c r="T108">
        <v>1022449</v>
      </c>
      <c r="U108">
        <v>1255843</v>
      </c>
      <c r="V108">
        <v>751576</v>
      </c>
      <c r="W108">
        <v>688058</v>
      </c>
      <c r="X108">
        <v>635096</v>
      </c>
      <c r="Y108">
        <v>17.02</v>
      </c>
      <c r="Z108">
        <v>832643.25</v>
      </c>
      <c r="AA108" t="s">
        <v>53</v>
      </c>
      <c r="AB108">
        <v>4</v>
      </c>
      <c r="AC108" t="s">
        <v>468</v>
      </c>
    </row>
    <row r="109" spans="1:29" x14ac:dyDescent="0.3">
      <c r="A109">
        <v>27</v>
      </c>
      <c r="B109" t="s">
        <v>517</v>
      </c>
      <c r="C109" t="s">
        <v>55</v>
      </c>
      <c r="D109" s="1">
        <v>42905</v>
      </c>
      <c r="E109">
        <v>192</v>
      </c>
      <c r="F109" t="s">
        <v>518</v>
      </c>
      <c r="G109">
        <v>4990.6549999999997</v>
      </c>
      <c r="H109">
        <v>14909.696</v>
      </c>
      <c r="I109">
        <v>240327.049</v>
      </c>
      <c r="J109">
        <v>7228.3280000000004</v>
      </c>
      <c r="K109">
        <v>178361.47200000001</v>
      </c>
      <c r="L109">
        <v>4335.22</v>
      </c>
      <c r="M109">
        <v>155766.83300000001</v>
      </c>
      <c r="N109">
        <v>22594.638999999999</v>
      </c>
      <c r="O109">
        <v>7374.8370000000004</v>
      </c>
      <c r="P109">
        <v>6099.4920000000002</v>
      </c>
      <c r="Q109">
        <v>20427.325000000001</v>
      </c>
      <c r="R109">
        <v>4446.9880000000003</v>
      </c>
      <c r="S109">
        <v>102335.84</v>
      </c>
      <c r="T109">
        <v>176194.158</v>
      </c>
      <c r="U109">
        <v>185040.37299999999</v>
      </c>
      <c r="V109">
        <v>106121.95600000001</v>
      </c>
      <c r="W109">
        <v>27443.925999999999</v>
      </c>
      <c r="X109">
        <v>49817.631999999998</v>
      </c>
      <c r="Y109">
        <v>3.91</v>
      </c>
      <c r="Z109">
        <v>92105.971749999997</v>
      </c>
      <c r="AA109" t="s">
        <v>53</v>
      </c>
      <c r="AB109">
        <v>4</v>
      </c>
      <c r="AC109" t="s">
        <v>468</v>
      </c>
    </row>
    <row r="110" spans="1:29" x14ac:dyDescent="0.3">
      <c r="A110">
        <v>41</v>
      </c>
      <c r="B110" t="s">
        <v>543</v>
      </c>
      <c r="C110" t="s">
        <v>55</v>
      </c>
      <c r="D110" s="1">
        <v>43628</v>
      </c>
      <c r="E110">
        <v>864</v>
      </c>
      <c r="F110" t="s">
        <v>544</v>
      </c>
      <c r="G110">
        <v>-3664.5819999999999</v>
      </c>
      <c r="H110">
        <v>5825.8829999999998</v>
      </c>
      <c r="I110">
        <v>175398.38200000001</v>
      </c>
      <c r="J110">
        <v>71391.497000000003</v>
      </c>
      <c r="K110">
        <v>157306.1</v>
      </c>
      <c r="L110">
        <v>30143.224999999999</v>
      </c>
      <c r="M110">
        <v>137124.867</v>
      </c>
      <c r="N110">
        <v>20181.233</v>
      </c>
      <c r="O110">
        <v>696.72699999999998</v>
      </c>
      <c r="P110">
        <v>57510.21</v>
      </c>
      <c r="Q110">
        <v>0</v>
      </c>
      <c r="R110">
        <v>5607.5429999999997</v>
      </c>
      <c r="S110">
        <v>84873.812000000005</v>
      </c>
      <c r="T110">
        <v>137124.867</v>
      </c>
      <c r="U110">
        <v>218059.636</v>
      </c>
      <c r="V110">
        <v>162932.90400000001</v>
      </c>
      <c r="W110">
        <v>137783.649</v>
      </c>
      <c r="X110">
        <v>127717.586</v>
      </c>
      <c r="Y110">
        <v>32.74</v>
      </c>
      <c r="Z110">
        <v>161623.44375000001</v>
      </c>
      <c r="AA110" t="s">
        <v>53</v>
      </c>
      <c r="AB110">
        <v>4</v>
      </c>
      <c r="AC110" t="s">
        <v>468</v>
      </c>
    </row>
    <row r="111" spans="1:29" x14ac:dyDescent="0.3">
      <c r="A111">
        <v>49</v>
      </c>
      <c r="B111" t="s">
        <v>553</v>
      </c>
      <c r="C111" t="s">
        <v>55</v>
      </c>
      <c r="D111" s="1">
        <v>29277</v>
      </c>
      <c r="E111">
        <v>87</v>
      </c>
      <c r="F111" t="s">
        <v>554</v>
      </c>
      <c r="G111">
        <v>-1277.432</v>
      </c>
      <c r="H111">
        <v>-960.03700000000003</v>
      </c>
      <c r="I111">
        <v>126473.947</v>
      </c>
      <c r="J111">
        <v>36766.921000000002</v>
      </c>
      <c r="K111">
        <v>133615.505</v>
      </c>
      <c r="L111">
        <v>4194.1409999999996</v>
      </c>
      <c r="M111">
        <v>52968.737000000001</v>
      </c>
      <c r="N111">
        <v>80646.767999999996</v>
      </c>
      <c r="O111">
        <v>-104.44</v>
      </c>
      <c r="P111">
        <v>5447.1769999999997</v>
      </c>
      <c r="Q111">
        <v>46965.680999999997</v>
      </c>
      <c r="R111">
        <v>9.5109999999999992</v>
      </c>
      <c r="S111">
        <v>103956.223</v>
      </c>
      <c r="T111">
        <v>99934.418000000005</v>
      </c>
      <c r="U111">
        <v>140964.07500000001</v>
      </c>
      <c r="V111">
        <v>144836.01800000001</v>
      </c>
      <c r="W111">
        <v>98044.065000000002</v>
      </c>
      <c r="X111">
        <v>115184.30499999999</v>
      </c>
      <c r="Y111">
        <v>26.08</v>
      </c>
      <c r="Z111">
        <v>124757.11575</v>
      </c>
      <c r="AA111" t="s">
        <v>53</v>
      </c>
      <c r="AB111">
        <v>4</v>
      </c>
      <c r="AC111" t="s">
        <v>468</v>
      </c>
    </row>
    <row r="112" spans="1:29" x14ac:dyDescent="0.3">
      <c r="A112">
        <v>54</v>
      </c>
      <c r="B112" t="s">
        <v>555</v>
      </c>
      <c r="C112" t="s">
        <v>55</v>
      </c>
      <c r="D112" s="1">
        <v>36817</v>
      </c>
      <c r="E112">
        <v>119</v>
      </c>
      <c r="F112" t="s">
        <v>556</v>
      </c>
      <c r="G112">
        <v>26078</v>
      </c>
      <c r="H112">
        <v>48038</v>
      </c>
      <c r="I112">
        <v>121203</v>
      </c>
      <c r="J112">
        <v>616170</v>
      </c>
      <c r="K112">
        <v>644073</v>
      </c>
      <c r="L112">
        <v>347649</v>
      </c>
      <c r="M112">
        <v>118803</v>
      </c>
      <c r="N112">
        <v>525270</v>
      </c>
      <c r="O112">
        <v>42244</v>
      </c>
      <c r="P112">
        <v>180408</v>
      </c>
      <c r="Q112">
        <v>36975</v>
      </c>
      <c r="R112">
        <v>1630</v>
      </c>
      <c r="S112">
        <v>165011</v>
      </c>
      <c r="T112">
        <v>155778</v>
      </c>
      <c r="U112">
        <v>824481</v>
      </c>
      <c r="V112">
        <v>805752</v>
      </c>
      <c r="W112">
        <v>622806</v>
      </c>
      <c r="X112">
        <v>625282</v>
      </c>
      <c r="Y112">
        <v>74.73</v>
      </c>
      <c r="Z112">
        <v>719580.25</v>
      </c>
      <c r="AA112" t="s">
        <v>53</v>
      </c>
      <c r="AB112">
        <v>4</v>
      </c>
      <c r="AC112" t="s">
        <v>468</v>
      </c>
    </row>
    <row r="113" spans="1:29" x14ac:dyDescent="0.3">
      <c r="A113">
        <v>1981</v>
      </c>
      <c r="B113" t="s">
        <v>601</v>
      </c>
      <c r="C113" t="s">
        <v>51</v>
      </c>
      <c r="D113" s="1">
        <v>38243</v>
      </c>
      <c r="E113">
        <v>19</v>
      </c>
      <c r="F113" t="s">
        <v>602</v>
      </c>
      <c r="G113">
        <v>43.226999999999997</v>
      </c>
      <c r="H113">
        <v>220.643</v>
      </c>
      <c r="I113">
        <v>7850.2</v>
      </c>
      <c r="J113">
        <v>268.14400000000001</v>
      </c>
      <c r="K113">
        <v>3412.5279999999998</v>
      </c>
      <c r="L113">
        <v>65.450999999999993</v>
      </c>
      <c r="M113">
        <v>2957.5070000000001</v>
      </c>
      <c r="N113">
        <v>455.02100000000002</v>
      </c>
      <c r="O113">
        <v>102.038</v>
      </c>
      <c r="P113">
        <v>246.453</v>
      </c>
      <c r="Q113">
        <v>298.83800000000002</v>
      </c>
      <c r="R113">
        <v>61.713000000000001</v>
      </c>
      <c r="S113">
        <v>3806.8029999999999</v>
      </c>
      <c r="T113">
        <v>3256.3449999999998</v>
      </c>
      <c r="U113">
        <v>3727.7339999999999</v>
      </c>
      <c r="V113">
        <v>4222.4359999999997</v>
      </c>
      <c r="W113">
        <v>2875.2860000000001</v>
      </c>
      <c r="X113">
        <v>2847.2460000000001</v>
      </c>
      <c r="Y113">
        <v>7.19</v>
      </c>
      <c r="Z113">
        <v>3418.1754999999998</v>
      </c>
      <c r="AA113" t="s">
        <v>53</v>
      </c>
      <c r="AB113">
        <v>3</v>
      </c>
      <c r="AC113" t="s">
        <v>468</v>
      </c>
    </row>
    <row r="114" spans="1:29" x14ac:dyDescent="0.3">
      <c r="A114">
        <v>2027</v>
      </c>
      <c r="B114" t="s">
        <v>607</v>
      </c>
      <c r="C114" t="s">
        <v>96</v>
      </c>
      <c r="D114" s="1">
        <v>41351</v>
      </c>
      <c r="E114">
        <v>27</v>
      </c>
      <c r="F114" t="s">
        <v>608</v>
      </c>
      <c r="G114">
        <v>292.93200000000002</v>
      </c>
      <c r="H114">
        <v>582.88900000000001</v>
      </c>
      <c r="I114">
        <v>7680.7269999999999</v>
      </c>
      <c r="J114">
        <v>665.85</v>
      </c>
      <c r="K114">
        <v>4723.6180000000004</v>
      </c>
      <c r="L114">
        <v>73.23</v>
      </c>
      <c r="M114">
        <v>3002.5459999999998</v>
      </c>
      <c r="N114">
        <v>1721.0719999999999</v>
      </c>
      <c r="O114">
        <v>390.08600000000001</v>
      </c>
      <c r="P114">
        <v>644.83299999999997</v>
      </c>
      <c r="Q114">
        <v>967.23699999999997</v>
      </c>
      <c r="R114">
        <v>50.209000000000003</v>
      </c>
      <c r="S114">
        <v>2800.4810000000002</v>
      </c>
      <c r="T114">
        <v>3969.7829999999999</v>
      </c>
      <c r="U114">
        <v>5371.0010000000002</v>
      </c>
      <c r="V114">
        <v>3363.0819999999999</v>
      </c>
      <c r="W114">
        <v>2781.873</v>
      </c>
      <c r="X114">
        <v>1102.5</v>
      </c>
      <c r="Y114">
        <v>12.4</v>
      </c>
      <c r="Z114">
        <v>3154.614</v>
      </c>
      <c r="AA114" t="s">
        <v>53</v>
      </c>
      <c r="AB114">
        <v>3</v>
      </c>
      <c r="AC114" t="s">
        <v>468</v>
      </c>
    </row>
    <row r="115" spans="1:29" x14ac:dyDescent="0.3">
      <c r="A115">
        <v>2084</v>
      </c>
      <c r="B115" t="s">
        <v>621</v>
      </c>
      <c r="C115" t="s">
        <v>96</v>
      </c>
      <c r="D115" s="1">
        <v>42401</v>
      </c>
      <c r="E115">
        <v>13</v>
      </c>
      <c r="F115" t="s">
        <v>622</v>
      </c>
      <c r="G115">
        <v>460.62400000000002</v>
      </c>
      <c r="H115">
        <v>877.63300000000004</v>
      </c>
      <c r="I115">
        <v>7495.2169999999996</v>
      </c>
      <c r="J115">
        <v>1457.2339999999999</v>
      </c>
      <c r="K115">
        <v>3462.3719999999998</v>
      </c>
      <c r="L115">
        <v>679.11699999999996</v>
      </c>
      <c r="M115">
        <v>3240.5129999999999</v>
      </c>
      <c r="N115">
        <v>221.85900000000001</v>
      </c>
      <c r="O115">
        <v>646.15099999999995</v>
      </c>
      <c r="P115">
        <v>1497.9739999999999</v>
      </c>
      <c r="Q115">
        <v>139.422</v>
      </c>
      <c r="R115">
        <v>64.81</v>
      </c>
      <c r="S115">
        <v>1997.2729999999999</v>
      </c>
      <c r="T115">
        <v>3379.9349999999999</v>
      </c>
      <c r="U115">
        <v>5014.2340000000004</v>
      </c>
      <c r="V115">
        <v>3071.2910000000002</v>
      </c>
      <c r="W115">
        <v>2039.008</v>
      </c>
      <c r="X115">
        <v>1749.41</v>
      </c>
      <c r="Y115">
        <v>29.06</v>
      </c>
      <c r="Z115">
        <v>2968.4857499999998</v>
      </c>
      <c r="AA115" t="s">
        <v>53</v>
      </c>
      <c r="AB115">
        <v>3</v>
      </c>
      <c r="AC115" t="s">
        <v>468</v>
      </c>
    </row>
    <row r="116" spans="1:29" x14ac:dyDescent="0.3">
      <c r="A116">
        <v>2128</v>
      </c>
      <c r="B116" t="s">
        <v>627</v>
      </c>
      <c r="C116" t="s">
        <v>51</v>
      </c>
      <c r="D116" s="1">
        <v>38149</v>
      </c>
      <c r="E116">
        <v>29</v>
      </c>
      <c r="F116" t="s">
        <v>628</v>
      </c>
      <c r="G116">
        <v>134.81299999999999</v>
      </c>
      <c r="H116">
        <v>296.80900000000003</v>
      </c>
      <c r="I116">
        <v>7357.3450000000003</v>
      </c>
      <c r="J116">
        <v>895.66300000000001</v>
      </c>
      <c r="K116">
        <v>4238.1779999999999</v>
      </c>
      <c r="L116">
        <v>222.05</v>
      </c>
      <c r="M116">
        <v>3097.2069999999999</v>
      </c>
      <c r="N116">
        <v>1140.971</v>
      </c>
      <c r="O116">
        <v>188.63200000000001</v>
      </c>
      <c r="P116">
        <v>380.50599999999997</v>
      </c>
      <c r="Q116">
        <v>386.322</v>
      </c>
      <c r="R116">
        <v>41.284999999999997</v>
      </c>
      <c r="S116">
        <v>2452.3009999999999</v>
      </c>
      <c r="T116">
        <v>3483.529</v>
      </c>
      <c r="U116">
        <v>4640.8220000000001</v>
      </c>
      <c r="V116">
        <v>3601.431</v>
      </c>
      <c r="W116">
        <v>3115.1979999999999</v>
      </c>
      <c r="X116">
        <v>2290.7429999999999</v>
      </c>
      <c r="Y116">
        <v>19.3</v>
      </c>
      <c r="Z116">
        <v>3412.0484999999999</v>
      </c>
      <c r="AA116" t="s">
        <v>53</v>
      </c>
      <c r="AB116">
        <v>3</v>
      </c>
      <c r="AC116" t="s">
        <v>468</v>
      </c>
    </row>
    <row r="117" spans="1:29" x14ac:dyDescent="0.3">
      <c r="A117">
        <v>2217</v>
      </c>
      <c r="B117" t="s">
        <v>645</v>
      </c>
      <c r="C117" t="s">
        <v>96</v>
      </c>
      <c r="D117" s="1">
        <v>36670</v>
      </c>
      <c r="E117">
        <v>21</v>
      </c>
      <c r="F117" t="s">
        <v>646</v>
      </c>
      <c r="G117">
        <v>7.6790000000000003</v>
      </c>
      <c r="H117">
        <v>136.804</v>
      </c>
      <c r="I117">
        <v>7114.6090000000004</v>
      </c>
      <c r="J117">
        <v>288.69600000000003</v>
      </c>
      <c r="K117">
        <v>3432.7339999999999</v>
      </c>
      <c r="L117">
        <v>184.10499999999999</v>
      </c>
      <c r="M117">
        <v>2896.826</v>
      </c>
      <c r="N117">
        <v>535.90800000000002</v>
      </c>
      <c r="O117">
        <v>87.756</v>
      </c>
      <c r="P117">
        <v>726.65700000000004</v>
      </c>
      <c r="Q117">
        <v>669.86400000000003</v>
      </c>
      <c r="R117">
        <v>46.076999999999998</v>
      </c>
      <c r="S117">
        <v>2990.5320000000002</v>
      </c>
      <c r="T117">
        <v>3566.69</v>
      </c>
      <c r="U117">
        <v>4159.3909999999996</v>
      </c>
      <c r="V117">
        <v>3516.576</v>
      </c>
      <c r="W117">
        <v>3025.3420000000001</v>
      </c>
      <c r="X117">
        <v>2525.692</v>
      </c>
      <c r="Y117">
        <v>6.94</v>
      </c>
      <c r="Z117">
        <v>3306.7502500000001</v>
      </c>
      <c r="AA117" t="s">
        <v>53</v>
      </c>
      <c r="AB117">
        <v>3</v>
      </c>
      <c r="AC117" t="s">
        <v>468</v>
      </c>
    </row>
    <row r="118" spans="1:29" x14ac:dyDescent="0.3">
      <c r="A118">
        <v>2220</v>
      </c>
      <c r="B118" t="s">
        <v>647</v>
      </c>
      <c r="C118" t="s">
        <v>55</v>
      </c>
      <c r="D118" s="1">
        <v>40442</v>
      </c>
      <c r="E118">
        <v>9</v>
      </c>
      <c r="F118" t="s">
        <v>648</v>
      </c>
      <c r="G118">
        <v>10.406000000000001</v>
      </c>
      <c r="H118">
        <v>27.725000000000001</v>
      </c>
      <c r="I118">
        <v>7110.88</v>
      </c>
      <c r="J118">
        <v>332.87</v>
      </c>
      <c r="K118">
        <v>5687.5230000000001</v>
      </c>
      <c r="L118">
        <v>0</v>
      </c>
      <c r="M118">
        <v>6009.4650000000001</v>
      </c>
      <c r="N118">
        <v>-321.94200000000001</v>
      </c>
      <c r="O118">
        <v>18.54</v>
      </c>
      <c r="P118">
        <v>680.76599999999996</v>
      </c>
      <c r="Q118">
        <v>5.4749999999999996</v>
      </c>
      <c r="R118">
        <v>1.1060000000000001</v>
      </c>
      <c r="S118">
        <v>3726.0949999999998</v>
      </c>
      <c r="T118">
        <v>6014.94</v>
      </c>
      <c r="U118">
        <v>6368.2889999999998</v>
      </c>
      <c r="V118">
        <v>4058.1350000000002</v>
      </c>
      <c r="W118">
        <v>2054.0140000000001</v>
      </c>
      <c r="X118">
        <v>54.424999999999997</v>
      </c>
      <c r="Y118">
        <v>5.23</v>
      </c>
      <c r="Z118">
        <v>3133.7157499999998</v>
      </c>
      <c r="AA118" t="s">
        <v>53</v>
      </c>
      <c r="AB118">
        <v>3</v>
      </c>
      <c r="AC118" t="s">
        <v>468</v>
      </c>
    </row>
    <row r="119" spans="1:29" x14ac:dyDescent="0.3">
      <c r="A119">
        <v>2246</v>
      </c>
      <c r="B119" t="s">
        <v>649</v>
      </c>
      <c r="C119" t="s">
        <v>55</v>
      </c>
      <c r="D119" s="1">
        <v>41535</v>
      </c>
      <c r="E119">
        <v>3</v>
      </c>
      <c r="F119" t="s">
        <v>650</v>
      </c>
      <c r="G119">
        <v>174.31800000000001</v>
      </c>
      <c r="H119">
        <v>344.48500000000001</v>
      </c>
      <c r="I119">
        <v>7022.2150000000001</v>
      </c>
      <c r="J119">
        <v>311.108</v>
      </c>
      <c r="K119">
        <v>3805.5239999999999</v>
      </c>
      <c r="L119">
        <v>20.957000000000001</v>
      </c>
      <c r="M119">
        <v>3201.636</v>
      </c>
      <c r="N119">
        <v>603.88800000000003</v>
      </c>
      <c r="O119">
        <v>196.833</v>
      </c>
      <c r="P119">
        <v>283.41000000000003</v>
      </c>
      <c r="Q119">
        <v>553.26199999999994</v>
      </c>
      <c r="R119">
        <v>68.045000000000002</v>
      </c>
      <c r="S119">
        <v>2620.279</v>
      </c>
      <c r="T119">
        <v>3754.8980000000001</v>
      </c>
      <c r="U119">
        <v>4090.5239999999999</v>
      </c>
      <c r="V119">
        <v>2940.0160000000001</v>
      </c>
      <c r="W119">
        <v>2068.0569999999998</v>
      </c>
      <c r="X119">
        <v>1442.0930000000001</v>
      </c>
      <c r="Y119">
        <v>7.61</v>
      </c>
      <c r="Z119">
        <v>2635.1725000000001</v>
      </c>
      <c r="AA119" t="s">
        <v>53</v>
      </c>
      <c r="AB119">
        <v>3</v>
      </c>
      <c r="AC119" t="s">
        <v>468</v>
      </c>
    </row>
    <row r="120" spans="1:29" x14ac:dyDescent="0.3">
      <c r="A120">
        <v>2274</v>
      </c>
      <c r="B120" t="s">
        <v>653</v>
      </c>
      <c r="C120" t="s">
        <v>55</v>
      </c>
      <c r="D120" s="1">
        <v>41899</v>
      </c>
      <c r="E120">
        <v>1</v>
      </c>
      <c r="F120" t="s">
        <v>654</v>
      </c>
      <c r="G120">
        <v>3414.9110000000001</v>
      </c>
      <c r="H120">
        <v>541.93299999999999</v>
      </c>
      <c r="I120">
        <v>6937.9009999999998</v>
      </c>
      <c r="J120">
        <v>3471.145</v>
      </c>
      <c r="K120">
        <v>6173.3239999999996</v>
      </c>
      <c r="L120">
        <v>0</v>
      </c>
      <c r="M120">
        <v>5769.0249999999996</v>
      </c>
      <c r="N120">
        <v>404.29899999999998</v>
      </c>
      <c r="O120">
        <v>3609.2139999999999</v>
      </c>
      <c r="P120">
        <v>3045.2550000000001</v>
      </c>
      <c r="Q120">
        <v>0</v>
      </c>
      <c r="R120">
        <v>424.27</v>
      </c>
      <c r="S120">
        <v>907.04600000000005</v>
      </c>
      <c r="T120">
        <v>5769.0249999999996</v>
      </c>
      <c r="U120">
        <v>9260.2929999999997</v>
      </c>
      <c r="V120">
        <v>2714.1370000000002</v>
      </c>
      <c r="W120">
        <v>499.91</v>
      </c>
      <c r="X120">
        <v>149.07599999999999</v>
      </c>
      <c r="Y120">
        <v>37.479999999999997</v>
      </c>
      <c r="Z120">
        <v>3155.8539999999998</v>
      </c>
      <c r="AA120" t="s">
        <v>53</v>
      </c>
      <c r="AB120">
        <v>3</v>
      </c>
      <c r="AC120" t="s">
        <v>468</v>
      </c>
    </row>
    <row r="121" spans="1:29" x14ac:dyDescent="0.3">
      <c r="A121">
        <v>2310</v>
      </c>
      <c r="B121" t="s">
        <v>659</v>
      </c>
      <c r="C121" t="s">
        <v>96</v>
      </c>
      <c r="D121" s="1">
        <v>37629</v>
      </c>
      <c r="E121">
        <v>17</v>
      </c>
      <c r="F121" t="s">
        <v>660</v>
      </c>
      <c r="G121">
        <v>96.043000000000006</v>
      </c>
      <c r="H121">
        <v>206.39099999999999</v>
      </c>
      <c r="I121">
        <v>6813.21</v>
      </c>
      <c r="J121">
        <v>288.91399999999999</v>
      </c>
      <c r="K121">
        <v>4937.9059999999999</v>
      </c>
      <c r="L121">
        <v>2750.2</v>
      </c>
      <c r="M121">
        <v>4157.8580000000002</v>
      </c>
      <c r="N121">
        <v>780.048</v>
      </c>
      <c r="O121">
        <v>138.04599999999999</v>
      </c>
      <c r="P121">
        <v>115.197</v>
      </c>
      <c r="Q121">
        <v>280.476</v>
      </c>
      <c r="R121">
        <v>46.671999999999997</v>
      </c>
      <c r="S121">
        <v>1820.1130000000001</v>
      </c>
      <c r="T121">
        <v>4438.3339999999998</v>
      </c>
      <c r="U121">
        <v>5078.3819999999996</v>
      </c>
      <c r="V121">
        <v>2391.7959999999998</v>
      </c>
      <c r="W121">
        <v>2996.4479999999999</v>
      </c>
      <c r="X121">
        <v>2360.0349999999999</v>
      </c>
      <c r="Y121">
        <v>5.69</v>
      </c>
      <c r="Z121">
        <v>3206.66525</v>
      </c>
      <c r="AA121" t="s">
        <v>53</v>
      </c>
      <c r="AB121">
        <v>3</v>
      </c>
      <c r="AC121" t="s">
        <v>468</v>
      </c>
    </row>
    <row r="122" spans="1:29" x14ac:dyDescent="0.3">
      <c r="A122">
        <v>3336</v>
      </c>
      <c r="B122" t="s">
        <v>677</v>
      </c>
      <c r="C122" t="s">
        <v>55</v>
      </c>
      <c r="D122" s="1">
        <v>43650</v>
      </c>
      <c r="E122">
        <v>54</v>
      </c>
      <c r="F122" t="s">
        <v>678</v>
      </c>
      <c r="G122">
        <v>204.755</v>
      </c>
      <c r="H122">
        <v>403.63200000000001</v>
      </c>
      <c r="I122">
        <v>4769.2290000000003</v>
      </c>
      <c r="J122">
        <v>621.59400000000005</v>
      </c>
      <c r="K122">
        <v>2373.598</v>
      </c>
      <c r="L122">
        <v>349.48899999999998</v>
      </c>
      <c r="M122">
        <v>1180.7650000000001</v>
      </c>
      <c r="N122">
        <v>1192.8330000000001</v>
      </c>
      <c r="O122">
        <v>230.124</v>
      </c>
      <c r="P122">
        <v>519.90800000000002</v>
      </c>
      <c r="Q122">
        <v>994.57899999999995</v>
      </c>
      <c r="R122">
        <v>33.661999999999999</v>
      </c>
      <c r="S122">
        <v>1010.647</v>
      </c>
      <c r="T122">
        <v>2175.3440000000001</v>
      </c>
      <c r="U122">
        <v>2893.5059999999999</v>
      </c>
      <c r="V122">
        <v>1469.1980000000001</v>
      </c>
      <c r="W122">
        <v>623.76499999999999</v>
      </c>
      <c r="X122">
        <v>51.728000000000002</v>
      </c>
      <c r="Y122">
        <v>21.48</v>
      </c>
      <c r="Z122">
        <v>1259.54925</v>
      </c>
      <c r="AA122" t="s">
        <v>53</v>
      </c>
      <c r="AB122">
        <v>2</v>
      </c>
      <c r="AC122" t="s">
        <v>468</v>
      </c>
    </row>
    <row r="123" spans="1:29" x14ac:dyDescent="0.3">
      <c r="A123">
        <v>4199</v>
      </c>
      <c r="B123" t="s">
        <v>695</v>
      </c>
      <c r="C123" t="s">
        <v>55</v>
      </c>
      <c r="D123" s="1">
        <v>41915</v>
      </c>
      <c r="E123">
        <v>0</v>
      </c>
      <c r="F123" t="s">
        <v>696</v>
      </c>
      <c r="G123">
        <v>52.192999999999998</v>
      </c>
      <c r="H123">
        <v>104.36499999999999</v>
      </c>
      <c r="I123">
        <v>3837.8780000000002</v>
      </c>
      <c r="J123">
        <v>352.017</v>
      </c>
      <c r="K123">
        <v>1177.914</v>
      </c>
      <c r="L123">
        <v>0</v>
      </c>
      <c r="M123">
        <v>871.08199999999999</v>
      </c>
      <c r="N123">
        <v>306.83199999999999</v>
      </c>
      <c r="O123">
        <v>72.519000000000005</v>
      </c>
      <c r="P123">
        <v>100.19199999999999</v>
      </c>
      <c r="Q123">
        <v>55.984000000000002</v>
      </c>
      <c r="R123">
        <v>2.7669999999999999</v>
      </c>
      <c r="S123">
        <v>909.00599999999997</v>
      </c>
      <c r="T123">
        <v>927.06600000000003</v>
      </c>
      <c r="U123">
        <v>1279.135</v>
      </c>
      <c r="V123">
        <v>1208.9179999999999</v>
      </c>
      <c r="W123">
        <v>382.81400000000002</v>
      </c>
      <c r="X123">
        <v>253.43299999999999</v>
      </c>
      <c r="Y123">
        <v>27.52</v>
      </c>
      <c r="Z123">
        <v>781.07500000000005</v>
      </c>
      <c r="AA123" t="s">
        <v>53</v>
      </c>
      <c r="AB123">
        <v>2</v>
      </c>
      <c r="AC123" t="s">
        <v>468</v>
      </c>
    </row>
    <row r="124" spans="1:29" x14ac:dyDescent="0.3">
      <c r="A124">
        <v>4405</v>
      </c>
      <c r="B124" t="s">
        <v>703</v>
      </c>
      <c r="C124" t="s">
        <v>162</v>
      </c>
      <c r="D124" s="1">
        <v>44022</v>
      </c>
      <c r="E124">
        <v>20</v>
      </c>
      <c r="F124" t="s">
        <v>704</v>
      </c>
      <c r="G124">
        <v>-55.173999999999999</v>
      </c>
      <c r="H124">
        <v>462.10399999999998</v>
      </c>
      <c r="I124">
        <v>3682.45</v>
      </c>
      <c r="J124">
        <v>209.24</v>
      </c>
      <c r="K124">
        <v>2189.2689999999998</v>
      </c>
      <c r="L124">
        <v>65</v>
      </c>
      <c r="M124">
        <v>1878.875</v>
      </c>
      <c r="N124">
        <v>310.39400000000001</v>
      </c>
      <c r="O124">
        <v>337.07900000000001</v>
      </c>
      <c r="P124">
        <v>132.22200000000001</v>
      </c>
      <c r="Q124">
        <v>207</v>
      </c>
      <c r="R124">
        <v>9.8030000000000008</v>
      </c>
      <c r="S124">
        <v>835.86400000000003</v>
      </c>
      <c r="T124">
        <v>2085.875</v>
      </c>
      <c r="U124">
        <v>2341.9580000000001</v>
      </c>
      <c r="V124">
        <v>1113.0450000000001</v>
      </c>
      <c r="W124">
        <v>1099.7380000000001</v>
      </c>
      <c r="X124">
        <v>31.388000000000002</v>
      </c>
      <c r="Y124">
        <v>8.93</v>
      </c>
      <c r="Z124">
        <v>1146.53225</v>
      </c>
      <c r="AA124" t="s">
        <v>53</v>
      </c>
      <c r="AB124">
        <v>2</v>
      </c>
      <c r="AC124" t="s">
        <v>468</v>
      </c>
    </row>
    <row r="125" spans="1:29" x14ac:dyDescent="0.3">
      <c r="A125">
        <v>4471</v>
      </c>
      <c r="B125" t="s">
        <v>713</v>
      </c>
      <c r="C125" t="s">
        <v>96</v>
      </c>
      <c r="D125" s="1">
        <v>42144</v>
      </c>
      <c r="E125">
        <v>6</v>
      </c>
      <c r="F125" t="s">
        <v>714</v>
      </c>
      <c r="G125">
        <v>30.004999999999999</v>
      </c>
      <c r="H125">
        <v>121.032</v>
      </c>
      <c r="I125">
        <v>3630.2139999999999</v>
      </c>
      <c r="J125">
        <v>267.04199999999997</v>
      </c>
      <c r="K125">
        <v>1199.019</v>
      </c>
      <c r="L125">
        <v>25.308</v>
      </c>
      <c r="M125">
        <v>902.73599999999999</v>
      </c>
      <c r="N125">
        <v>296.28300000000002</v>
      </c>
      <c r="O125">
        <v>45.326999999999998</v>
      </c>
      <c r="P125">
        <v>52.372999999999998</v>
      </c>
      <c r="Q125">
        <v>35.399000000000001</v>
      </c>
      <c r="R125">
        <v>33.445</v>
      </c>
      <c r="S125">
        <v>950.33299999999997</v>
      </c>
      <c r="T125">
        <v>938.13499999999999</v>
      </c>
      <c r="U125">
        <v>1253.0889999999999</v>
      </c>
      <c r="V125">
        <v>1226.404</v>
      </c>
      <c r="W125">
        <v>800.01800000000003</v>
      </c>
      <c r="X125">
        <v>975.61599999999999</v>
      </c>
      <c r="Y125">
        <v>21.31</v>
      </c>
      <c r="Z125">
        <v>1063.7817500000001</v>
      </c>
      <c r="AA125" t="s">
        <v>53</v>
      </c>
      <c r="AB125">
        <v>2</v>
      </c>
      <c r="AC125" t="s">
        <v>468</v>
      </c>
    </row>
    <row r="126" spans="1:29" x14ac:dyDescent="0.3">
      <c r="A126">
        <v>4679</v>
      </c>
      <c r="B126" t="s">
        <v>729</v>
      </c>
      <c r="C126" t="s">
        <v>55</v>
      </c>
      <c r="D126" s="1">
        <v>42037</v>
      </c>
      <c r="E126">
        <v>17</v>
      </c>
      <c r="F126" t="s">
        <v>730</v>
      </c>
      <c r="G126">
        <v>93.477000000000004</v>
      </c>
      <c r="H126">
        <v>289.91899999999998</v>
      </c>
      <c r="I126">
        <v>3478.33</v>
      </c>
      <c r="J126">
        <v>232.71899999999999</v>
      </c>
      <c r="K126">
        <v>504.976</v>
      </c>
      <c r="L126">
        <v>0</v>
      </c>
      <c r="M126">
        <v>672.07100000000003</v>
      </c>
      <c r="N126">
        <v>-167.095</v>
      </c>
      <c r="O126">
        <v>191.172</v>
      </c>
      <c r="P126">
        <v>872.92100000000005</v>
      </c>
      <c r="Q126">
        <v>380.43400000000003</v>
      </c>
      <c r="R126">
        <v>36.137999999999998</v>
      </c>
      <c r="S126">
        <v>637.67999999999995</v>
      </c>
      <c r="T126">
        <v>1052.5050000000001</v>
      </c>
      <c r="U126">
        <v>1377.8969999999999</v>
      </c>
      <c r="V126">
        <v>843.51300000000003</v>
      </c>
      <c r="W126">
        <v>776.47199999999998</v>
      </c>
      <c r="X126">
        <v>536.60900000000004</v>
      </c>
      <c r="Y126">
        <v>16.89</v>
      </c>
      <c r="Z126">
        <v>883.62275</v>
      </c>
      <c r="AA126" t="s">
        <v>53</v>
      </c>
      <c r="AB126">
        <v>2</v>
      </c>
      <c r="AC126" t="s">
        <v>468</v>
      </c>
    </row>
    <row r="127" spans="1:29" x14ac:dyDescent="0.3">
      <c r="A127">
        <v>4704</v>
      </c>
      <c r="B127" t="s">
        <v>731</v>
      </c>
      <c r="C127" t="s">
        <v>55</v>
      </c>
      <c r="D127" s="1">
        <v>43426</v>
      </c>
      <c r="E127">
        <v>1</v>
      </c>
      <c r="F127" t="s">
        <v>732</v>
      </c>
      <c r="G127">
        <v>75.787000000000006</v>
      </c>
      <c r="H127">
        <v>151.04</v>
      </c>
      <c r="I127">
        <v>3462.2559999999999</v>
      </c>
      <c r="J127">
        <v>229.49799999999999</v>
      </c>
      <c r="K127">
        <v>993.84400000000005</v>
      </c>
      <c r="L127">
        <v>472.53</v>
      </c>
      <c r="M127">
        <v>865.70100000000002</v>
      </c>
      <c r="N127">
        <v>128.143</v>
      </c>
      <c r="O127">
        <v>91.894000000000005</v>
      </c>
      <c r="P127">
        <v>459.02499999999998</v>
      </c>
      <c r="Q127">
        <v>355.19600000000003</v>
      </c>
      <c r="R127">
        <v>14.82</v>
      </c>
      <c r="S127">
        <v>492.26900000000001</v>
      </c>
      <c r="T127">
        <v>1220.8969999999999</v>
      </c>
      <c r="U127">
        <v>1452.8689999999999</v>
      </c>
      <c r="V127">
        <v>647.87</v>
      </c>
      <c r="W127">
        <v>483.31900000000002</v>
      </c>
      <c r="X127">
        <v>311.33800000000002</v>
      </c>
      <c r="Y127">
        <v>15.8</v>
      </c>
      <c r="Z127">
        <v>723.84900000000005</v>
      </c>
      <c r="AA127" t="s">
        <v>53</v>
      </c>
      <c r="AB127">
        <v>2</v>
      </c>
      <c r="AC127" t="s">
        <v>468</v>
      </c>
    </row>
    <row r="128" spans="1:29" x14ac:dyDescent="0.3">
      <c r="A128">
        <v>4879</v>
      </c>
      <c r="B128" t="s">
        <v>737</v>
      </c>
      <c r="C128" t="s">
        <v>96</v>
      </c>
      <c r="D128" s="1">
        <v>43062</v>
      </c>
      <c r="E128">
        <v>18</v>
      </c>
      <c r="F128" t="s">
        <v>738</v>
      </c>
      <c r="G128">
        <v>76.067999999999998</v>
      </c>
      <c r="H128">
        <v>371.82900000000001</v>
      </c>
      <c r="I128">
        <v>3335.683</v>
      </c>
      <c r="J128">
        <v>496.52199999999999</v>
      </c>
      <c r="K128">
        <v>1295.509</v>
      </c>
      <c r="L128">
        <v>20.875</v>
      </c>
      <c r="M128">
        <v>847.08299999999997</v>
      </c>
      <c r="N128">
        <v>448.42599999999999</v>
      </c>
      <c r="O128">
        <v>247.93100000000001</v>
      </c>
      <c r="P128">
        <v>701.04700000000003</v>
      </c>
      <c r="Q128">
        <v>481.584</v>
      </c>
      <c r="R128">
        <v>80.703000000000003</v>
      </c>
      <c r="S128">
        <v>1237.1510000000001</v>
      </c>
      <c r="T128">
        <v>1328.6669999999999</v>
      </c>
      <c r="U128">
        <v>2052.7539999999999</v>
      </c>
      <c r="V128">
        <v>1703.6410000000001</v>
      </c>
      <c r="W128">
        <v>846.33500000000004</v>
      </c>
      <c r="X128">
        <v>551.24699999999996</v>
      </c>
      <c r="Y128">
        <v>24.19</v>
      </c>
      <c r="Z128">
        <v>1288.49425</v>
      </c>
      <c r="AA128" t="s">
        <v>53</v>
      </c>
      <c r="AB128">
        <v>2</v>
      </c>
      <c r="AC128" t="s">
        <v>468</v>
      </c>
    </row>
    <row r="129" spans="1:29" x14ac:dyDescent="0.3">
      <c r="A129">
        <v>5055</v>
      </c>
      <c r="B129" t="s">
        <v>745</v>
      </c>
      <c r="C129" t="s">
        <v>96</v>
      </c>
      <c r="D129" s="1">
        <v>38806</v>
      </c>
      <c r="E129">
        <v>12</v>
      </c>
      <c r="F129" t="s">
        <v>746</v>
      </c>
      <c r="G129">
        <v>3.0579999999999998</v>
      </c>
      <c r="H129">
        <v>44.573999999999998</v>
      </c>
      <c r="I129">
        <v>3230.279</v>
      </c>
      <c r="J129">
        <v>26.533000000000001</v>
      </c>
      <c r="K129">
        <v>860.48400000000004</v>
      </c>
      <c r="L129">
        <v>24.27</v>
      </c>
      <c r="M129">
        <v>980.01800000000003</v>
      </c>
      <c r="N129">
        <v>-119.53400000000001</v>
      </c>
      <c r="O129">
        <v>4.1269999999999998</v>
      </c>
      <c r="P129">
        <v>231.18100000000001</v>
      </c>
      <c r="Q129">
        <v>0</v>
      </c>
      <c r="R129">
        <v>19.524999999999999</v>
      </c>
      <c r="S129">
        <v>745.51900000000001</v>
      </c>
      <c r="T129">
        <v>980.01800000000003</v>
      </c>
      <c r="U129">
        <v>1148.7760000000001</v>
      </c>
      <c r="V129">
        <v>943.84699999999998</v>
      </c>
      <c r="W129">
        <v>1371.998</v>
      </c>
      <c r="X129">
        <v>513.28800000000001</v>
      </c>
      <c r="Y129">
        <v>2.31</v>
      </c>
      <c r="Z129">
        <v>994.47725000000003</v>
      </c>
      <c r="AA129" t="s">
        <v>53</v>
      </c>
      <c r="AB129">
        <v>2</v>
      </c>
      <c r="AC129" t="s">
        <v>468</v>
      </c>
    </row>
    <row r="130" spans="1:29" x14ac:dyDescent="0.3">
      <c r="A130">
        <v>5161</v>
      </c>
      <c r="B130" t="s">
        <v>749</v>
      </c>
      <c r="C130" t="s">
        <v>55</v>
      </c>
      <c r="D130" s="1">
        <v>43731</v>
      </c>
      <c r="E130">
        <v>24</v>
      </c>
      <c r="F130" t="s">
        <v>750</v>
      </c>
      <c r="G130">
        <v>72.224999999999994</v>
      </c>
      <c r="H130">
        <v>268.661</v>
      </c>
      <c r="I130">
        <v>3153.9050000000002</v>
      </c>
      <c r="J130">
        <v>181.24700000000001</v>
      </c>
      <c r="K130">
        <v>1393.1279999999999</v>
      </c>
      <c r="L130">
        <v>0</v>
      </c>
      <c r="M130">
        <v>1213.742</v>
      </c>
      <c r="N130">
        <v>179.386</v>
      </c>
      <c r="O130">
        <v>181.71</v>
      </c>
      <c r="P130">
        <v>644.79899999999998</v>
      </c>
      <c r="Q130">
        <v>519.97699999999998</v>
      </c>
      <c r="R130">
        <v>42.835000000000001</v>
      </c>
      <c r="S130">
        <v>664.57299999999998</v>
      </c>
      <c r="T130">
        <v>1733.7190000000001</v>
      </c>
      <c r="U130">
        <v>2049.7379999999998</v>
      </c>
      <c r="V130">
        <v>845.07799999999997</v>
      </c>
      <c r="W130">
        <v>480.08</v>
      </c>
      <c r="X130">
        <v>157.834</v>
      </c>
      <c r="Y130">
        <v>8.84</v>
      </c>
      <c r="Z130">
        <v>883.1825</v>
      </c>
      <c r="AA130" t="s">
        <v>53</v>
      </c>
      <c r="AB130">
        <v>2</v>
      </c>
      <c r="AC130" t="s">
        <v>468</v>
      </c>
    </row>
    <row r="131" spans="1:29" x14ac:dyDescent="0.3">
      <c r="A131">
        <v>5223</v>
      </c>
      <c r="B131" t="s">
        <v>751</v>
      </c>
      <c r="C131" t="s">
        <v>55</v>
      </c>
      <c r="D131" s="1">
        <v>42773</v>
      </c>
      <c r="E131">
        <v>17</v>
      </c>
      <c r="F131" t="s">
        <v>752</v>
      </c>
      <c r="G131">
        <v>31.425000000000001</v>
      </c>
      <c r="H131">
        <v>89.942999999999998</v>
      </c>
      <c r="I131">
        <v>3112.2249999999999</v>
      </c>
      <c r="J131">
        <v>89.992000000000004</v>
      </c>
      <c r="K131">
        <v>1792.115</v>
      </c>
      <c r="L131">
        <v>0</v>
      </c>
      <c r="M131">
        <v>1387.69</v>
      </c>
      <c r="N131">
        <v>404.42500000000001</v>
      </c>
      <c r="O131">
        <v>37.795000000000002</v>
      </c>
      <c r="P131">
        <v>30.716000000000001</v>
      </c>
      <c r="Q131">
        <v>324.16899999999998</v>
      </c>
      <c r="R131">
        <v>15.007999999999999</v>
      </c>
      <c r="S131">
        <v>614.99599999999998</v>
      </c>
      <c r="T131">
        <v>1711.8589999999999</v>
      </c>
      <c r="U131">
        <v>1830.979</v>
      </c>
      <c r="V131">
        <v>696.93</v>
      </c>
      <c r="W131">
        <v>940.05600000000004</v>
      </c>
      <c r="X131">
        <v>196.27099999999999</v>
      </c>
      <c r="Y131">
        <v>4.91</v>
      </c>
      <c r="Z131">
        <v>916.05899999999997</v>
      </c>
      <c r="AA131" t="s">
        <v>53</v>
      </c>
      <c r="AB131">
        <v>2</v>
      </c>
      <c r="AC131" t="s">
        <v>468</v>
      </c>
    </row>
    <row r="132" spans="1:29" x14ac:dyDescent="0.3">
      <c r="A132">
        <v>5291</v>
      </c>
      <c r="B132" t="s">
        <v>753</v>
      </c>
      <c r="C132" t="s">
        <v>55</v>
      </c>
      <c r="D132" s="1">
        <v>41591</v>
      </c>
      <c r="E132">
        <v>6</v>
      </c>
      <c r="F132" t="s">
        <v>754</v>
      </c>
      <c r="G132">
        <v>86.683000000000007</v>
      </c>
      <c r="H132">
        <v>158.97399999999999</v>
      </c>
      <c r="I132">
        <v>3076.42</v>
      </c>
      <c r="J132">
        <v>702.34400000000005</v>
      </c>
      <c r="K132">
        <v>1645.7550000000001</v>
      </c>
      <c r="L132">
        <v>0</v>
      </c>
      <c r="M132">
        <v>1024.537</v>
      </c>
      <c r="N132">
        <v>621.21799999999996</v>
      </c>
      <c r="O132">
        <v>115.416</v>
      </c>
      <c r="P132">
        <v>120.17100000000001</v>
      </c>
      <c r="Q132">
        <v>0</v>
      </c>
      <c r="R132">
        <v>0.57799999999999996</v>
      </c>
      <c r="S132">
        <v>698.39700000000005</v>
      </c>
      <c r="T132">
        <v>1024.537</v>
      </c>
      <c r="U132">
        <v>1780.098</v>
      </c>
      <c r="V132">
        <v>1351.8040000000001</v>
      </c>
      <c r="W132">
        <v>814.77700000000004</v>
      </c>
      <c r="X132">
        <v>622.82600000000002</v>
      </c>
      <c r="Y132">
        <v>39.46</v>
      </c>
      <c r="Z132">
        <v>1142.37625</v>
      </c>
      <c r="AA132" t="s">
        <v>53</v>
      </c>
      <c r="AB132">
        <v>2</v>
      </c>
      <c r="AC132" t="s">
        <v>468</v>
      </c>
    </row>
    <row r="133" spans="1:29" x14ac:dyDescent="0.3">
      <c r="A133">
        <v>5589</v>
      </c>
      <c r="B133" t="s">
        <v>759</v>
      </c>
      <c r="C133" t="s">
        <v>55</v>
      </c>
      <c r="D133" s="1">
        <v>37207</v>
      </c>
      <c r="E133">
        <v>9</v>
      </c>
      <c r="F133" t="s">
        <v>760</v>
      </c>
      <c r="G133">
        <v>57.789000000000001</v>
      </c>
      <c r="H133">
        <v>342.95800000000003</v>
      </c>
      <c r="I133">
        <v>2911.0250000000001</v>
      </c>
      <c r="J133">
        <v>764.173</v>
      </c>
      <c r="K133">
        <v>1187.4059999999999</v>
      </c>
      <c r="L133">
        <v>29.5</v>
      </c>
      <c r="M133">
        <v>611.90899999999999</v>
      </c>
      <c r="N133">
        <v>575.49699999999996</v>
      </c>
      <c r="O133">
        <v>292.113</v>
      </c>
      <c r="P133">
        <v>339.68</v>
      </c>
      <c r="Q133">
        <v>113.27200000000001</v>
      </c>
      <c r="R133">
        <v>6.2030000000000003</v>
      </c>
      <c r="S133">
        <v>501.87200000000001</v>
      </c>
      <c r="T133">
        <v>725.18100000000004</v>
      </c>
      <c r="U133">
        <v>1538.779</v>
      </c>
      <c r="V133">
        <v>1322.49</v>
      </c>
      <c r="W133">
        <v>1162.9010000000001</v>
      </c>
      <c r="X133">
        <v>1197.173</v>
      </c>
      <c r="Y133">
        <v>49.66</v>
      </c>
      <c r="Z133">
        <v>1305.33575</v>
      </c>
      <c r="AA133" t="s">
        <v>53</v>
      </c>
      <c r="AB133">
        <v>2</v>
      </c>
      <c r="AC133" t="s">
        <v>468</v>
      </c>
    </row>
    <row r="134" spans="1:29" x14ac:dyDescent="0.3">
      <c r="A134">
        <v>5717</v>
      </c>
      <c r="B134" t="s">
        <v>763</v>
      </c>
      <c r="C134" t="s">
        <v>55</v>
      </c>
      <c r="D134" s="1">
        <v>40563</v>
      </c>
      <c r="E134">
        <v>1</v>
      </c>
      <c r="F134" t="s">
        <v>764</v>
      </c>
      <c r="G134">
        <v>65.144000000000005</v>
      </c>
      <c r="H134">
        <v>67.081999999999994</v>
      </c>
      <c r="I134">
        <v>2856.4270000000001</v>
      </c>
      <c r="J134">
        <v>363.47300000000001</v>
      </c>
      <c r="K134">
        <v>1950.3389999999999</v>
      </c>
      <c r="L134">
        <v>0</v>
      </c>
      <c r="M134">
        <v>756.00900000000001</v>
      </c>
      <c r="N134">
        <v>1194.33</v>
      </c>
      <c r="O134">
        <v>66.814999999999998</v>
      </c>
      <c r="P134">
        <v>21.49</v>
      </c>
      <c r="Q134">
        <v>15.635999999999999</v>
      </c>
      <c r="R134">
        <v>0.26700000000000002</v>
      </c>
      <c r="S134">
        <v>584.46</v>
      </c>
      <c r="T134">
        <v>771.64499999999998</v>
      </c>
      <c r="U134">
        <v>1971.829</v>
      </c>
      <c r="V134">
        <v>1028.5360000000001</v>
      </c>
      <c r="W134">
        <v>721.01400000000001</v>
      </c>
      <c r="X134">
        <v>367.54500000000002</v>
      </c>
      <c r="Y134">
        <v>18.43</v>
      </c>
      <c r="Z134">
        <v>1022.231</v>
      </c>
      <c r="AA134" t="s">
        <v>53</v>
      </c>
      <c r="AB134">
        <v>2</v>
      </c>
      <c r="AC134" t="s">
        <v>468</v>
      </c>
    </row>
    <row r="135" spans="1:29" x14ac:dyDescent="0.3">
      <c r="A135">
        <v>5773</v>
      </c>
      <c r="B135" t="s">
        <v>767</v>
      </c>
      <c r="C135" t="s">
        <v>51</v>
      </c>
      <c r="D135" s="1">
        <v>36574</v>
      </c>
      <c r="E135">
        <v>11</v>
      </c>
      <c r="F135" t="s">
        <v>768</v>
      </c>
      <c r="G135">
        <v>3.9249999999999998</v>
      </c>
      <c r="H135">
        <v>112.301</v>
      </c>
      <c r="I135">
        <v>2827.8339999999998</v>
      </c>
      <c r="J135">
        <v>175.67099999999999</v>
      </c>
      <c r="K135">
        <v>1389.4490000000001</v>
      </c>
      <c r="L135">
        <v>134.84700000000001</v>
      </c>
      <c r="M135">
        <v>983.28499999999997</v>
      </c>
      <c r="N135">
        <v>406.16399999999999</v>
      </c>
      <c r="O135">
        <v>46.03</v>
      </c>
      <c r="P135">
        <v>133.24299999999999</v>
      </c>
      <c r="Q135">
        <v>206.54599999999999</v>
      </c>
      <c r="R135">
        <v>15.052</v>
      </c>
      <c r="S135">
        <v>684.68200000000002</v>
      </c>
      <c r="T135">
        <v>1189.8309999999999</v>
      </c>
      <c r="U135">
        <v>1535.116</v>
      </c>
      <c r="V135">
        <v>1009.921</v>
      </c>
      <c r="W135">
        <v>960.35199999999998</v>
      </c>
      <c r="X135">
        <v>963.37699999999995</v>
      </c>
      <c r="Y135">
        <v>11.44</v>
      </c>
      <c r="Z135">
        <v>1117.1914999999999</v>
      </c>
      <c r="AA135" t="s">
        <v>53</v>
      </c>
      <c r="AB135">
        <v>2</v>
      </c>
      <c r="AC135" t="s">
        <v>468</v>
      </c>
    </row>
    <row r="136" spans="1:29" x14ac:dyDescent="0.3">
      <c r="A136">
        <v>5792</v>
      </c>
      <c r="B136" t="s">
        <v>769</v>
      </c>
      <c r="C136" t="s">
        <v>162</v>
      </c>
      <c r="D136" s="1">
        <v>44050</v>
      </c>
      <c r="E136">
        <v>3</v>
      </c>
      <c r="F136" t="s">
        <v>770</v>
      </c>
      <c r="G136">
        <v>29.911999999999999</v>
      </c>
      <c r="H136">
        <v>89.864999999999995</v>
      </c>
      <c r="I136">
        <v>2820.5340000000001</v>
      </c>
      <c r="J136">
        <v>204.46600000000001</v>
      </c>
      <c r="K136">
        <v>1657.049</v>
      </c>
      <c r="L136">
        <v>170.96</v>
      </c>
      <c r="M136">
        <v>1281.894</v>
      </c>
      <c r="N136">
        <v>375.15499999999997</v>
      </c>
      <c r="O136">
        <v>34.026000000000003</v>
      </c>
      <c r="P136">
        <v>12.612</v>
      </c>
      <c r="Q136">
        <v>171.393</v>
      </c>
      <c r="R136">
        <v>35.164999999999999</v>
      </c>
      <c r="S136">
        <v>1072.6369999999999</v>
      </c>
      <c r="T136">
        <v>1453.287</v>
      </c>
      <c r="U136">
        <v>1670.549</v>
      </c>
      <c r="V136">
        <v>1258.806</v>
      </c>
      <c r="W136">
        <v>599.48800000000006</v>
      </c>
      <c r="X136">
        <v>141.43700000000001</v>
      </c>
      <c r="Y136">
        <v>12.24</v>
      </c>
      <c r="Z136">
        <v>917.57</v>
      </c>
      <c r="AA136" t="s">
        <v>53</v>
      </c>
      <c r="AB136">
        <v>2</v>
      </c>
      <c r="AC136" t="s">
        <v>468</v>
      </c>
    </row>
    <row r="137" spans="1:29" x14ac:dyDescent="0.3">
      <c r="A137">
        <v>6259</v>
      </c>
      <c r="B137" t="s">
        <v>779</v>
      </c>
      <c r="C137" t="s">
        <v>55</v>
      </c>
      <c r="D137" s="1">
        <v>42658</v>
      </c>
      <c r="E137">
        <v>8</v>
      </c>
      <c r="F137" t="s">
        <v>780</v>
      </c>
      <c r="G137">
        <v>29.779</v>
      </c>
      <c r="H137">
        <v>53.875999999999998</v>
      </c>
      <c r="I137">
        <v>2617.4</v>
      </c>
      <c r="J137">
        <v>217.19900000000001</v>
      </c>
      <c r="K137">
        <v>494.82400000000001</v>
      </c>
      <c r="L137">
        <v>0</v>
      </c>
      <c r="M137">
        <v>283.27199999999999</v>
      </c>
      <c r="N137">
        <v>211.55199999999999</v>
      </c>
      <c r="O137">
        <v>29.867000000000001</v>
      </c>
      <c r="P137">
        <v>0.621</v>
      </c>
      <c r="Q137">
        <v>0</v>
      </c>
      <c r="R137">
        <v>5.2999999999999999E-2</v>
      </c>
      <c r="S137">
        <v>23.311</v>
      </c>
      <c r="T137">
        <v>283.27199999999999</v>
      </c>
      <c r="U137">
        <v>512.18100000000004</v>
      </c>
      <c r="V137">
        <v>216.33199999999999</v>
      </c>
      <c r="W137">
        <v>250.05099999999999</v>
      </c>
      <c r="X137">
        <v>176.72</v>
      </c>
      <c r="Y137">
        <v>42.41</v>
      </c>
      <c r="Z137">
        <v>288.82100000000003</v>
      </c>
      <c r="AA137" t="s">
        <v>53</v>
      </c>
      <c r="AB137">
        <v>1</v>
      </c>
      <c r="AC137" t="s">
        <v>468</v>
      </c>
    </row>
    <row r="138" spans="1:29" x14ac:dyDescent="0.3">
      <c r="A138">
        <v>6723</v>
      </c>
      <c r="B138" t="s">
        <v>783</v>
      </c>
      <c r="C138" t="s">
        <v>55</v>
      </c>
      <c r="D138" s="1">
        <v>39839</v>
      </c>
      <c r="E138">
        <v>5</v>
      </c>
      <c r="F138" t="s">
        <v>784</v>
      </c>
      <c r="G138">
        <v>28.196000000000002</v>
      </c>
      <c r="H138">
        <v>44.843000000000004</v>
      </c>
      <c r="I138">
        <v>2434.6089999999999</v>
      </c>
      <c r="J138">
        <v>136.47499999999999</v>
      </c>
      <c r="K138">
        <v>429.59100000000001</v>
      </c>
      <c r="L138">
        <v>101.79900000000001</v>
      </c>
      <c r="M138">
        <v>198.649</v>
      </c>
      <c r="N138">
        <v>230.94200000000001</v>
      </c>
      <c r="O138">
        <v>29.51</v>
      </c>
      <c r="P138">
        <v>5.8019999999999996</v>
      </c>
      <c r="Q138">
        <v>101.14400000000001</v>
      </c>
      <c r="R138">
        <v>2.1120000000000001</v>
      </c>
      <c r="S138">
        <v>153.77199999999999</v>
      </c>
      <c r="T138">
        <v>299.79300000000001</v>
      </c>
      <c r="U138">
        <v>448.05200000000002</v>
      </c>
      <c r="V138">
        <v>268.86799999999999</v>
      </c>
      <c r="W138">
        <v>211.952</v>
      </c>
      <c r="X138">
        <v>136.184</v>
      </c>
      <c r="Y138">
        <v>30.46</v>
      </c>
      <c r="Z138">
        <v>266.26400000000001</v>
      </c>
      <c r="AA138" t="s">
        <v>53</v>
      </c>
      <c r="AB138">
        <v>1</v>
      </c>
      <c r="AC138" t="s">
        <v>468</v>
      </c>
    </row>
    <row r="139" spans="1:29" x14ac:dyDescent="0.3">
      <c r="A139">
        <v>6951</v>
      </c>
      <c r="B139" t="s">
        <v>787</v>
      </c>
      <c r="C139" t="s">
        <v>96</v>
      </c>
      <c r="D139" s="1">
        <v>40161</v>
      </c>
      <c r="E139">
        <v>5</v>
      </c>
      <c r="F139" t="s">
        <v>788</v>
      </c>
      <c r="G139">
        <v>13.436999999999999</v>
      </c>
      <c r="H139">
        <v>34.74</v>
      </c>
      <c r="I139">
        <v>2349.91</v>
      </c>
      <c r="J139">
        <v>65.762</v>
      </c>
      <c r="K139">
        <v>794.49900000000002</v>
      </c>
      <c r="L139">
        <v>2.0680000000000001</v>
      </c>
      <c r="M139">
        <v>680.88</v>
      </c>
      <c r="N139">
        <v>113.619</v>
      </c>
      <c r="O139">
        <v>18.177</v>
      </c>
      <c r="P139">
        <v>39.04</v>
      </c>
      <c r="Q139">
        <v>43.488</v>
      </c>
      <c r="R139">
        <v>3.82</v>
      </c>
      <c r="S139">
        <v>473.47800000000001</v>
      </c>
      <c r="T139">
        <v>724.36800000000005</v>
      </c>
      <c r="U139">
        <v>837.00800000000004</v>
      </c>
      <c r="V139">
        <v>568.76199999999994</v>
      </c>
      <c r="W139">
        <v>381.14100000000002</v>
      </c>
      <c r="X139">
        <v>404.89699999999999</v>
      </c>
      <c r="Y139">
        <v>7.86</v>
      </c>
      <c r="Z139">
        <v>547.952</v>
      </c>
      <c r="AA139" t="s">
        <v>53</v>
      </c>
      <c r="AB139">
        <v>1</v>
      </c>
      <c r="AC139" t="s">
        <v>468</v>
      </c>
    </row>
    <row r="140" spans="1:29" x14ac:dyDescent="0.3">
      <c r="A140">
        <v>7224</v>
      </c>
      <c r="B140" t="s">
        <v>791</v>
      </c>
      <c r="C140" t="s">
        <v>55</v>
      </c>
      <c r="D140" s="1">
        <v>43720</v>
      </c>
      <c r="E140">
        <v>13</v>
      </c>
      <c r="F140" t="s">
        <v>792</v>
      </c>
      <c r="G140">
        <v>30.562000000000001</v>
      </c>
      <c r="H140">
        <v>72.507000000000005</v>
      </c>
      <c r="I140">
        <v>2257.252</v>
      </c>
      <c r="J140">
        <v>90.76</v>
      </c>
      <c r="K140">
        <v>719.60799999999995</v>
      </c>
      <c r="L140">
        <v>0</v>
      </c>
      <c r="M140">
        <v>420.34199999999998</v>
      </c>
      <c r="N140">
        <v>299.26600000000002</v>
      </c>
      <c r="O140">
        <v>52.03</v>
      </c>
      <c r="P140">
        <v>131.31700000000001</v>
      </c>
      <c r="Q140">
        <v>496.71899999999999</v>
      </c>
      <c r="R140">
        <v>7.6050000000000004</v>
      </c>
      <c r="S140">
        <v>343.29700000000003</v>
      </c>
      <c r="T140">
        <v>917.06100000000004</v>
      </c>
      <c r="U140">
        <v>1029.9849999999999</v>
      </c>
      <c r="V140">
        <v>416.15300000000002</v>
      </c>
      <c r="W140">
        <v>191.71</v>
      </c>
      <c r="X140">
        <v>119.11</v>
      </c>
      <c r="Y140">
        <v>8.81</v>
      </c>
      <c r="Z140">
        <v>439.23950000000002</v>
      </c>
      <c r="AA140" t="s">
        <v>53</v>
      </c>
      <c r="AB140">
        <v>1</v>
      </c>
      <c r="AC140" t="s">
        <v>468</v>
      </c>
    </row>
    <row r="141" spans="1:29" x14ac:dyDescent="0.3">
      <c r="A141">
        <v>7235</v>
      </c>
      <c r="B141" t="s">
        <v>793</v>
      </c>
      <c r="C141" t="s">
        <v>51</v>
      </c>
      <c r="D141" s="1">
        <v>42877</v>
      </c>
      <c r="E141">
        <v>8</v>
      </c>
      <c r="F141" t="s">
        <v>794</v>
      </c>
      <c r="G141">
        <v>140.851</v>
      </c>
      <c r="H141">
        <v>232.148</v>
      </c>
      <c r="I141">
        <v>2254.0630000000001</v>
      </c>
      <c r="J141">
        <v>856.74599999999998</v>
      </c>
      <c r="K141">
        <v>1821.873</v>
      </c>
      <c r="L141">
        <v>32</v>
      </c>
      <c r="M141">
        <v>795.15200000000004</v>
      </c>
      <c r="N141">
        <v>1026.721</v>
      </c>
      <c r="O141">
        <v>156.46100000000001</v>
      </c>
      <c r="P141">
        <v>85.983999999999995</v>
      </c>
      <c r="Q141">
        <v>0</v>
      </c>
      <c r="R141">
        <v>10.798999999999999</v>
      </c>
      <c r="S141">
        <v>11.125</v>
      </c>
      <c r="T141">
        <v>795.15200000000004</v>
      </c>
      <c r="U141">
        <v>1914.0909999999999</v>
      </c>
      <c r="V141">
        <v>65.497</v>
      </c>
      <c r="W141">
        <v>62.872999999999998</v>
      </c>
      <c r="X141">
        <v>79.143000000000001</v>
      </c>
      <c r="Y141">
        <v>44.76</v>
      </c>
      <c r="Z141">
        <v>530.40099999999995</v>
      </c>
      <c r="AA141" t="s">
        <v>53</v>
      </c>
      <c r="AB141">
        <v>1</v>
      </c>
      <c r="AC141" t="s">
        <v>468</v>
      </c>
    </row>
    <row r="142" spans="1:29" x14ac:dyDescent="0.3">
      <c r="A142">
        <v>8597</v>
      </c>
      <c r="B142" t="s">
        <v>813</v>
      </c>
      <c r="C142" t="s">
        <v>96</v>
      </c>
      <c r="D142" s="1">
        <v>40192</v>
      </c>
      <c r="E142">
        <v>14</v>
      </c>
      <c r="F142" t="s">
        <v>814</v>
      </c>
      <c r="G142">
        <v>18.550999999999998</v>
      </c>
      <c r="H142">
        <v>96.480999999999995</v>
      </c>
      <c r="I142">
        <v>1879.65</v>
      </c>
      <c r="J142">
        <v>147.452</v>
      </c>
      <c r="K142">
        <v>515.48</v>
      </c>
      <c r="L142">
        <v>9.9420000000000002</v>
      </c>
      <c r="M142">
        <v>345.15800000000002</v>
      </c>
      <c r="N142">
        <v>170.322</v>
      </c>
      <c r="O142">
        <v>67.796000000000006</v>
      </c>
      <c r="P142">
        <v>89.16</v>
      </c>
      <c r="Q142">
        <v>64.034999999999997</v>
      </c>
      <c r="R142">
        <v>10.821</v>
      </c>
      <c r="S142">
        <v>427.94</v>
      </c>
      <c r="T142">
        <v>409.19299999999998</v>
      </c>
      <c r="U142">
        <v>618.78499999999997</v>
      </c>
      <c r="V142">
        <v>587.50199999999995</v>
      </c>
      <c r="W142">
        <v>406.59100000000001</v>
      </c>
      <c r="X142">
        <v>369.09699999999998</v>
      </c>
      <c r="Y142">
        <v>23.83</v>
      </c>
      <c r="Z142">
        <v>495.49374999999998</v>
      </c>
      <c r="AA142" t="s">
        <v>53</v>
      </c>
      <c r="AB142">
        <v>1</v>
      </c>
      <c r="AC142" t="s">
        <v>468</v>
      </c>
    </row>
    <row r="143" spans="1:29" x14ac:dyDescent="0.3">
      <c r="A143">
        <v>8633</v>
      </c>
      <c r="B143" t="s">
        <v>815</v>
      </c>
      <c r="C143" t="s">
        <v>55</v>
      </c>
      <c r="D143" s="1">
        <v>39840</v>
      </c>
      <c r="E143">
        <v>4</v>
      </c>
      <c r="F143" t="s">
        <v>816</v>
      </c>
      <c r="G143">
        <v>4.766</v>
      </c>
      <c r="H143">
        <v>27.122</v>
      </c>
      <c r="I143">
        <v>1870.7080000000001</v>
      </c>
      <c r="J143">
        <v>169.90199999999999</v>
      </c>
      <c r="K143">
        <v>471.697</v>
      </c>
      <c r="L143">
        <v>0</v>
      </c>
      <c r="M143">
        <v>197.149</v>
      </c>
      <c r="N143">
        <v>274.548</v>
      </c>
      <c r="O143">
        <v>10.231</v>
      </c>
      <c r="P143">
        <v>7.9180000000000001</v>
      </c>
      <c r="Q143">
        <v>84.486000000000004</v>
      </c>
      <c r="R143">
        <v>2.2890000000000001</v>
      </c>
      <c r="S143">
        <v>324.34199999999998</v>
      </c>
      <c r="T143">
        <v>281.63499999999999</v>
      </c>
      <c r="U143">
        <v>483.49900000000002</v>
      </c>
      <c r="V143">
        <v>513.16600000000005</v>
      </c>
      <c r="W143">
        <v>393.05599999999998</v>
      </c>
      <c r="X143">
        <v>378.63200000000001</v>
      </c>
      <c r="Y143">
        <v>35.14</v>
      </c>
      <c r="Z143">
        <v>442.08825000000002</v>
      </c>
      <c r="AA143" t="s">
        <v>53</v>
      </c>
      <c r="AB143">
        <v>1</v>
      </c>
      <c r="AC143" t="s">
        <v>468</v>
      </c>
    </row>
    <row r="144" spans="1:29" x14ac:dyDescent="0.3">
      <c r="A144">
        <v>9857</v>
      </c>
      <c r="B144" t="s">
        <v>841</v>
      </c>
      <c r="C144" t="s">
        <v>55</v>
      </c>
      <c r="D144" s="1">
        <v>43312</v>
      </c>
      <c r="E144">
        <v>25</v>
      </c>
      <c r="F144" t="s">
        <v>842</v>
      </c>
      <c r="G144">
        <v>6.351</v>
      </c>
      <c r="H144">
        <v>64.58</v>
      </c>
      <c r="I144">
        <v>1611.8589999999999</v>
      </c>
      <c r="J144">
        <v>60.353999999999999</v>
      </c>
      <c r="K144">
        <v>546.99199999999996</v>
      </c>
      <c r="L144">
        <v>0</v>
      </c>
      <c r="M144">
        <v>464.47399999999999</v>
      </c>
      <c r="N144">
        <v>82.518000000000001</v>
      </c>
      <c r="O144">
        <v>39.500999999999998</v>
      </c>
      <c r="P144">
        <v>61.723999999999997</v>
      </c>
      <c r="Q144">
        <v>82.888000000000005</v>
      </c>
      <c r="R144">
        <v>1.52</v>
      </c>
      <c r="S144">
        <v>369.66800000000001</v>
      </c>
      <c r="T144">
        <v>547.36199999999997</v>
      </c>
      <c r="U144">
        <v>610.34299999999996</v>
      </c>
      <c r="V144">
        <v>429.20499999999998</v>
      </c>
      <c r="W144">
        <v>269.916</v>
      </c>
      <c r="X144">
        <v>163.29</v>
      </c>
      <c r="Y144">
        <v>9.89</v>
      </c>
      <c r="Z144">
        <v>368.18849999999998</v>
      </c>
      <c r="AA144" t="s">
        <v>53</v>
      </c>
      <c r="AB144">
        <v>1</v>
      </c>
      <c r="AC144" t="s">
        <v>468</v>
      </c>
    </row>
    <row r="145" spans="1:29" x14ac:dyDescent="0.3">
      <c r="A145">
        <v>10257</v>
      </c>
      <c r="B145" t="s">
        <v>847</v>
      </c>
      <c r="C145" t="s">
        <v>55</v>
      </c>
      <c r="D145" s="1">
        <v>35417</v>
      </c>
      <c r="E145">
        <v>7</v>
      </c>
      <c r="F145" t="s">
        <v>848</v>
      </c>
      <c r="G145">
        <v>50.01</v>
      </c>
      <c r="H145">
        <v>97.79</v>
      </c>
      <c r="I145">
        <v>1539.1010000000001</v>
      </c>
      <c r="J145">
        <v>352.21499999999997</v>
      </c>
      <c r="K145">
        <v>696.78899999999999</v>
      </c>
      <c r="L145">
        <v>206.71700000000001</v>
      </c>
      <c r="M145">
        <v>360.601</v>
      </c>
      <c r="N145">
        <v>336.18799999999999</v>
      </c>
      <c r="O145">
        <v>56.295000000000002</v>
      </c>
      <c r="P145">
        <v>27.08</v>
      </c>
      <c r="Q145">
        <v>0</v>
      </c>
      <c r="R145">
        <v>1.296</v>
      </c>
      <c r="S145">
        <v>174.196</v>
      </c>
      <c r="T145">
        <v>360.601</v>
      </c>
      <c r="U145">
        <v>727.19500000000005</v>
      </c>
      <c r="V145">
        <v>487.48599999999999</v>
      </c>
      <c r="W145">
        <v>419.697</v>
      </c>
      <c r="X145">
        <v>278.61700000000002</v>
      </c>
      <c r="Y145">
        <v>48.43</v>
      </c>
      <c r="Z145">
        <v>478.24874999999997</v>
      </c>
      <c r="AA145" t="s">
        <v>53</v>
      </c>
      <c r="AB145">
        <v>1</v>
      </c>
      <c r="AC145" t="s">
        <v>468</v>
      </c>
    </row>
    <row r="146" spans="1:29" x14ac:dyDescent="0.3">
      <c r="A146">
        <v>10891</v>
      </c>
      <c r="B146" t="s">
        <v>857</v>
      </c>
      <c r="C146" t="s">
        <v>162</v>
      </c>
      <c r="D146" s="1">
        <v>43391</v>
      </c>
      <c r="E146">
        <v>9</v>
      </c>
      <c r="F146" t="s">
        <v>858</v>
      </c>
      <c r="G146">
        <v>23.507000000000001</v>
      </c>
      <c r="H146">
        <v>82.486999999999995</v>
      </c>
      <c r="I146">
        <v>1435.845</v>
      </c>
      <c r="J146">
        <v>51.412999999999997</v>
      </c>
      <c r="K146">
        <v>822.08199999999999</v>
      </c>
      <c r="L146">
        <v>18.273</v>
      </c>
      <c r="M146">
        <v>856.29399999999998</v>
      </c>
      <c r="N146">
        <v>-34.212000000000003</v>
      </c>
      <c r="O146">
        <v>50.378</v>
      </c>
      <c r="P146">
        <v>153.22900000000001</v>
      </c>
      <c r="Q146">
        <v>35.246000000000002</v>
      </c>
      <c r="R146">
        <v>14.294</v>
      </c>
      <c r="S146">
        <v>402.98700000000002</v>
      </c>
      <c r="T146">
        <v>891.54</v>
      </c>
      <c r="U146">
        <v>979.30100000000004</v>
      </c>
      <c r="V146">
        <v>457.06900000000002</v>
      </c>
      <c r="W146">
        <v>314.35399999999998</v>
      </c>
      <c r="X146">
        <v>158.459</v>
      </c>
      <c r="Y146">
        <v>5.25</v>
      </c>
      <c r="Z146">
        <v>477.29575</v>
      </c>
      <c r="AA146" t="s">
        <v>53</v>
      </c>
      <c r="AB146">
        <v>1</v>
      </c>
      <c r="AC146" t="s">
        <v>468</v>
      </c>
    </row>
    <row r="147" spans="1:29" x14ac:dyDescent="0.3">
      <c r="A147">
        <v>10938</v>
      </c>
      <c r="B147" t="s">
        <v>859</v>
      </c>
      <c r="C147" t="s">
        <v>55</v>
      </c>
      <c r="D147" s="1">
        <v>42097</v>
      </c>
      <c r="E147">
        <v>16</v>
      </c>
      <c r="F147" t="s">
        <v>860</v>
      </c>
      <c r="G147">
        <v>0.48299999999999998</v>
      </c>
      <c r="H147">
        <v>26.074000000000002</v>
      </c>
      <c r="I147">
        <v>1429.8889999999999</v>
      </c>
      <c r="J147">
        <v>107.74299999999999</v>
      </c>
      <c r="K147">
        <v>493.89499999999998</v>
      </c>
      <c r="L147">
        <v>26.36</v>
      </c>
      <c r="M147">
        <v>246.393</v>
      </c>
      <c r="N147">
        <v>247.50200000000001</v>
      </c>
      <c r="O147">
        <v>8.9909999999999997</v>
      </c>
      <c r="P147">
        <v>164.35300000000001</v>
      </c>
      <c r="Q147">
        <v>302.56700000000001</v>
      </c>
      <c r="R147">
        <v>0.255</v>
      </c>
      <c r="S147">
        <v>438.12</v>
      </c>
      <c r="T147">
        <v>548.96</v>
      </c>
      <c r="U147">
        <v>673.53800000000001</v>
      </c>
      <c r="V147">
        <v>559.44500000000005</v>
      </c>
      <c r="W147">
        <v>371.71</v>
      </c>
      <c r="X147">
        <v>217.86799999999999</v>
      </c>
      <c r="Y147">
        <v>16</v>
      </c>
      <c r="Z147">
        <v>455.64024999999998</v>
      </c>
      <c r="AA147" t="s">
        <v>53</v>
      </c>
      <c r="AB147">
        <v>1</v>
      </c>
      <c r="AC147" t="s">
        <v>468</v>
      </c>
    </row>
    <row r="148" spans="1:29" x14ac:dyDescent="0.3">
      <c r="A148">
        <v>10944</v>
      </c>
      <c r="B148" t="s">
        <v>861</v>
      </c>
      <c r="C148" t="s">
        <v>55</v>
      </c>
      <c r="D148" s="1">
        <v>42083</v>
      </c>
      <c r="E148">
        <v>10</v>
      </c>
      <c r="F148" t="s">
        <v>862</v>
      </c>
      <c r="G148">
        <v>17.186</v>
      </c>
      <c r="H148">
        <v>38.457999999999998</v>
      </c>
      <c r="I148">
        <v>1429.519</v>
      </c>
      <c r="J148">
        <v>45.441000000000003</v>
      </c>
      <c r="K148">
        <v>718.94200000000001</v>
      </c>
      <c r="L148">
        <v>29</v>
      </c>
      <c r="M148">
        <v>667.57799999999997</v>
      </c>
      <c r="N148">
        <v>51.363999999999997</v>
      </c>
      <c r="O148">
        <v>27.356999999999999</v>
      </c>
      <c r="P148">
        <v>83.894999999999996</v>
      </c>
      <c r="Q148">
        <v>72.856999999999999</v>
      </c>
      <c r="R148">
        <v>4.7869999999999999</v>
      </c>
      <c r="S148">
        <v>564.31799999999998</v>
      </c>
      <c r="T148">
        <v>740.43499999999995</v>
      </c>
      <c r="U148">
        <v>802.83699999999999</v>
      </c>
      <c r="V148">
        <v>601.06200000000001</v>
      </c>
      <c r="W148">
        <v>251.69800000000001</v>
      </c>
      <c r="X148">
        <v>268.38400000000001</v>
      </c>
      <c r="Y148">
        <v>5.66</v>
      </c>
      <c r="Z148">
        <v>480.99525</v>
      </c>
      <c r="AA148" t="s">
        <v>53</v>
      </c>
      <c r="AB148">
        <v>1</v>
      </c>
      <c r="AC148" t="s">
        <v>468</v>
      </c>
    </row>
    <row r="149" spans="1:29" x14ac:dyDescent="0.3">
      <c r="A149">
        <v>10964</v>
      </c>
      <c r="B149" t="s">
        <v>863</v>
      </c>
      <c r="C149" t="s">
        <v>96</v>
      </c>
      <c r="D149" s="1">
        <v>44048</v>
      </c>
      <c r="E149">
        <v>5</v>
      </c>
      <c r="F149" t="s">
        <v>864</v>
      </c>
      <c r="G149">
        <v>3.52</v>
      </c>
      <c r="H149">
        <v>40.984999999999999</v>
      </c>
      <c r="I149">
        <v>1426.182</v>
      </c>
      <c r="J149">
        <v>26.84</v>
      </c>
      <c r="K149">
        <v>785.71100000000001</v>
      </c>
      <c r="L149">
        <v>365</v>
      </c>
      <c r="M149">
        <v>768.09400000000005</v>
      </c>
      <c r="N149">
        <v>17.617000000000001</v>
      </c>
      <c r="O149">
        <v>14.686</v>
      </c>
      <c r="P149">
        <v>29.219000000000001</v>
      </c>
      <c r="Q149">
        <v>12.398</v>
      </c>
      <c r="R149">
        <v>8.3729999999999993</v>
      </c>
      <c r="S149">
        <v>610.173</v>
      </c>
      <c r="T149">
        <v>780.49199999999996</v>
      </c>
      <c r="U149">
        <v>823.89800000000002</v>
      </c>
      <c r="V149">
        <v>643.93499999999995</v>
      </c>
      <c r="W149">
        <v>393.45800000000003</v>
      </c>
      <c r="X149">
        <v>145.05799999999999</v>
      </c>
      <c r="Y149">
        <v>3.26</v>
      </c>
      <c r="Z149">
        <v>501.58724999999998</v>
      </c>
      <c r="AA149" t="s">
        <v>53</v>
      </c>
      <c r="AB149">
        <v>1</v>
      </c>
      <c r="AC149" t="s">
        <v>468</v>
      </c>
    </row>
    <row r="150" spans="1:29" x14ac:dyDescent="0.3">
      <c r="A150">
        <v>11063</v>
      </c>
      <c r="B150" t="s">
        <v>869</v>
      </c>
      <c r="C150" t="s">
        <v>96</v>
      </c>
      <c r="D150" s="1">
        <v>43426</v>
      </c>
      <c r="E150">
        <v>13</v>
      </c>
      <c r="F150" t="s">
        <v>870</v>
      </c>
      <c r="G150">
        <v>0.191</v>
      </c>
      <c r="H150">
        <v>36.420999999999999</v>
      </c>
      <c r="I150">
        <v>1413.7950000000001</v>
      </c>
      <c r="J150">
        <v>92.757000000000005</v>
      </c>
      <c r="K150">
        <v>199.14599999999999</v>
      </c>
      <c r="L150">
        <v>0</v>
      </c>
      <c r="M150">
        <v>182.04499999999999</v>
      </c>
      <c r="N150">
        <v>17.100999999999999</v>
      </c>
      <c r="O150">
        <v>13.366</v>
      </c>
      <c r="P150">
        <v>103.172</v>
      </c>
      <c r="Q150">
        <v>0</v>
      </c>
      <c r="R150">
        <v>7.6539999999999999</v>
      </c>
      <c r="S150">
        <v>258.98500000000001</v>
      </c>
      <c r="T150">
        <v>182.04499999999999</v>
      </c>
      <c r="U150">
        <v>302.31799999999998</v>
      </c>
      <c r="V150">
        <v>364.00200000000001</v>
      </c>
      <c r="W150">
        <v>103.50700000000001</v>
      </c>
      <c r="X150">
        <v>59.631</v>
      </c>
      <c r="Y150">
        <v>30.68</v>
      </c>
      <c r="Z150">
        <v>207.36449999999999</v>
      </c>
      <c r="AA150" t="s">
        <v>53</v>
      </c>
      <c r="AB150">
        <v>1</v>
      </c>
      <c r="AC150" t="s">
        <v>468</v>
      </c>
    </row>
    <row r="151" spans="1:29" x14ac:dyDescent="0.3">
      <c r="A151">
        <v>11137</v>
      </c>
      <c r="B151" t="s">
        <v>873</v>
      </c>
      <c r="C151" t="s">
        <v>55</v>
      </c>
      <c r="D151" s="1">
        <v>42893</v>
      </c>
      <c r="E151">
        <v>3</v>
      </c>
      <c r="F151" t="s">
        <v>874</v>
      </c>
      <c r="G151">
        <v>384.91199999999998</v>
      </c>
      <c r="H151">
        <v>70.924999999999997</v>
      </c>
      <c r="I151">
        <v>1401.672</v>
      </c>
      <c r="J151">
        <v>485.41199999999998</v>
      </c>
      <c r="K151">
        <v>1311.759</v>
      </c>
      <c r="L151">
        <v>2.4580000000000002</v>
      </c>
      <c r="M151">
        <v>807.83100000000002</v>
      </c>
      <c r="N151">
        <v>503.928</v>
      </c>
      <c r="O151">
        <v>409.66899999999998</v>
      </c>
      <c r="P151">
        <v>119.562</v>
      </c>
      <c r="Q151">
        <v>112.563</v>
      </c>
      <c r="R151">
        <v>38.869999999999997</v>
      </c>
      <c r="S151">
        <v>149.042</v>
      </c>
      <c r="T151">
        <v>920.39400000000001</v>
      </c>
      <c r="U151">
        <v>1431.703</v>
      </c>
      <c r="V151">
        <v>218.13300000000001</v>
      </c>
      <c r="W151">
        <v>137.02600000000001</v>
      </c>
      <c r="X151">
        <v>123.004</v>
      </c>
      <c r="Y151">
        <v>33.9</v>
      </c>
      <c r="Z151">
        <v>477.4665</v>
      </c>
      <c r="AA151" t="s">
        <v>53</v>
      </c>
      <c r="AB151">
        <v>1</v>
      </c>
      <c r="AC151" t="s">
        <v>468</v>
      </c>
    </row>
    <row r="152" spans="1:29" x14ac:dyDescent="0.3">
      <c r="A152">
        <v>11460</v>
      </c>
      <c r="B152" t="s">
        <v>879</v>
      </c>
      <c r="C152" t="s">
        <v>55</v>
      </c>
      <c r="D152" s="1">
        <v>42459</v>
      </c>
      <c r="E152">
        <v>5</v>
      </c>
      <c r="F152" t="s">
        <v>880</v>
      </c>
      <c r="G152">
        <v>11.249000000000001</v>
      </c>
      <c r="H152">
        <v>46.664000000000001</v>
      </c>
      <c r="I152">
        <v>1352.5609999999999</v>
      </c>
      <c r="J152">
        <v>78.147000000000006</v>
      </c>
      <c r="K152">
        <v>414.08</v>
      </c>
      <c r="L152">
        <v>0</v>
      </c>
      <c r="M152">
        <v>358.85</v>
      </c>
      <c r="N152">
        <v>55.23</v>
      </c>
      <c r="O152">
        <v>25.506</v>
      </c>
      <c r="P152">
        <v>30.187999999999999</v>
      </c>
      <c r="Q152">
        <v>0</v>
      </c>
      <c r="R152">
        <v>4.26</v>
      </c>
      <c r="S152">
        <v>391.14600000000002</v>
      </c>
      <c r="T152">
        <v>358.85</v>
      </c>
      <c r="U152">
        <v>444.26799999999997</v>
      </c>
      <c r="V152">
        <v>601.21</v>
      </c>
      <c r="W152">
        <v>839.81700000000001</v>
      </c>
      <c r="X152">
        <v>313.52999999999997</v>
      </c>
      <c r="Y152">
        <v>17.59</v>
      </c>
      <c r="Z152">
        <v>549.70624999999995</v>
      </c>
      <c r="AA152" t="s">
        <v>53</v>
      </c>
      <c r="AB152">
        <v>1</v>
      </c>
      <c r="AC152" t="s">
        <v>468</v>
      </c>
    </row>
    <row r="153" spans="1:29" x14ac:dyDescent="0.3">
      <c r="A153">
        <v>11</v>
      </c>
      <c r="B153" t="s">
        <v>485</v>
      </c>
      <c r="C153" t="s">
        <v>354</v>
      </c>
      <c r="D153" s="1">
        <v>32472</v>
      </c>
      <c r="E153">
        <v>1319</v>
      </c>
      <c r="F153" t="s">
        <v>486</v>
      </c>
      <c r="G153">
        <v>36651</v>
      </c>
      <c r="H153">
        <v>63267</v>
      </c>
      <c r="I153">
        <v>497382</v>
      </c>
      <c r="J153">
        <v>128012</v>
      </c>
      <c r="K153">
        <v>364563</v>
      </c>
      <c r="L153">
        <v>187650</v>
      </c>
      <c r="M153">
        <v>231839</v>
      </c>
      <c r="N153">
        <v>132724</v>
      </c>
      <c r="O153">
        <v>42921</v>
      </c>
      <c r="P153">
        <v>45046</v>
      </c>
      <c r="Q153">
        <v>39432</v>
      </c>
      <c r="R153">
        <v>4558</v>
      </c>
      <c r="S153">
        <v>149841</v>
      </c>
      <c r="T153">
        <v>271271</v>
      </c>
      <c r="U153">
        <v>412529</v>
      </c>
      <c r="V153">
        <v>265789</v>
      </c>
      <c r="W153">
        <v>230486.09899999999</v>
      </c>
      <c r="X153">
        <v>232790.97700000001</v>
      </c>
      <c r="Y153">
        <v>31.03</v>
      </c>
      <c r="Z153">
        <v>285398.76899999997</v>
      </c>
      <c r="AA153" t="s">
        <v>40</v>
      </c>
      <c r="AB153">
        <v>4</v>
      </c>
      <c r="AC153" t="s">
        <v>468</v>
      </c>
    </row>
    <row r="154" spans="1:29" x14ac:dyDescent="0.3">
      <c r="A154">
        <v>15</v>
      </c>
      <c r="B154" t="s">
        <v>493</v>
      </c>
      <c r="C154" t="s">
        <v>93</v>
      </c>
      <c r="D154" s="1">
        <v>36291</v>
      </c>
      <c r="E154">
        <v>2277</v>
      </c>
      <c r="F154" t="s">
        <v>494</v>
      </c>
      <c r="G154">
        <v>65817</v>
      </c>
      <c r="H154">
        <v>250282</v>
      </c>
      <c r="I154">
        <v>471228</v>
      </c>
      <c r="J154">
        <v>529094</v>
      </c>
      <c r="K154">
        <v>550448</v>
      </c>
      <c r="L154">
        <v>4296</v>
      </c>
      <c r="M154">
        <v>670478</v>
      </c>
      <c r="N154">
        <v>-120030</v>
      </c>
      <c r="O154">
        <v>250862</v>
      </c>
      <c r="P154">
        <v>2030809</v>
      </c>
      <c r="Q154">
        <v>248387</v>
      </c>
      <c r="R154">
        <v>6541</v>
      </c>
      <c r="S154">
        <v>734819</v>
      </c>
      <c r="T154">
        <v>918865</v>
      </c>
      <c r="U154">
        <v>2582479</v>
      </c>
      <c r="V154">
        <v>2272800</v>
      </c>
      <c r="W154">
        <v>2144318</v>
      </c>
      <c r="X154">
        <v>2054169</v>
      </c>
      <c r="Y154">
        <v>20.49</v>
      </c>
      <c r="Z154">
        <v>2263441.5</v>
      </c>
      <c r="AA154" t="s">
        <v>40</v>
      </c>
      <c r="AB154">
        <v>4</v>
      </c>
      <c r="AC154" t="s">
        <v>468</v>
      </c>
    </row>
    <row r="155" spans="1:29" x14ac:dyDescent="0.3">
      <c r="A155">
        <v>36</v>
      </c>
      <c r="B155" t="s">
        <v>533</v>
      </c>
      <c r="C155" t="s">
        <v>70</v>
      </c>
      <c r="D155" s="1">
        <v>29976</v>
      </c>
      <c r="E155">
        <v>324</v>
      </c>
      <c r="F155" t="s">
        <v>534</v>
      </c>
      <c r="G155">
        <v>2248.181</v>
      </c>
      <c r="H155">
        <v>10989.138999999999</v>
      </c>
      <c r="I155">
        <v>195287.851</v>
      </c>
      <c r="J155">
        <v>42531.898999999998</v>
      </c>
      <c r="K155">
        <v>155503.22500000001</v>
      </c>
      <c r="L155">
        <v>45246.663999999997</v>
      </c>
      <c r="M155">
        <v>118138.587</v>
      </c>
      <c r="N155">
        <v>37364.637999999999</v>
      </c>
      <c r="O155">
        <v>6491.165</v>
      </c>
      <c r="P155">
        <v>21558.812999999998</v>
      </c>
      <c r="Q155">
        <v>21344.799999999999</v>
      </c>
      <c r="R155">
        <v>3874.3290000000002</v>
      </c>
      <c r="S155">
        <v>166685.59899999999</v>
      </c>
      <c r="T155">
        <v>139483.38699999999</v>
      </c>
      <c r="U155">
        <v>183815.334</v>
      </c>
      <c r="V155">
        <v>209933.72500000001</v>
      </c>
      <c r="W155">
        <v>179649.21799999999</v>
      </c>
      <c r="X155">
        <v>161345.693</v>
      </c>
      <c r="Y155">
        <v>23.14</v>
      </c>
      <c r="Z155">
        <v>183685.99249999999</v>
      </c>
      <c r="AA155" t="s">
        <v>40</v>
      </c>
      <c r="AB155">
        <v>4</v>
      </c>
      <c r="AC155" t="s">
        <v>468</v>
      </c>
    </row>
    <row r="156" spans="1:29" x14ac:dyDescent="0.3">
      <c r="A156">
        <v>37</v>
      </c>
      <c r="B156" t="s">
        <v>535</v>
      </c>
      <c r="C156" t="s">
        <v>93</v>
      </c>
      <c r="D156" s="1">
        <v>39546</v>
      </c>
      <c r="E156">
        <v>402</v>
      </c>
      <c r="F156" t="s">
        <v>536</v>
      </c>
      <c r="G156">
        <v>7664.7079999999996</v>
      </c>
      <c r="H156">
        <v>16659.75</v>
      </c>
      <c r="I156">
        <v>191075.535</v>
      </c>
      <c r="J156">
        <v>27462.741999999998</v>
      </c>
      <c r="K156">
        <v>272327.09600000002</v>
      </c>
      <c r="L156">
        <v>159688.54999999999</v>
      </c>
      <c r="M156">
        <v>232529.948</v>
      </c>
      <c r="N156">
        <v>39797.148000000001</v>
      </c>
      <c r="O156">
        <v>11853.822</v>
      </c>
      <c r="P156">
        <v>40696.165999999997</v>
      </c>
      <c r="Q156">
        <v>42324.815999999999</v>
      </c>
      <c r="R156">
        <v>3234.136</v>
      </c>
      <c r="S156">
        <v>178314.951</v>
      </c>
      <c r="T156">
        <v>274854.76400000002</v>
      </c>
      <c r="U156">
        <v>317280.86200000002</v>
      </c>
      <c r="V156">
        <v>212261.12899999999</v>
      </c>
      <c r="W156">
        <v>157331.38099999999</v>
      </c>
      <c r="X156">
        <v>76622.301000000007</v>
      </c>
      <c r="Y156">
        <v>8.66</v>
      </c>
      <c r="Z156">
        <v>190873.91824999999</v>
      </c>
      <c r="AA156" t="s">
        <v>40</v>
      </c>
      <c r="AB156">
        <v>4</v>
      </c>
      <c r="AC156" t="s">
        <v>468</v>
      </c>
    </row>
    <row r="157" spans="1:29" x14ac:dyDescent="0.3">
      <c r="A157">
        <v>48</v>
      </c>
      <c r="B157" t="s">
        <v>551</v>
      </c>
      <c r="C157" t="s">
        <v>354</v>
      </c>
      <c r="D157" s="1">
        <v>31744</v>
      </c>
      <c r="E157">
        <v>194</v>
      </c>
      <c r="F157" t="s">
        <v>552</v>
      </c>
      <c r="G157">
        <v>3769.8180000000002</v>
      </c>
      <c r="H157">
        <v>11508.085999999999</v>
      </c>
      <c r="I157">
        <v>131961.182</v>
      </c>
      <c r="J157">
        <v>34436.565999999999</v>
      </c>
      <c r="K157">
        <v>149363.24900000001</v>
      </c>
      <c r="L157">
        <v>45424.266000000003</v>
      </c>
      <c r="M157">
        <v>105398.053</v>
      </c>
      <c r="N157">
        <v>43965.196000000004</v>
      </c>
      <c r="O157">
        <v>5938.152</v>
      </c>
      <c r="P157">
        <v>5545.1289999999999</v>
      </c>
      <c r="Q157">
        <v>12465.228999999999</v>
      </c>
      <c r="R157">
        <v>5283.8090000000002</v>
      </c>
      <c r="S157">
        <v>81634.216</v>
      </c>
      <c r="T157">
        <v>117863.28200000001</v>
      </c>
      <c r="U157">
        <v>157065.807</v>
      </c>
      <c r="V157">
        <v>114461.34600000001</v>
      </c>
      <c r="W157">
        <v>87610.611000000004</v>
      </c>
      <c r="X157">
        <v>73673.255000000005</v>
      </c>
      <c r="Y157">
        <v>21.92</v>
      </c>
      <c r="Z157">
        <v>108202.75474999999</v>
      </c>
      <c r="AA157" t="s">
        <v>40</v>
      </c>
      <c r="AB157">
        <v>4</v>
      </c>
      <c r="AC157" t="s">
        <v>468</v>
      </c>
    </row>
    <row r="158" spans="1:29" x14ac:dyDescent="0.3">
      <c r="A158">
        <v>61</v>
      </c>
      <c r="B158" t="s">
        <v>557</v>
      </c>
      <c r="C158" t="s">
        <v>38</v>
      </c>
      <c r="D158" s="1">
        <v>38244</v>
      </c>
      <c r="E158">
        <v>43</v>
      </c>
      <c r="F158" t="s">
        <v>558</v>
      </c>
      <c r="G158">
        <v>481.71800000000002</v>
      </c>
      <c r="H158">
        <v>2352.3719999999998</v>
      </c>
      <c r="I158">
        <v>108580.469</v>
      </c>
      <c r="J158">
        <v>9027.5370000000003</v>
      </c>
      <c r="K158">
        <v>114319.916</v>
      </c>
      <c r="L158">
        <v>1625.95</v>
      </c>
      <c r="M158">
        <v>99024.5</v>
      </c>
      <c r="N158">
        <v>15295.415999999999</v>
      </c>
      <c r="O158">
        <v>2369.7190000000001</v>
      </c>
      <c r="P158">
        <v>10338.957</v>
      </c>
      <c r="Q158">
        <v>15859.603999999999</v>
      </c>
      <c r="R158">
        <v>904.47199999999998</v>
      </c>
      <c r="S158">
        <v>23437.637999999999</v>
      </c>
      <c r="T158">
        <v>114884.10400000001</v>
      </c>
      <c r="U158">
        <v>124717.518</v>
      </c>
      <c r="V158">
        <v>32822.485999999997</v>
      </c>
      <c r="W158">
        <v>22162.600999999999</v>
      </c>
      <c r="X158">
        <v>19054.297999999999</v>
      </c>
      <c r="Y158">
        <v>7.24</v>
      </c>
      <c r="Z158">
        <v>49689.225749999998</v>
      </c>
      <c r="AA158" t="s">
        <v>40</v>
      </c>
      <c r="AB158">
        <v>4</v>
      </c>
      <c r="AC158" t="s">
        <v>468</v>
      </c>
    </row>
    <row r="159" spans="1:29" x14ac:dyDescent="0.3">
      <c r="A159">
        <v>71</v>
      </c>
      <c r="B159" t="s">
        <v>559</v>
      </c>
      <c r="C159" t="s">
        <v>354</v>
      </c>
      <c r="D159" s="1">
        <v>37943</v>
      </c>
      <c r="E159">
        <v>15</v>
      </c>
      <c r="F159" t="s">
        <v>560</v>
      </c>
      <c r="G159">
        <v>1407.3810000000001</v>
      </c>
      <c r="H159">
        <v>5401.875</v>
      </c>
      <c r="I159">
        <v>100194.961</v>
      </c>
      <c r="J159">
        <v>23457.868999999999</v>
      </c>
      <c r="K159">
        <v>153634.71799999999</v>
      </c>
      <c r="L159">
        <v>93932.350999999995</v>
      </c>
      <c r="M159">
        <v>131258.75200000001</v>
      </c>
      <c r="N159">
        <v>22375.966</v>
      </c>
      <c r="O159">
        <v>2051.319</v>
      </c>
      <c r="P159">
        <v>4316.509</v>
      </c>
      <c r="Q159">
        <v>86.391999999999996</v>
      </c>
      <c r="R159">
        <v>2597.0909999999999</v>
      </c>
      <c r="S159">
        <v>46269.502999999997</v>
      </c>
      <c r="T159">
        <v>131345.144</v>
      </c>
      <c r="U159">
        <v>157986.136</v>
      </c>
      <c r="V159">
        <v>69367.213000000003</v>
      </c>
      <c r="W159">
        <v>60758.019</v>
      </c>
      <c r="X159">
        <v>22704.431</v>
      </c>
      <c r="Y159">
        <v>14.85</v>
      </c>
      <c r="Z159">
        <v>77703.94975</v>
      </c>
      <c r="AA159" t="s">
        <v>40</v>
      </c>
      <c r="AB159">
        <v>4</v>
      </c>
      <c r="AC159" t="s">
        <v>468</v>
      </c>
    </row>
    <row r="160" spans="1:29" x14ac:dyDescent="0.3">
      <c r="A160">
        <v>82</v>
      </c>
      <c r="B160" t="s">
        <v>561</v>
      </c>
      <c r="C160" t="s">
        <v>48</v>
      </c>
      <c r="D160" s="1">
        <v>31852</v>
      </c>
      <c r="E160">
        <v>162</v>
      </c>
      <c r="F160" t="s">
        <v>562</v>
      </c>
      <c r="G160">
        <v>6940.9939999999997</v>
      </c>
      <c r="H160">
        <v>9287.26</v>
      </c>
      <c r="I160">
        <v>91226.846999999994</v>
      </c>
      <c r="J160">
        <v>42070.366000000002</v>
      </c>
      <c r="K160">
        <v>229122.34700000001</v>
      </c>
      <c r="L160">
        <v>119951.924</v>
      </c>
      <c r="M160">
        <v>169322.046</v>
      </c>
      <c r="N160">
        <v>59800.300999999999</v>
      </c>
      <c r="O160">
        <v>7779.067</v>
      </c>
      <c r="P160">
        <v>7408.5190000000002</v>
      </c>
      <c r="Q160">
        <v>21958.858</v>
      </c>
      <c r="R160">
        <v>947.81200000000001</v>
      </c>
      <c r="S160">
        <v>188059.24400000001</v>
      </c>
      <c r="T160">
        <v>191280.90400000001</v>
      </c>
      <c r="U160">
        <v>236836.27799999999</v>
      </c>
      <c r="V160">
        <v>226509.14799999999</v>
      </c>
      <c r="W160">
        <v>214560.177</v>
      </c>
      <c r="X160">
        <v>197386.649</v>
      </c>
      <c r="Y160">
        <v>17.760000000000002</v>
      </c>
      <c r="Z160">
        <v>218823.06299999999</v>
      </c>
      <c r="AA160" t="s">
        <v>40</v>
      </c>
      <c r="AB160">
        <v>4</v>
      </c>
      <c r="AC160" t="s">
        <v>468</v>
      </c>
    </row>
    <row r="161" spans="1:29" x14ac:dyDescent="0.3">
      <c r="A161">
        <v>92</v>
      </c>
      <c r="B161" t="s">
        <v>563</v>
      </c>
      <c r="C161" t="s">
        <v>354</v>
      </c>
      <c r="D161" s="1">
        <v>40527</v>
      </c>
      <c r="E161">
        <v>631</v>
      </c>
      <c r="F161" t="s">
        <v>564</v>
      </c>
      <c r="G161">
        <v>603.98</v>
      </c>
      <c r="H161">
        <v>1538.3420000000001</v>
      </c>
      <c r="I161">
        <v>87667.288</v>
      </c>
      <c r="J161">
        <v>21387.731</v>
      </c>
      <c r="K161">
        <v>47765.42</v>
      </c>
      <c r="L161">
        <v>7900.3450000000003</v>
      </c>
      <c r="M161">
        <v>27502.492999999999</v>
      </c>
      <c r="N161">
        <v>20262.927</v>
      </c>
      <c r="O161">
        <v>1127.3589999999999</v>
      </c>
      <c r="P161">
        <v>1778.56</v>
      </c>
      <c r="Q161">
        <v>0</v>
      </c>
      <c r="R161">
        <v>148.386</v>
      </c>
      <c r="S161">
        <v>25406.098999999998</v>
      </c>
      <c r="T161">
        <v>27502.492999999999</v>
      </c>
      <c r="U161">
        <v>50124.91</v>
      </c>
      <c r="V161">
        <v>47614.290999999997</v>
      </c>
      <c r="W161">
        <v>48068.923999999999</v>
      </c>
      <c r="X161">
        <v>47138.741999999998</v>
      </c>
      <c r="Y161">
        <v>42.67</v>
      </c>
      <c r="Z161">
        <v>48236.71675</v>
      </c>
      <c r="AA161" t="s">
        <v>40</v>
      </c>
      <c r="AB161">
        <v>4</v>
      </c>
      <c r="AC161" t="s">
        <v>468</v>
      </c>
    </row>
    <row r="162" spans="1:29" x14ac:dyDescent="0.3">
      <c r="A162">
        <v>95</v>
      </c>
      <c r="B162" t="s">
        <v>565</v>
      </c>
      <c r="C162" t="s">
        <v>70</v>
      </c>
      <c r="D162" s="1">
        <v>39399</v>
      </c>
      <c r="E162">
        <v>140</v>
      </c>
      <c r="F162" t="s">
        <v>566</v>
      </c>
      <c r="G162">
        <v>7614.1760000000004</v>
      </c>
      <c r="H162">
        <v>14569.700999999999</v>
      </c>
      <c r="I162">
        <v>83095.664000000004</v>
      </c>
      <c r="J162">
        <v>49845.927000000003</v>
      </c>
      <c r="K162">
        <v>76120.135999999999</v>
      </c>
      <c r="L162">
        <v>20296.173999999999</v>
      </c>
      <c r="M162">
        <v>41238.627</v>
      </c>
      <c r="N162">
        <v>34881.508999999998</v>
      </c>
      <c r="O162">
        <v>11655.537</v>
      </c>
      <c r="P162">
        <v>24197.276000000002</v>
      </c>
      <c r="Q162">
        <v>4540.7780000000002</v>
      </c>
      <c r="R162">
        <v>553.33000000000004</v>
      </c>
      <c r="S162">
        <v>59061.968999999997</v>
      </c>
      <c r="T162">
        <v>45779.404999999999</v>
      </c>
      <c r="U162">
        <v>102491.13099999999</v>
      </c>
      <c r="V162">
        <v>106216.21</v>
      </c>
      <c r="W162">
        <v>72307.005999999994</v>
      </c>
      <c r="X162">
        <v>55628.233999999997</v>
      </c>
      <c r="Y162">
        <v>48.63</v>
      </c>
      <c r="Z162">
        <v>84160.645250000001</v>
      </c>
      <c r="AA162" t="s">
        <v>40</v>
      </c>
      <c r="AB162">
        <v>4</v>
      </c>
      <c r="AC162" t="s">
        <v>468</v>
      </c>
    </row>
    <row r="163" spans="1:29" x14ac:dyDescent="0.3">
      <c r="A163">
        <v>98</v>
      </c>
      <c r="B163" t="s">
        <v>567</v>
      </c>
      <c r="C163" t="s">
        <v>38</v>
      </c>
      <c r="D163" s="1">
        <v>33387</v>
      </c>
      <c r="E163">
        <v>224</v>
      </c>
      <c r="F163" t="s">
        <v>568</v>
      </c>
      <c r="G163">
        <v>179.42500000000001</v>
      </c>
      <c r="H163">
        <v>2384.402</v>
      </c>
      <c r="I163">
        <v>82331.057000000001</v>
      </c>
      <c r="J163">
        <v>8159.23</v>
      </c>
      <c r="K163">
        <v>46545.531000000003</v>
      </c>
      <c r="L163">
        <v>2776.473</v>
      </c>
      <c r="M163">
        <v>36279.241000000002</v>
      </c>
      <c r="N163">
        <v>10266.290000000001</v>
      </c>
      <c r="O163">
        <v>802.74199999999996</v>
      </c>
      <c r="P163">
        <v>935.98599999999999</v>
      </c>
      <c r="Q163">
        <v>2249.826</v>
      </c>
      <c r="R163">
        <v>815.65800000000002</v>
      </c>
      <c r="S163">
        <v>34837.726999999999</v>
      </c>
      <c r="T163">
        <v>38529.067000000003</v>
      </c>
      <c r="U163">
        <v>48169.911999999997</v>
      </c>
      <c r="V163">
        <v>44134.017999999996</v>
      </c>
      <c r="W163">
        <v>36411.080999999998</v>
      </c>
      <c r="X163">
        <v>29053.624</v>
      </c>
      <c r="Y163">
        <v>16.940000000000001</v>
      </c>
      <c r="Z163">
        <v>39442.158750000002</v>
      </c>
      <c r="AA163" t="s">
        <v>40</v>
      </c>
      <c r="AB163">
        <v>4</v>
      </c>
      <c r="AC163" t="s">
        <v>468</v>
      </c>
    </row>
    <row r="164" spans="1:29" x14ac:dyDescent="0.3">
      <c r="A164">
        <v>107</v>
      </c>
      <c r="B164" t="s">
        <v>569</v>
      </c>
      <c r="C164" t="s">
        <v>354</v>
      </c>
      <c r="D164" s="1">
        <v>28530</v>
      </c>
      <c r="E164">
        <v>132</v>
      </c>
      <c r="F164" t="s">
        <v>570</v>
      </c>
      <c r="G164">
        <v>7111.8450000000003</v>
      </c>
      <c r="H164">
        <v>12840.892</v>
      </c>
      <c r="I164">
        <v>77946.601999999999</v>
      </c>
      <c r="J164">
        <v>37252.309000000001</v>
      </c>
      <c r="K164">
        <v>68930.547000000006</v>
      </c>
      <c r="L164">
        <v>20771.218000000001</v>
      </c>
      <c r="M164">
        <v>36952.339</v>
      </c>
      <c r="N164">
        <v>31978.207999999999</v>
      </c>
      <c r="O164">
        <v>7401.6959999999999</v>
      </c>
      <c r="P164">
        <v>7891.9160000000002</v>
      </c>
      <c r="Q164">
        <v>2625.665</v>
      </c>
      <c r="R164">
        <v>7238.799</v>
      </c>
      <c r="S164">
        <v>66939.323999999993</v>
      </c>
      <c r="T164">
        <v>39578.004000000001</v>
      </c>
      <c r="U164">
        <v>77060.429000000004</v>
      </c>
      <c r="V164">
        <v>99269.513000000006</v>
      </c>
      <c r="W164">
        <v>78265.763000000006</v>
      </c>
      <c r="X164">
        <v>54521.741000000002</v>
      </c>
      <c r="Y164">
        <v>48.34</v>
      </c>
      <c r="Z164">
        <v>77279.361499999999</v>
      </c>
      <c r="AA164" t="s">
        <v>40</v>
      </c>
      <c r="AB164">
        <v>4</v>
      </c>
      <c r="AC164" t="s">
        <v>468</v>
      </c>
    </row>
    <row r="165" spans="1:29" x14ac:dyDescent="0.3">
      <c r="A165">
        <v>1961</v>
      </c>
      <c r="B165" t="s">
        <v>599</v>
      </c>
      <c r="C165" t="s">
        <v>70</v>
      </c>
      <c r="D165" s="1">
        <v>41771</v>
      </c>
      <c r="E165">
        <v>37</v>
      </c>
      <c r="F165" t="s">
        <v>600</v>
      </c>
      <c r="G165">
        <v>102.908</v>
      </c>
      <c r="H165">
        <v>207.542</v>
      </c>
      <c r="I165">
        <v>7932.5029999999997</v>
      </c>
      <c r="J165">
        <v>200.16200000000001</v>
      </c>
      <c r="K165">
        <v>3893.3780000000002</v>
      </c>
      <c r="L165">
        <v>729.96</v>
      </c>
      <c r="M165">
        <v>3517.433</v>
      </c>
      <c r="N165">
        <v>375.94499999999999</v>
      </c>
      <c r="O165">
        <v>131.55500000000001</v>
      </c>
      <c r="P165">
        <v>296.02499999999998</v>
      </c>
      <c r="Q165">
        <v>280.13400000000001</v>
      </c>
      <c r="R165">
        <v>41.241</v>
      </c>
      <c r="S165">
        <v>2964.6979999999999</v>
      </c>
      <c r="T165">
        <v>3797.567</v>
      </c>
      <c r="U165">
        <v>4208.183</v>
      </c>
      <c r="V165">
        <v>3258.752</v>
      </c>
      <c r="W165">
        <v>2239.2919999999999</v>
      </c>
      <c r="X165">
        <v>1579.7829999999999</v>
      </c>
      <c r="Y165">
        <v>4.76</v>
      </c>
      <c r="Z165">
        <v>2821.5025000000001</v>
      </c>
      <c r="AA165" t="s">
        <v>40</v>
      </c>
      <c r="AB165">
        <v>3</v>
      </c>
      <c r="AC165" t="s">
        <v>468</v>
      </c>
    </row>
    <row r="166" spans="1:29" x14ac:dyDescent="0.3">
      <c r="A166">
        <v>2003</v>
      </c>
      <c r="B166" t="s">
        <v>605</v>
      </c>
      <c r="C166" t="s">
        <v>38</v>
      </c>
      <c r="D166" s="1">
        <v>41912</v>
      </c>
      <c r="E166">
        <v>78</v>
      </c>
      <c r="F166" t="s">
        <v>606</v>
      </c>
      <c r="G166">
        <v>30.035</v>
      </c>
      <c r="H166">
        <v>106.919</v>
      </c>
      <c r="I166">
        <v>7759.9650000000001</v>
      </c>
      <c r="J166">
        <v>133.566</v>
      </c>
      <c r="K166">
        <v>2246.5140000000001</v>
      </c>
      <c r="L166">
        <v>0</v>
      </c>
      <c r="M166">
        <v>2096.578</v>
      </c>
      <c r="N166">
        <v>149.93600000000001</v>
      </c>
      <c r="O166">
        <v>87.507999999999996</v>
      </c>
      <c r="P166">
        <v>515.26</v>
      </c>
      <c r="Q166">
        <v>129.48099999999999</v>
      </c>
      <c r="R166">
        <v>19.411000000000001</v>
      </c>
      <c r="S166">
        <v>1680.451</v>
      </c>
      <c r="T166">
        <v>2226.0590000000002</v>
      </c>
      <c r="U166">
        <v>2761.7739999999999</v>
      </c>
      <c r="V166">
        <v>2125.5720000000001</v>
      </c>
      <c r="W166">
        <v>2233.7629999999999</v>
      </c>
      <c r="X166">
        <v>2260.3620000000001</v>
      </c>
      <c r="Y166">
        <v>4.84</v>
      </c>
      <c r="Z166">
        <v>2345.3677499999999</v>
      </c>
      <c r="AA166" t="s">
        <v>40</v>
      </c>
      <c r="AB166">
        <v>3</v>
      </c>
      <c r="AC166" t="s">
        <v>468</v>
      </c>
    </row>
    <row r="167" spans="1:29" x14ac:dyDescent="0.3">
      <c r="A167">
        <v>2166</v>
      </c>
      <c r="B167" t="s">
        <v>637</v>
      </c>
      <c r="C167" t="s">
        <v>70</v>
      </c>
      <c r="D167" s="1">
        <v>43957</v>
      </c>
      <c r="E167">
        <v>84</v>
      </c>
      <c r="F167" t="s">
        <v>638</v>
      </c>
      <c r="G167">
        <v>146.679</v>
      </c>
      <c r="H167">
        <v>394.803</v>
      </c>
      <c r="I167">
        <v>7257.0889999999999</v>
      </c>
      <c r="J167">
        <v>427.53100000000001</v>
      </c>
      <c r="K167">
        <v>3503.3710000000001</v>
      </c>
      <c r="L167">
        <v>0</v>
      </c>
      <c r="M167">
        <v>4230.491</v>
      </c>
      <c r="N167">
        <v>-727.12</v>
      </c>
      <c r="O167">
        <v>272.92099999999999</v>
      </c>
      <c r="P167">
        <v>803.70399999999995</v>
      </c>
      <c r="Q167">
        <v>58.722000000000001</v>
      </c>
      <c r="R167">
        <v>12.907999999999999</v>
      </c>
      <c r="S167">
        <v>2278.3739999999998</v>
      </c>
      <c r="T167">
        <v>4289.2129999999997</v>
      </c>
      <c r="U167">
        <v>5631.4629999999997</v>
      </c>
      <c r="V167">
        <v>3136.3919999999998</v>
      </c>
      <c r="W167">
        <v>1135.396</v>
      </c>
      <c r="X167">
        <v>280.42</v>
      </c>
      <c r="Y167">
        <v>7.59</v>
      </c>
      <c r="Z167">
        <v>2545.9177500000001</v>
      </c>
      <c r="AA167" t="s">
        <v>40</v>
      </c>
      <c r="AB167">
        <v>3</v>
      </c>
      <c r="AC167" t="s">
        <v>468</v>
      </c>
    </row>
    <row r="168" spans="1:29" x14ac:dyDescent="0.3">
      <c r="A168">
        <v>2178</v>
      </c>
      <c r="B168" t="s">
        <v>639</v>
      </c>
      <c r="C168" t="s">
        <v>245</v>
      </c>
      <c r="D168" s="1">
        <v>43570</v>
      </c>
      <c r="E168">
        <v>10</v>
      </c>
      <c r="F168" t="s">
        <v>640</v>
      </c>
      <c r="G168">
        <v>512.39599999999996</v>
      </c>
      <c r="H168">
        <v>277.85500000000002</v>
      </c>
      <c r="I168">
        <v>7225.8029999999999</v>
      </c>
      <c r="J168">
        <v>665.45100000000002</v>
      </c>
      <c r="K168">
        <v>5679.0619999999999</v>
      </c>
      <c r="L168">
        <v>44.844000000000001</v>
      </c>
      <c r="M168">
        <v>5149.3149999999996</v>
      </c>
      <c r="N168">
        <v>529.74699999999996</v>
      </c>
      <c r="O168">
        <v>533.63199999999995</v>
      </c>
      <c r="P168">
        <v>218.048</v>
      </c>
      <c r="Q168">
        <v>42.466999999999999</v>
      </c>
      <c r="R168">
        <v>70.471000000000004</v>
      </c>
      <c r="S168">
        <v>1731.181</v>
      </c>
      <c r="T168">
        <v>5191.7820000000002</v>
      </c>
      <c r="U168">
        <v>5897.11</v>
      </c>
      <c r="V168">
        <v>1937.586</v>
      </c>
      <c r="W168">
        <v>987.66899999999998</v>
      </c>
      <c r="X168">
        <v>136.79</v>
      </c>
      <c r="Y168">
        <v>11.28</v>
      </c>
      <c r="Z168">
        <v>2239.7887500000002</v>
      </c>
      <c r="AA168" t="s">
        <v>40</v>
      </c>
      <c r="AB168">
        <v>3</v>
      </c>
      <c r="AC168" t="s">
        <v>468</v>
      </c>
    </row>
    <row r="169" spans="1:29" x14ac:dyDescent="0.3">
      <c r="A169">
        <v>2248</v>
      </c>
      <c r="B169" t="s">
        <v>651</v>
      </c>
      <c r="C169" t="s">
        <v>70</v>
      </c>
      <c r="D169" s="1">
        <v>37271</v>
      </c>
      <c r="E169">
        <v>15</v>
      </c>
      <c r="F169" t="s">
        <v>652</v>
      </c>
      <c r="G169">
        <v>1078.6369999999999</v>
      </c>
      <c r="H169">
        <v>707.30600000000004</v>
      </c>
      <c r="I169">
        <v>7014.134</v>
      </c>
      <c r="J169">
        <v>1682.5229999999999</v>
      </c>
      <c r="K169">
        <v>4827.9129999999996</v>
      </c>
      <c r="L169">
        <v>0</v>
      </c>
      <c r="M169">
        <v>2787.3159999999998</v>
      </c>
      <c r="N169">
        <v>2040.597</v>
      </c>
      <c r="O169">
        <v>1103.248</v>
      </c>
      <c r="P169">
        <v>72.116</v>
      </c>
      <c r="Q169">
        <v>331.95800000000003</v>
      </c>
      <c r="R169">
        <v>27.452000000000002</v>
      </c>
      <c r="S169">
        <v>2567.424</v>
      </c>
      <c r="T169">
        <v>3119.2739999999999</v>
      </c>
      <c r="U169">
        <v>4911.92</v>
      </c>
      <c r="V169">
        <v>3381.0729999999999</v>
      </c>
      <c r="W169">
        <v>2260.9740000000002</v>
      </c>
      <c r="X169">
        <v>1189.5809999999999</v>
      </c>
      <c r="Y169">
        <v>34.25</v>
      </c>
      <c r="Z169">
        <v>2935.8870000000002</v>
      </c>
      <c r="AA169" t="s">
        <v>40</v>
      </c>
      <c r="AB169">
        <v>3</v>
      </c>
      <c r="AC169" t="s">
        <v>468</v>
      </c>
    </row>
    <row r="170" spans="1:29" x14ac:dyDescent="0.3">
      <c r="A170">
        <v>2282</v>
      </c>
      <c r="B170" t="s">
        <v>655</v>
      </c>
      <c r="C170" t="s">
        <v>70</v>
      </c>
      <c r="D170" s="1">
        <v>36487</v>
      </c>
      <c r="E170">
        <v>53</v>
      </c>
      <c r="F170" t="s">
        <v>656</v>
      </c>
      <c r="G170">
        <v>61.283000000000001</v>
      </c>
      <c r="H170">
        <v>246.72800000000001</v>
      </c>
      <c r="I170">
        <v>6914.8789999999999</v>
      </c>
      <c r="J170">
        <v>373.733</v>
      </c>
      <c r="K170">
        <v>3163.9050000000002</v>
      </c>
      <c r="L170">
        <v>12.56</v>
      </c>
      <c r="M170">
        <v>2834.3760000000002</v>
      </c>
      <c r="N170">
        <v>329.529</v>
      </c>
      <c r="O170">
        <v>232.25899999999999</v>
      </c>
      <c r="P170">
        <v>508.74400000000003</v>
      </c>
      <c r="Q170">
        <v>0</v>
      </c>
      <c r="R170">
        <v>3.2069999999999999</v>
      </c>
      <c r="S170">
        <v>2574.3870000000002</v>
      </c>
      <c r="T170">
        <v>2834.3760000000002</v>
      </c>
      <c r="U170">
        <v>3726.2260000000001</v>
      </c>
      <c r="V170">
        <v>3506.0230000000001</v>
      </c>
      <c r="W170">
        <v>3413.5819999999999</v>
      </c>
      <c r="X170">
        <v>3121.0329999999999</v>
      </c>
      <c r="Y170">
        <v>10.029999999999999</v>
      </c>
      <c r="Z170">
        <v>3441.7159999999999</v>
      </c>
      <c r="AA170" t="s">
        <v>40</v>
      </c>
      <c r="AB170">
        <v>3</v>
      </c>
      <c r="AC170" t="s">
        <v>468</v>
      </c>
    </row>
    <row r="171" spans="1:29" x14ac:dyDescent="0.3">
      <c r="A171">
        <v>2318</v>
      </c>
      <c r="B171" t="s">
        <v>661</v>
      </c>
      <c r="C171" t="s">
        <v>70</v>
      </c>
      <c r="D171" s="1">
        <v>40998</v>
      </c>
      <c r="E171">
        <v>121</v>
      </c>
      <c r="F171" t="s">
        <v>662</v>
      </c>
      <c r="G171">
        <v>230.369</v>
      </c>
      <c r="H171">
        <v>527.11400000000003</v>
      </c>
      <c r="I171">
        <v>6799.625</v>
      </c>
      <c r="J171">
        <v>952.21600000000001</v>
      </c>
      <c r="K171">
        <v>3682.308</v>
      </c>
      <c r="L171">
        <v>0</v>
      </c>
      <c r="M171">
        <v>1799.231</v>
      </c>
      <c r="N171">
        <v>1883.077</v>
      </c>
      <c r="O171">
        <v>308.29599999999999</v>
      </c>
      <c r="P171">
        <v>399.75599999999997</v>
      </c>
      <c r="Q171">
        <v>371.39</v>
      </c>
      <c r="R171">
        <v>46.497999999999998</v>
      </c>
      <c r="S171">
        <v>1814.31</v>
      </c>
      <c r="T171">
        <v>2170.6210000000001</v>
      </c>
      <c r="U171">
        <v>4137.4920000000002</v>
      </c>
      <c r="V171">
        <v>2845.7930000000001</v>
      </c>
      <c r="W171">
        <v>2374.5320000000002</v>
      </c>
      <c r="X171">
        <v>1467.595</v>
      </c>
      <c r="Y171">
        <v>23.01</v>
      </c>
      <c r="Z171">
        <v>2706.3530000000001</v>
      </c>
      <c r="AA171" t="s">
        <v>40</v>
      </c>
      <c r="AB171">
        <v>3</v>
      </c>
      <c r="AC171" t="s">
        <v>468</v>
      </c>
    </row>
    <row r="172" spans="1:29" x14ac:dyDescent="0.3">
      <c r="A172">
        <v>2383</v>
      </c>
      <c r="B172" t="s">
        <v>663</v>
      </c>
      <c r="C172" t="s">
        <v>93</v>
      </c>
      <c r="D172" s="1">
        <v>36223</v>
      </c>
      <c r="E172">
        <v>15</v>
      </c>
      <c r="F172" t="s">
        <v>664</v>
      </c>
      <c r="G172">
        <v>220.13499999999999</v>
      </c>
      <c r="H172">
        <v>498.512</v>
      </c>
      <c r="I172">
        <v>6588.143</v>
      </c>
      <c r="J172">
        <v>1464.704</v>
      </c>
      <c r="K172">
        <v>3203.9850000000001</v>
      </c>
      <c r="L172">
        <v>253</v>
      </c>
      <c r="M172">
        <v>1045.0909999999999</v>
      </c>
      <c r="N172">
        <v>2158.8939999999998</v>
      </c>
      <c r="O172">
        <v>312.2</v>
      </c>
      <c r="P172">
        <v>263.85000000000002</v>
      </c>
      <c r="Q172">
        <v>760.78899999999999</v>
      </c>
      <c r="R172">
        <v>133.321</v>
      </c>
      <c r="S172">
        <v>874.97299999999996</v>
      </c>
      <c r="T172">
        <v>1805.88</v>
      </c>
      <c r="U172">
        <v>3513.0650000000001</v>
      </c>
      <c r="V172">
        <v>2603.4749999999999</v>
      </c>
      <c r="W172">
        <v>2453.105</v>
      </c>
      <c r="X172">
        <v>2151.4639999999999</v>
      </c>
      <c r="Y172">
        <v>41.69</v>
      </c>
      <c r="Z172">
        <v>2680.2772500000001</v>
      </c>
      <c r="AA172" t="s">
        <v>40</v>
      </c>
      <c r="AB172">
        <v>3</v>
      </c>
      <c r="AC172" t="s">
        <v>468</v>
      </c>
    </row>
    <row r="173" spans="1:29" x14ac:dyDescent="0.3">
      <c r="A173">
        <v>2457</v>
      </c>
      <c r="B173" t="s">
        <v>665</v>
      </c>
      <c r="C173" t="s">
        <v>48</v>
      </c>
      <c r="D173" s="1">
        <v>36229</v>
      </c>
      <c r="E173">
        <v>110</v>
      </c>
      <c r="F173" t="s">
        <v>666</v>
      </c>
      <c r="G173">
        <v>357.346</v>
      </c>
      <c r="H173">
        <v>816.58500000000004</v>
      </c>
      <c r="I173">
        <v>6389.5569999999998</v>
      </c>
      <c r="J173">
        <v>2442.9859999999999</v>
      </c>
      <c r="K173">
        <v>3100.9850000000001</v>
      </c>
      <c r="L173">
        <v>128.02099999999999</v>
      </c>
      <c r="M173">
        <v>991.74900000000002</v>
      </c>
      <c r="N173">
        <v>2109.2359999999999</v>
      </c>
      <c r="O173">
        <v>650.92200000000003</v>
      </c>
      <c r="P173">
        <v>427.85899999999998</v>
      </c>
      <c r="Q173">
        <v>0</v>
      </c>
      <c r="R173">
        <v>8.82</v>
      </c>
      <c r="S173">
        <v>1032.693</v>
      </c>
      <c r="T173">
        <v>991.74900000000002</v>
      </c>
      <c r="U173">
        <v>3588.7429999999999</v>
      </c>
      <c r="V173">
        <v>3305.34</v>
      </c>
      <c r="W173">
        <v>3051.614</v>
      </c>
      <c r="X173">
        <v>3433.107</v>
      </c>
      <c r="Y173">
        <v>68.069999999999993</v>
      </c>
      <c r="Z173">
        <v>3344.701</v>
      </c>
      <c r="AA173" t="s">
        <v>40</v>
      </c>
      <c r="AB173">
        <v>3</v>
      </c>
      <c r="AC173" t="s">
        <v>468</v>
      </c>
    </row>
    <row r="174" spans="1:29" x14ac:dyDescent="0.3">
      <c r="A174">
        <v>2465</v>
      </c>
      <c r="B174" t="s">
        <v>667</v>
      </c>
      <c r="C174" t="s">
        <v>93</v>
      </c>
      <c r="D174" s="1">
        <v>41621</v>
      </c>
      <c r="E174">
        <v>35</v>
      </c>
      <c r="F174" t="s">
        <v>668</v>
      </c>
      <c r="G174">
        <v>26.231999999999999</v>
      </c>
      <c r="H174">
        <v>386.952</v>
      </c>
      <c r="I174">
        <v>6367.902</v>
      </c>
      <c r="J174">
        <v>313.73200000000003</v>
      </c>
      <c r="K174">
        <v>1931.3589999999999</v>
      </c>
      <c r="L174">
        <v>0</v>
      </c>
      <c r="M174">
        <v>1446.3789999999999</v>
      </c>
      <c r="N174">
        <v>484.98</v>
      </c>
      <c r="O174">
        <v>337.79199999999997</v>
      </c>
      <c r="P174">
        <v>1124.768</v>
      </c>
      <c r="Q174">
        <v>351.048</v>
      </c>
      <c r="R174">
        <v>7.3550000000000004</v>
      </c>
      <c r="S174">
        <v>1560.7</v>
      </c>
      <c r="T174">
        <v>1797.4269999999999</v>
      </c>
      <c r="U174">
        <v>3058.627</v>
      </c>
      <c r="V174">
        <v>3035.0079999999998</v>
      </c>
      <c r="W174">
        <v>1992.7339999999999</v>
      </c>
      <c r="X174">
        <v>1183.3440000000001</v>
      </c>
      <c r="Y174">
        <v>10.26</v>
      </c>
      <c r="Z174">
        <v>2317.4282499999999</v>
      </c>
      <c r="AA174" t="s">
        <v>40</v>
      </c>
      <c r="AB174">
        <v>3</v>
      </c>
      <c r="AC174" t="s">
        <v>468</v>
      </c>
    </row>
    <row r="175" spans="1:29" x14ac:dyDescent="0.3">
      <c r="A175">
        <v>2723</v>
      </c>
      <c r="B175" t="s">
        <v>669</v>
      </c>
      <c r="C175" t="s">
        <v>70</v>
      </c>
      <c r="D175" s="1">
        <v>43209</v>
      </c>
      <c r="E175">
        <v>14</v>
      </c>
      <c r="F175" t="s">
        <v>670</v>
      </c>
      <c r="G175">
        <v>264.23399999999998</v>
      </c>
      <c r="H175">
        <v>478.11700000000002</v>
      </c>
      <c r="I175">
        <v>5795.7020000000002</v>
      </c>
      <c r="J175">
        <v>1026.4570000000001</v>
      </c>
      <c r="K175">
        <v>3825.9229999999998</v>
      </c>
      <c r="L175">
        <v>255</v>
      </c>
      <c r="M175">
        <v>2901.5729999999999</v>
      </c>
      <c r="N175">
        <v>924.35</v>
      </c>
      <c r="O175">
        <v>264.23399999999998</v>
      </c>
      <c r="P175">
        <v>448.875</v>
      </c>
      <c r="Q175">
        <v>411.06</v>
      </c>
      <c r="R175">
        <v>87.363</v>
      </c>
      <c r="S175">
        <v>1968.5050000000001</v>
      </c>
      <c r="T175">
        <v>3312.6329999999998</v>
      </c>
      <c r="U175">
        <v>4374.0680000000002</v>
      </c>
      <c r="V175">
        <v>2756.1579999999999</v>
      </c>
      <c r="W175">
        <v>1550.6849999999999</v>
      </c>
      <c r="X175">
        <v>711.745</v>
      </c>
      <c r="Y175">
        <v>23.47</v>
      </c>
      <c r="Z175">
        <v>2348.1640000000002</v>
      </c>
      <c r="AA175" t="s">
        <v>40</v>
      </c>
      <c r="AB175">
        <v>3</v>
      </c>
      <c r="AC175" t="s">
        <v>468</v>
      </c>
    </row>
    <row r="176" spans="1:29" x14ac:dyDescent="0.3">
      <c r="A176">
        <v>2766</v>
      </c>
      <c r="B176" t="s">
        <v>671</v>
      </c>
      <c r="C176" t="s">
        <v>126</v>
      </c>
      <c r="D176" s="1">
        <v>43838</v>
      </c>
      <c r="E176">
        <v>11</v>
      </c>
      <c r="F176" t="s">
        <v>672</v>
      </c>
      <c r="G176">
        <v>165.434</v>
      </c>
      <c r="H176">
        <v>399.64400000000001</v>
      </c>
      <c r="I176">
        <v>5710.9520000000002</v>
      </c>
      <c r="J176">
        <v>300.95299999999997</v>
      </c>
      <c r="K176">
        <v>5272.1729999999998</v>
      </c>
      <c r="L176">
        <v>169.40700000000001</v>
      </c>
      <c r="M176">
        <v>4458.3029999999999</v>
      </c>
      <c r="N176">
        <v>813.87</v>
      </c>
      <c r="O176">
        <v>266.91199999999998</v>
      </c>
      <c r="P176">
        <v>895.48699999999997</v>
      </c>
      <c r="Q176">
        <v>610.255</v>
      </c>
      <c r="R176">
        <v>51.445999999999998</v>
      </c>
      <c r="S176">
        <v>2771.4609999999998</v>
      </c>
      <c r="T176">
        <v>5068.558</v>
      </c>
      <c r="U176">
        <v>6181.1049999999996</v>
      </c>
      <c r="V176">
        <v>3262.0909999999999</v>
      </c>
      <c r="W176">
        <v>1256.126</v>
      </c>
      <c r="X176">
        <v>867.53200000000004</v>
      </c>
      <c r="Y176">
        <v>4.87</v>
      </c>
      <c r="Z176">
        <v>2891.7134999999998</v>
      </c>
      <c r="AA176" t="s">
        <v>40</v>
      </c>
      <c r="AB176">
        <v>3</v>
      </c>
      <c r="AC176" t="s">
        <v>468</v>
      </c>
    </row>
    <row r="177" spans="1:29" x14ac:dyDescent="0.3">
      <c r="A177">
        <v>2767</v>
      </c>
      <c r="B177" t="s">
        <v>673</v>
      </c>
      <c r="C177" t="s">
        <v>70</v>
      </c>
      <c r="D177" s="1">
        <v>38019</v>
      </c>
      <c r="E177">
        <v>34</v>
      </c>
      <c r="F177" t="s">
        <v>674</v>
      </c>
      <c r="G177">
        <v>24.436</v>
      </c>
      <c r="H177">
        <v>181.11500000000001</v>
      </c>
      <c r="I177">
        <v>5709.1660000000002</v>
      </c>
      <c r="J177">
        <v>267.07600000000002</v>
      </c>
      <c r="K177">
        <v>4113.7669999999998</v>
      </c>
      <c r="L177">
        <v>0</v>
      </c>
      <c r="M177">
        <v>3905.9630000000002</v>
      </c>
      <c r="N177">
        <v>207.804</v>
      </c>
      <c r="O177">
        <v>89.206000000000003</v>
      </c>
      <c r="P177">
        <v>297.85500000000002</v>
      </c>
      <c r="Q177">
        <v>190.70099999999999</v>
      </c>
      <c r="R177">
        <v>15.881</v>
      </c>
      <c r="S177">
        <v>2769.596</v>
      </c>
      <c r="T177">
        <v>4096.6639999999998</v>
      </c>
      <c r="U177">
        <v>4515.1180000000004</v>
      </c>
      <c r="V177">
        <v>3185.4920000000002</v>
      </c>
      <c r="W177">
        <v>2010.067</v>
      </c>
      <c r="X177">
        <v>1440.3119999999999</v>
      </c>
      <c r="Y177">
        <v>5.92</v>
      </c>
      <c r="Z177">
        <v>2787.7472499999999</v>
      </c>
      <c r="AA177" t="s">
        <v>40</v>
      </c>
      <c r="AB177">
        <v>3</v>
      </c>
      <c r="AC177" t="s">
        <v>468</v>
      </c>
    </row>
    <row r="178" spans="1:29" x14ac:dyDescent="0.3">
      <c r="A178">
        <v>2309</v>
      </c>
      <c r="B178" t="s">
        <v>657</v>
      </c>
      <c r="C178" t="s">
        <v>93</v>
      </c>
      <c r="D178" s="1">
        <v>43774</v>
      </c>
      <c r="E178">
        <v>22</v>
      </c>
      <c r="F178" t="s">
        <v>658</v>
      </c>
      <c r="G178">
        <v>9.58</v>
      </c>
      <c r="H178">
        <v>56.115000000000002</v>
      </c>
      <c r="I178">
        <v>6834.2820000000002</v>
      </c>
      <c r="J178">
        <v>200.50899999999999</v>
      </c>
      <c r="K178">
        <v>3143.442</v>
      </c>
      <c r="L178">
        <v>7.89</v>
      </c>
      <c r="M178">
        <v>2847.9160000000002</v>
      </c>
      <c r="N178">
        <v>295.52600000000001</v>
      </c>
      <c r="O178">
        <v>18.405999999999999</v>
      </c>
      <c r="P178">
        <v>42.149000000000001</v>
      </c>
      <c r="Q178">
        <v>3.6999999999999998E-2</v>
      </c>
      <c r="R178">
        <v>2.6190000000000002</v>
      </c>
      <c r="S178">
        <v>1211.5820000000001</v>
      </c>
      <c r="T178">
        <v>2847.953</v>
      </c>
      <c r="U178">
        <v>3209.0709999999999</v>
      </c>
      <c r="V178">
        <v>1549.546</v>
      </c>
      <c r="W178">
        <v>401.91500000000002</v>
      </c>
      <c r="X178">
        <v>175.828</v>
      </c>
      <c r="Y178">
        <v>6.25</v>
      </c>
      <c r="Z178">
        <v>1334.09</v>
      </c>
      <c r="AA178" t="s">
        <v>40</v>
      </c>
      <c r="AB178">
        <v>2</v>
      </c>
      <c r="AC178" t="s">
        <v>468</v>
      </c>
    </row>
    <row r="179" spans="1:29" x14ac:dyDescent="0.3">
      <c r="A179">
        <v>4422</v>
      </c>
      <c r="B179" t="s">
        <v>707</v>
      </c>
      <c r="C179" t="s">
        <v>70</v>
      </c>
      <c r="D179" s="1">
        <v>34435</v>
      </c>
      <c r="E179">
        <v>12</v>
      </c>
      <c r="F179" t="s">
        <v>708</v>
      </c>
      <c r="G179">
        <v>37.43</v>
      </c>
      <c r="H179">
        <v>66.926000000000002</v>
      </c>
      <c r="I179">
        <v>3673.451</v>
      </c>
      <c r="J179">
        <v>549.62400000000002</v>
      </c>
      <c r="K179">
        <v>1562.623</v>
      </c>
      <c r="L179">
        <v>434.23</v>
      </c>
      <c r="M179">
        <v>1175.7940000000001</v>
      </c>
      <c r="N179">
        <v>386.82900000000001</v>
      </c>
      <c r="O179">
        <v>43.533999999999999</v>
      </c>
      <c r="P179">
        <v>191.46199999999999</v>
      </c>
      <c r="Q179">
        <v>4.5289999999999999</v>
      </c>
      <c r="R179">
        <v>0.41</v>
      </c>
      <c r="S179">
        <v>488.20499999999998</v>
      </c>
      <c r="T179">
        <v>1180.3230000000001</v>
      </c>
      <c r="U179">
        <v>1756.847</v>
      </c>
      <c r="V179">
        <v>1011.778</v>
      </c>
      <c r="W179">
        <v>843.04499999999996</v>
      </c>
      <c r="X179">
        <v>681.45899999999995</v>
      </c>
      <c r="Y179">
        <v>31.28</v>
      </c>
      <c r="Z179">
        <v>1073.28225</v>
      </c>
      <c r="AA179" t="s">
        <v>40</v>
      </c>
      <c r="AB179">
        <v>2</v>
      </c>
      <c r="AC179" t="s">
        <v>468</v>
      </c>
    </row>
    <row r="180" spans="1:29" x14ac:dyDescent="0.3">
      <c r="A180">
        <v>4738</v>
      </c>
      <c r="B180" t="s">
        <v>733</v>
      </c>
      <c r="C180" t="s">
        <v>61</v>
      </c>
      <c r="D180" s="1">
        <v>37606</v>
      </c>
      <c r="E180">
        <v>12</v>
      </c>
      <c r="F180" t="s">
        <v>734</v>
      </c>
      <c r="G180">
        <v>61.853000000000002</v>
      </c>
      <c r="H180">
        <v>178.26400000000001</v>
      </c>
      <c r="I180">
        <v>3438.665</v>
      </c>
      <c r="J180">
        <v>550.85299999999995</v>
      </c>
      <c r="K180">
        <v>739.30799999999999</v>
      </c>
      <c r="L180">
        <v>4.7699999999999996</v>
      </c>
      <c r="M180">
        <v>364.87900000000002</v>
      </c>
      <c r="N180">
        <v>374.42899999999997</v>
      </c>
      <c r="O180">
        <v>123.547</v>
      </c>
      <c r="P180">
        <v>359.95600000000002</v>
      </c>
      <c r="Q180">
        <v>165.35400000000001</v>
      </c>
      <c r="R180">
        <v>18.978999999999999</v>
      </c>
      <c r="S180">
        <v>901.18299999999999</v>
      </c>
      <c r="T180">
        <v>530.23299999999995</v>
      </c>
      <c r="U180">
        <v>1111.953</v>
      </c>
      <c r="V180">
        <v>1506.3520000000001</v>
      </c>
      <c r="W180">
        <v>1134.4929999999999</v>
      </c>
      <c r="X180">
        <v>1113.1099999999999</v>
      </c>
      <c r="Y180">
        <v>49.54</v>
      </c>
      <c r="Z180">
        <v>1216.4770000000001</v>
      </c>
      <c r="AA180" t="s">
        <v>40</v>
      </c>
      <c r="AB180">
        <v>2</v>
      </c>
      <c r="AC180" t="s">
        <v>468</v>
      </c>
    </row>
    <row r="181" spans="1:29" x14ac:dyDescent="0.3">
      <c r="A181">
        <v>4861</v>
      </c>
      <c r="B181" t="s">
        <v>735</v>
      </c>
      <c r="C181" t="s">
        <v>38</v>
      </c>
      <c r="D181" s="1">
        <v>39043</v>
      </c>
      <c r="E181">
        <v>24</v>
      </c>
      <c r="F181" t="s">
        <v>736</v>
      </c>
      <c r="G181">
        <v>18.408999999999999</v>
      </c>
      <c r="H181">
        <v>183.851</v>
      </c>
      <c r="I181">
        <v>3349.672</v>
      </c>
      <c r="J181">
        <v>373.37</v>
      </c>
      <c r="K181">
        <v>2130.8049999999998</v>
      </c>
      <c r="L181">
        <v>38.164999999999999</v>
      </c>
      <c r="M181">
        <v>1756.59</v>
      </c>
      <c r="N181">
        <v>374.21499999999997</v>
      </c>
      <c r="O181">
        <v>57.537999999999997</v>
      </c>
      <c r="P181">
        <v>120.14700000000001</v>
      </c>
      <c r="Q181">
        <v>21.373000000000001</v>
      </c>
      <c r="R181">
        <v>104.574</v>
      </c>
      <c r="S181">
        <v>963.47400000000005</v>
      </c>
      <c r="T181">
        <v>1777.963</v>
      </c>
      <c r="U181">
        <v>2295.895</v>
      </c>
      <c r="V181">
        <v>1434.895</v>
      </c>
      <c r="W181">
        <v>1035.604</v>
      </c>
      <c r="X181">
        <v>594.02</v>
      </c>
      <c r="Y181">
        <v>16.260000000000002</v>
      </c>
      <c r="Z181">
        <v>1340.1034999999999</v>
      </c>
      <c r="AA181" t="s">
        <v>40</v>
      </c>
      <c r="AB181">
        <v>2</v>
      </c>
      <c r="AC181" t="s">
        <v>468</v>
      </c>
    </row>
    <row r="182" spans="1:29" x14ac:dyDescent="0.3">
      <c r="A182">
        <v>4882</v>
      </c>
      <c r="B182" t="s">
        <v>739</v>
      </c>
      <c r="C182" t="s">
        <v>70</v>
      </c>
      <c r="D182" s="1">
        <v>42998</v>
      </c>
      <c r="E182">
        <v>63</v>
      </c>
      <c r="F182" t="s">
        <v>740</v>
      </c>
      <c r="G182">
        <v>-75.421000000000006</v>
      </c>
      <c r="H182">
        <v>175.16</v>
      </c>
      <c r="I182">
        <v>3333.8519999999999</v>
      </c>
      <c r="J182">
        <v>476.57299999999998</v>
      </c>
      <c r="K182">
        <v>920.88499999999999</v>
      </c>
      <c r="L182">
        <v>0</v>
      </c>
      <c r="M182">
        <v>1308.386</v>
      </c>
      <c r="N182">
        <v>-387.50099999999998</v>
      </c>
      <c r="O182">
        <v>61.865000000000002</v>
      </c>
      <c r="P182">
        <v>857.86199999999997</v>
      </c>
      <c r="Q182">
        <v>51.98</v>
      </c>
      <c r="R182">
        <v>44.345999999999997</v>
      </c>
      <c r="S182">
        <v>387.40800000000002</v>
      </c>
      <c r="T182">
        <v>1360.366</v>
      </c>
      <c r="U182">
        <v>1855.454</v>
      </c>
      <c r="V182">
        <v>951.24599999999998</v>
      </c>
      <c r="W182">
        <v>784.89499999999998</v>
      </c>
      <c r="X182">
        <v>1016.9349999999999</v>
      </c>
      <c r="Y182">
        <v>25.68</v>
      </c>
      <c r="Z182">
        <v>1152.1324999999999</v>
      </c>
      <c r="AA182" t="s">
        <v>40</v>
      </c>
      <c r="AB182">
        <v>2</v>
      </c>
      <c r="AC182" t="s">
        <v>468</v>
      </c>
    </row>
    <row r="183" spans="1:29" x14ac:dyDescent="0.3">
      <c r="A183">
        <v>4903</v>
      </c>
      <c r="B183" t="s">
        <v>741</v>
      </c>
      <c r="C183" t="s">
        <v>70</v>
      </c>
      <c r="D183" s="1">
        <v>38009</v>
      </c>
      <c r="E183">
        <v>17</v>
      </c>
      <c r="F183" t="s">
        <v>742</v>
      </c>
      <c r="G183">
        <v>36.621000000000002</v>
      </c>
      <c r="H183">
        <v>314.245</v>
      </c>
      <c r="I183">
        <v>3320.223</v>
      </c>
      <c r="J183">
        <v>202.75700000000001</v>
      </c>
      <c r="K183">
        <v>1253.5039999999999</v>
      </c>
      <c r="L183">
        <v>0</v>
      </c>
      <c r="M183">
        <v>855.89400000000001</v>
      </c>
      <c r="N183">
        <v>397.61</v>
      </c>
      <c r="O183">
        <v>284.01499999999999</v>
      </c>
      <c r="P183">
        <v>74.591999999999999</v>
      </c>
      <c r="Q183">
        <v>141.053</v>
      </c>
      <c r="R183">
        <v>15.574999999999999</v>
      </c>
      <c r="S183">
        <v>414.988</v>
      </c>
      <c r="T183">
        <v>996.947</v>
      </c>
      <c r="U183">
        <v>1328.096</v>
      </c>
      <c r="V183">
        <v>709.95500000000004</v>
      </c>
      <c r="W183">
        <v>1124.3969999999999</v>
      </c>
      <c r="X183">
        <v>872.38400000000001</v>
      </c>
      <c r="Y183">
        <v>15.27</v>
      </c>
      <c r="Z183">
        <v>1008.708</v>
      </c>
      <c r="AA183" t="s">
        <v>40</v>
      </c>
      <c r="AB183">
        <v>2</v>
      </c>
      <c r="AC183" t="s">
        <v>468</v>
      </c>
    </row>
    <row r="184" spans="1:29" x14ac:dyDescent="0.3">
      <c r="A184">
        <v>4935</v>
      </c>
      <c r="B184" t="s">
        <v>743</v>
      </c>
      <c r="C184" t="s">
        <v>38</v>
      </c>
      <c r="D184" s="1">
        <v>41304</v>
      </c>
      <c r="E184">
        <v>13</v>
      </c>
      <c r="F184" t="s">
        <v>744</v>
      </c>
      <c r="G184">
        <v>76.394999999999996</v>
      </c>
      <c r="H184">
        <v>130.65799999999999</v>
      </c>
      <c r="I184">
        <v>3299.02</v>
      </c>
      <c r="J184">
        <v>328.77699999999999</v>
      </c>
      <c r="K184">
        <v>1516.674</v>
      </c>
      <c r="L184">
        <v>0</v>
      </c>
      <c r="M184">
        <v>1313.06</v>
      </c>
      <c r="N184">
        <v>203.614</v>
      </c>
      <c r="O184">
        <v>105.848</v>
      </c>
      <c r="P184">
        <v>190.364</v>
      </c>
      <c r="Q184">
        <v>9.5269999999999992</v>
      </c>
      <c r="R184">
        <v>6.6000000000000003E-2</v>
      </c>
      <c r="S184">
        <v>374.798</v>
      </c>
      <c r="T184">
        <v>1322.587</v>
      </c>
      <c r="U184">
        <v>1707.038</v>
      </c>
      <c r="V184">
        <v>652.03899999999999</v>
      </c>
      <c r="W184">
        <v>532.23800000000006</v>
      </c>
      <c r="X184">
        <v>286.41899999999998</v>
      </c>
      <c r="Y184">
        <v>19.260000000000002</v>
      </c>
      <c r="Z184">
        <v>794.43349999999998</v>
      </c>
      <c r="AA184" t="s">
        <v>40</v>
      </c>
      <c r="AB184">
        <v>2</v>
      </c>
      <c r="AC184" t="s">
        <v>468</v>
      </c>
    </row>
    <row r="185" spans="1:29" x14ac:dyDescent="0.3">
      <c r="A185">
        <v>5148</v>
      </c>
      <c r="B185" t="s">
        <v>747</v>
      </c>
      <c r="C185" t="s">
        <v>38</v>
      </c>
      <c r="D185" s="1">
        <v>41549</v>
      </c>
      <c r="E185">
        <v>43</v>
      </c>
      <c r="F185" t="s">
        <v>748</v>
      </c>
      <c r="G185">
        <v>12.098000000000001</v>
      </c>
      <c r="H185">
        <v>169.654</v>
      </c>
      <c r="I185">
        <v>3163.4679999999998</v>
      </c>
      <c r="J185">
        <v>186.04900000000001</v>
      </c>
      <c r="K185">
        <v>1339.271</v>
      </c>
      <c r="L185">
        <v>76.186000000000007</v>
      </c>
      <c r="M185">
        <v>1146.6769999999999</v>
      </c>
      <c r="N185">
        <v>192.59399999999999</v>
      </c>
      <c r="O185">
        <v>157.52000000000001</v>
      </c>
      <c r="P185">
        <v>281.50900000000001</v>
      </c>
      <c r="Q185">
        <v>167.11600000000001</v>
      </c>
      <c r="R185">
        <v>10.018000000000001</v>
      </c>
      <c r="S185">
        <v>1418.027</v>
      </c>
      <c r="T185">
        <v>1313.7929999999999</v>
      </c>
      <c r="U185">
        <v>1620.78</v>
      </c>
      <c r="V185">
        <v>1739.9960000000001</v>
      </c>
      <c r="W185">
        <v>1106.6279999999999</v>
      </c>
      <c r="X185">
        <v>825.54200000000003</v>
      </c>
      <c r="Y185">
        <v>11.48</v>
      </c>
      <c r="Z185">
        <v>1323.2365</v>
      </c>
      <c r="AA185" t="s">
        <v>40</v>
      </c>
      <c r="AB185">
        <v>2</v>
      </c>
      <c r="AC185" t="s">
        <v>468</v>
      </c>
    </row>
    <row r="186" spans="1:29" x14ac:dyDescent="0.3">
      <c r="A186">
        <v>5308</v>
      </c>
      <c r="B186" t="s">
        <v>755</v>
      </c>
      <c r="C186" t="s">
        <v>126</v>
      </c>
      <c r="D186" s="1">
        <v>42661</v>
      </c>
      <c r="E186">
        <v>29</v>
      </c>
      <c r="F186" t="s">
        <v>756</v>
      </c>
      <c r="G186">
        <v>30.526</v>
      </c>
      <c r="H186">
        <v>95.233999999999995</v>
      </c>
      <c r="I186">
        <v>3067.8310000000001</v>
      </c>
      <c r="J186">
        <v>106.908</v>
      </c>
      <c r="K186">
        <v>1254.0889999999999</v>
      </c>
      <c r="L186">
        <v>43.2</v>
      </c>
      <c r="M186">
        <v>1067.115</v>
      </c>
      <c r="N186">
        <v>186.97399999999999</v>
      </c>
      <c r="O186">
        <v>52.283999999999999</v>
      </c>
      <c r="P186">
        <v>174.28800000000001</v>
      </c>
      <c r="Q186">
        <v>227.898</v>
      </c>
      <c r="R186">
        <v>14.763</v>
      </c>
      <c r="S186">
        <v>922.54</v>
      </c>
      <c r="T186">
        <v>1295.0129999999999</v>
      </c>
      <c r="U186">
        <v>1435.877</v>
      </c>
      <c r="V186">
        <v>1017.569</v>
      </c>
      <c r="W186">
        <v>632.08500000000004</v>
      </c>
      <c r="X186">
        <v>408.74299999999999</v>
      </c>
      <c r="Y186">
        <v>7.45</v>
      </c>
      <c r="Z186">
        <v>873.56849999999997</v>
      </c>
      <c r="AA186" t="s">
        <v>40</v>
      </c>
      <c r="AB186">
        <v>2</v>
      </c>
      <c r="AC186" t="s">
        <v>468</v>
      </c>
    </row>
    <row r="187" spans="1:29" x14ac:dyDescent="0.3">
      <c r="A187">
        <v>5375</v>
      </c>
      <c r="B187" t="s">
        <v>757</v>
      </c>
      <c r="C187" t="s">
        <v>48</v>
      </c>
      <c r="D187" s="1">
        <v>42795</v>
      </c>
      <c r="E187">
        <v>39</v>
      </c>
      <c r="F187" t="s">
        <v>758</v>
      </c>
      <c r="G187">
        <v>8.8260000000000005</v>
      </c>
      <c r="H187">
        <v>40.158000000000001</v>
      </c>
      <c r="I187">
        <v>3023.873</v>
      </c>
      <c r="J187">
        <v>61.258000000000003</v>
      </c>
      <c r="K187">
        <v>1117.8789999999999</v>
      </c>
      <c r="L187">
        <v>228.702</v>
      </c>
      <c r="M187">
        <v>890.13099999999997</v>
      </c>
      <c r="N187">
        <v>227.74799999999999</v>
      </c>
      <c r="O187">
        <v>32.841000000000001</v>
      </c>
      <c r="P187">
        <v>49.462000000000003</v>
      </c>
      <c r="Q187">
        <v>1.2290000000000001</v>
      </c>
      <c r="R187">
        <v>0.40600000000000003</v>
      </c>
      <c r="S187">
        <v>758.90099999999995</v>
      </c>
      <c r="T187">
        <v>891.36</v>
      </c>
      <c r="U187">
        <v>1180.223</v>
      </c>
      <c r="V187">
        <v>1010.539</v>
      </c>
      <c r="W187">
        <v>971.71799999999996</v>
      </c>
      <c r="X187">
        <v>665.40099999999995</v>
      </c>
      <c r="Y187">
        <v>5.19</v>
      </c>
      <c r="Z187">
        <v>956.97024999999996</v>
      </c>
      <c r="AA187" t="s">
        <v>40</v>
      </c>
      <c r="AB187">
        <v>2</v>
      </c>
      <c r="AC187" t="s">
        <v>468</v>
      </c>
    </row>
    <row r="188" spans="1:29" x14ac:dyDescent="0.3">
      <c r="A188">
        <v>5606</v>
      </c>
      <c r="B188" t="s">
        <v>761</v>
      </c>
      <c r="C188" t="s">
        <v>38</v>
      </c>
      <c r="D188" s="1">
        <v>43168</v>
      </c>
      <c r="E188">
        <v>22</v>
      </c>
      <c r="F188" t="s">
        <v>762</v>
      </c>
      <c r="G188">
        <v>96.069000000000003</v>
      </c>
      <c r="H188">
        <v>167.798</v>
      </c>
      <c r="I188">
        <v>2904.4250000000002</v>
      </c>
      <c r="J188">
        <v>295.84500000000003</v>
      </c>
      <c r="K188">
        <v>1021.054</v>
      </c>
      <c r="L188">
        <v>0</v>
      </c>
      <c r="M188">
        <v>412.48599999999999</v>
      </c>
      <c r="N188">
        <v>608.56799999999998</v>
      </c>
      <c r="O188">
        <v>125.565</v>
      </c>
      <c r="P188">
        <v>67.305999999999997</v>
      </c>
      <c r="Q188">
        <v>333.45600000000002</v>
      </c>
      <c r="R188">
        <v>4.407</v>
      </c>
      <c r="S188">
        <v>672.39</v>
      </c>
      <c r="T188">
        <v>745.94200000000001</v>
      </c>
      <c r="U188">
        <v>1103.56</v>
      </c>
      <c r="V188">
        <v>884.11099999999999</v>
      </c>
      <c r="W188">
        <v>357.67700000000002</v>
      </c>
      <c r="X188">
        <v>279.94400000000002</v>
      </c>
      <c r="Y188">
        <v>26.81</v>
      </c>
      <c r="Z188">
        <v>656.32299999999998</v>
      </c>
      <c r="AA188" t="s">
        <v>40</v>
      </c>
      <c r="AB188">
        <v>2</v>
      </c>
      <c r="AC188" t="s">
        <v>468</v>
      </c>
    </row>
    <row r="189" spans="1:29" x14ac:dyDescent="0.3">
      <c r="A189">
        <v>5772</v>
      </c>
      <c r="B189" t="s">
        <v>765</v>
      </c>
      <c r="C189" t="s">
        <v>93</v>
      </c>
      <c r="D189" s="1">
        <v>41689</v>
      </c>
      <c r="E189">
        <v>8</v>
      </c>
      <c r="F189" t="s">
        <v>766</v>
      </c>
      <c r="G189">
        <v>14.289</v>
      </c>
      <c r="H189">
        <v>32.302</v>
      </c>
      <c r="I189">
        <v>2828.5250000000001</v>
      </c>
      <c r="J189">
        <v>242.334</v>
      </c>
      <c r="K189">
        <v>832.15</v>
      </c>
      <c r="L189">
        <v>131.02799999999999</v>
      </c>
      <c r="M189">
        <v>499.27199999999999</v>
      </c>
      <c r="N189">
        <v>332.87799999999999</v>
      </c>
      <c r="O189">
        <v>24.488</v>
      </c>
      <c r="P189">
        <v>32.027999999999999</v>
      </c>
      <c r="Q189">
        <v>84.882999999999996</v>
      </c>
      <c r="R189">
        <v>0.32200000000000001</v>
      </c>
      <c r="S189">
        <v>1648.444</v>
      </c>
      <c r="T189">
        <v>584.15499999999997</v>
      </c>
      <c r="U189">
        <v>882.67499999999995</v>
      </c>
      <c r="V189">
        <v>1948.249</v>
      </c>
      <c r="W189">
        <v>555.90300000000002</v>
      </c>
      <c r="X189">
        <v>721.57399999999996</v>
      </c>
      <c r="Y189">
        <v>27.45</v>
      </c>
      <c r="Z189">
        <v>1027.10025</v>
      </c>
      <c r="AA189" t="s">
        <v>40</v>
      </c>
      <c r="AB189">
        <v>2</v>
      </c>
      <c r="AC189" t="s">
        <v>468</v>
      </c>
    </row>
    <row r="190" spans="1:29" x14ac:dyDescent="0.3">
      <c r="A190">
        <v>5895</v>
      </c>
      <c r="B190" t="s">
        <v>771</v>
      </c>
      <c r="C190" t="s">
        <v>38</v>
      </c>
      <c r="D190" s="1">
        <v>43132</v>
      </c>
      <c r="E190">
        <v>33</v>
      </c>
      <c r="F190" t="s">
        <v>772</v>
      </c>
      <c r="G190">
        <v>80.478999999999999</v>
      </c>
      <c r="H190">
        <v>242.5</v>
      </c>
      <c r="I190">
        <v>2768.1469999999999</v>
      </c>
      <c r="J190">
        <v>398.363</v>
      </c>
      <c r="K190">
        <v>1314.2909999999999</v>
      </c>
      <c r="L190">
        <v>167.55600000000001</v>
      </c>
      <c r="M190">
        <v>857.08900000000006</v>
      </c>
      <c r="N190">
        <v>457.202</v>
      </c>
      <c r="O190">
        <v>131.91900000000001</v>
      </c>
      <c r="P190">
        <v>198.971</v>
      </c>
      <c r="Q190">
        <v>119.104</v>
      </c>
      <c r="R190">
        <v>27.245999999999999</v>
      </c>
      <c r="S190">
        <v>1088.056</v>
      </c>
      <c r="T190">
        <v>976.19299999999998</v>
      </c>
      <c r="U190">
        <v>1513.2619999999999</v>
      </c>
      <c r="V190">
        <v>1535.0419999999999</v>
      </c>
      <c r="W190">
        <v>923.327</v>
      </c>
      <c r="X190">
        <v>831.39400000000001</v>
      </c>
      <c r="Y190">
        <v>26.32</v>
      </c>
      <c r="Z190">
        <v>1200.7562499999999</v>
      </c>
      <c r="AA190" t="s">
        <v>40</v>
      </c>
      <c r="AB190">
        <v>2</v>
      </c>
      <c r="AC190" t="s">
        <v>468</v>
      </c>
    </row>
    <row r="191" spans="1:29" x14ac:dyDescent="0.3">
      <c r="A191">
        <v>5919</v>
      </c>
      <c r="B191" t="s">
        <v>773</v>
      </c>
      <c r="C191" t="s">
        <v>93</v>
      </c>
      <c r="D191" s="1">
        <v>42719</v>
      </c>
      <c r="E191">
        <v>9</v>
      </c>
      <c r="F191" t="s">
        <v>774</v>
      </c>
      <c r="G191">
        <v>238.17500000000001</v>
      </c>
      <c r="H191">
        <v>350.19099999999997</v>
      </c>
      <c r="I191">
        <v>2759.4050000000002</v>
      </c>
      <c r="J191">
        <v>600.54999999999995</v>
      </c>
      <c r="K191">
        <v>1400.528</v>
      </c>
      <c r="L191">
        <v>458.9</v>
      </c>
      <c r="M191">
        <v>1021.506</v>
      </c>
      <c r="N191">
        <v>379.02199999999999</v>
      </c>
      <c r="O191">
        <v>307.702</v>
      </c>
      <c r="P191">
        <v>282.91500000000002</v>
      </c>
      <c r="Q191">
        <v>0</v>
      </c>
      <c r="R191">
        <v>42.488999999999997</v>
      </c>
      <c r="S191">
        <v>709.76099999999997</v>
      </c>
      <c r="T191">
        <v>1021.506</v>
      </c>
      <c r="U191">
        <v>1683.443</v>
      </c>
      <c r="V191">
        <v>1187.7349999999999</v>
      </c>
      <c r="W191">
        <v>804.09900000000005</v>
      </c>
      <c r="X191">
        <v>755.28099999999995</v>
      </c>
      <c r="Y191">
        <v>35.67</v>
      </c>
      <c r="Z191">
        <v>1107.6395</v>
      </c>
      <c r="AA191" t="s">
        <v>40</v>
      </c>
      <c r="AB191">
        <v>2</v>
      </c>
      <c r="AC191" t="s">
        <v>468</v>
      </c>
    </row>
    <row r="192" spans="1:29" x14ac:dyDescent="0.3">
      <c r="A192">
        <v>6070</v>
      </c>
      <c r="B192" t="s">
        <v>775</v>
      </c>
      <c r="C192" t="s">
        <v>126</v>
      </c>
      <c r="D192" s="1">
        <v>41078</v>
      </c>
      <c r="E192">
        <v>10</v>
      </c>
      <c r="F192" t="s">
        <v>776</v>
      </c>
      <c r="G192">
        <v>3.3530000000000002</v>
      </c>
      <c r="H192">
        <v>117.52</v>
      </c>
      <c r="I192">
        <v>2698.9110000000001</v>
      </c>
      <c r="J192">
        <v>322.30799999999999</v>
      </c>
      <c r="K192">
        <v>889.09199999999998</v>
      </c>
      <c r="L192">
        <v>3.504</v>
      </c>
      <c r="M192">
        <v>731.58299999999997</v>
      </c>
      <c r="N192">
        <v>157.50899999999999</v>
      </c>
      <c r="O192">
        <v>108.816</v>
      </c>
      <c r="P192">
        <v>286.91300000000001</v>
      </c>
      <c r="Q192">
        <v>20.481000000000002</v>
      </c>
      <c r="R192">
        <v>8.8940000000000001</v>
      </c>
      <c r="S192">
        <v>678.16200000000003</v>
      </c>
      <c r="T192">
        <v>752.06399999999996</v>
      </c>
      <c r="U192">
        <v>1190.4490000000001</v>
      </c>
      <c r="V192">
        <v>1106.616</v>
      </c>
      <c r="W192">
        <v>1227.816</v>
      </c>
      <c r="X192">
        <v>890.66300000000001</v>
      </c>
      <c r="Y192">
        <v>27.07</v>
      </c>
      <c r="Z192">
        <v>1103.886</v>
      </c>
      <c r="AA192" t="s">
        <v>40</v>
      </c>
      <c r="AB192">
        <v>2</v>
      </c>
      <c r="AC192" t="s">
        <v>468</v>
      </c>
    </row>
    <row r="193" spans="1:29" x14ac:dyDescent="0.3">
      <c r="A193">
        <v>6095</v>
      </c>
      <c r="B193" t="s">
        <v>777</v>
      </c>
      <c r="C193" t="s">
        <v>38</v>
      </c>
      <c r="D193" s="1">
        <v>43563</v>
      </c>
      <c r="E193">
        <v>10</v>
      </c>
      <c r="F193" t="s">
        <v>778</v>
      </c>
      <c r="G193">
        <v>96.191000000000003</v>
      </c>
      <c r="H193">
        <v>181.739</v>
      </c>
      <c r="I193">
        <v>2689.25</v>
      </c>
      <c r="J193">
        <v>450.92500000000001</v>
      </c>
      <c r="K193">
        <v>1693.4349999999999</v>
      </c>
      <c r="L193">
        <v>57.192999999999998</v>
      </c>
      <c r="M193">
        <v>1245.992</v>
      </c>
      <c r="N193">
        <v>447.44299999999998</v>
      </c>
      <c r="O193">
        <v>131.13200000000001</v>
      </c>
      <c r="P193">
        <v>247.39599999999999</v>
      </c>
      <c r="Q193">
        <v>231.364</v>
      </c>
      <c r="R193">
        <v>12.871</v>
      </c>
      <c r="S193">
        <v>1267.3630000000001</v>
      </c>
      <c r="T193">
        <v>1477.356</v>
      </c>
      <c r="U193">
        <v>1940.8309999999999</v>
      </c>
      <c r="V193">
        <v>1677.3150000000001</v>
      </c>
      <c r="W193">
        <v>925.08399999999995</v>
      </c>
      <c r="X193">
        <v>644.404</v>
      </c>
      <c r="Y193">
        <v>23.23</v>
      </c>
      <c r="Z193">
        <v>1296.9085</v>
      </c>
      <c r="AA193" t="s">
        <v>40</v>
      </c>
      <c r="AB193">
        <v>2</v>
      </c>
      <c r="AC193" t="s">
        <v>468</v>
      </c>
    </row>
    <row r="194" spans="1:29" x14ac:dyDescent="0.3">
      <c r="A194">
        <v>8226</v>
      </c>
      <c r="B194" t="s">
        <v>803</v>
      </c>
      <c r="C194" t="s">
        <v>38</v>
      </c>
      <c r="D194" s="1">
        <v>44155</v>
      </c>
      <c r="E194">
        <v>13</v>
      </c>
      <c r="F194" t="s">
        <v>804</v>
      </c>
      <c r="G194">
        <v>7.6859999999999999</v>
      </c>
      <c r="H194">
        <v>35.290999999999997</v>
      </c>
      <c r="I194">
        <v>1969.364</v>
      </c>
      <c r="J194">
        <v>61.591999999999999</v>
      </c>
      <c r="K194">
        <v>957.41899999999998</v>
      </c>
      <c r="L194">
        <v>686</v>
      </c>
      <c r="M194">
        <v>950.05700000000002</v>
      </c>
      <c r="N194">
        <v>7.3620000000000001</v>
      </c>
      <c r="O194">
        <v>23.600999999999999</v>
      </c>
      <c r="P194">
        <v>125.328</v>
      </c>
      <c r="Q194">
        <v>0</v>
      </c>
      <c r="R194">
        <v>0.79700000000000004</v>
      </c>
      <c r="S194">
        <v>583.66899999999998</v>
      </c>
      <c r="T194">
        <v>950.05700000000002</v>
      </c>
      <c r="U194">
        <v>1088.0989999999999</v>
      </c>
      <c r="V194">
        <v>698.10199999999998</v>
      </c>
      <c r="W194">
        <v>393.721</v>
      </c>
      <c r="X194">
        <v>45.081000000000003</v>
      </c>
      <c r="Y194">
        <v>5.66</v>
      </c>
      <c r="Z194">
        <v>556.25075000000004</v>
      </c>
      <c r="AA194" t="s">
        <v>40</v>
      </c>
      <c r="AB194">
        <v>1</v>
      </c>
      <c r="AC194" t="s">
        <v>468</v>
      </c>
    </row>
    <row r="195" spans="1:29" x14ac:dyDescent="0.3">
      <c r="A195">
        <v>8468</v>
      </c>
      <c r="B195" t="s">
        <v>807</v>
      </c>
      <c r="C195" t="s">
        <v>48</v>
      </c>
      <c r="D195" s="1">
        <v>41565</v>
      </c>
      <c r="E195">
        <v>14</v>
      </c>
      <c r="F195" t="s">
        <v>808</v>
      </c>
      <c r="G195">
        <v>24.885999999999999</v>
      </c>
      <c r="H195">
        <v>77.403999999999996</v>
      </c>
      <c r="I195">
        <v>1909.386</v>
      </c>
      <c r="J195">
        <v>253.46799999999999</v>
      </c>
      <c r="K195">
        <v>578.26199999999994</v>
      </c>
      <c r="L195">
        <v>217.92</v>
      </c>
      <c r="M195">
        <v>235.143</v>
      </c>
      <c r="N195">
        <v>343.11900000000003</v>
      </c>
      <c r="O195">
        <v>38.771000000000001</v>
      </c>
      <c r="P195">
        <v>94.811999999999998</v>
      </c>
      <c r="Q195">
        <v>55.031999999999996</v>
      </c>
      <c r="R195">
        <v>11.959</v>
      </c>
      <c r="S195">
        <v>287.37099999999998</v>
      </c>
      <c r="T195">
        <v>290.17500000000001</v>
      </c>
      <c r="U195">
        <v>690.101</v>
      </c>
      <c r="V195">
        <v>558.904</v>
      </c>
      <c r="W195">
        <v>443.15800000000002</v>
      </c>
      <c r="X195">
        <v>317.46199999999999</v>
      </c>
      <c r="Y195">
        <v>36.729999999999997</v>
      </c>
      <c r="Z195">
        <v>502.40625</v>
      </c>
      <c r="AA195" t="s">
        <v>40</v>
      </c>
      <c r="AB195">
        <v>1</v>
      </c>
      <c r="AC195" t="s">
        <v>468</v>
      </c>
    </row>
    <row r="196" spans="1:29" x14ac:dyDescent="0.3">
      <c r="A196">
        <v>8743</v>
      </c>
      <c r="B196" t="s">
        <v>821</v>
      </c>
      <c r="C196" t="s">
        <v>61</v>
      </c>
      <c r="D196" s="1">
        <v>40080</v>
      </c>
      <c r="E196">
        <v>4</v>
      </c>
      <c r="F196" t="s">
        <v>822</v>
      </c>
      <c r="G196">
        <v>-7.9290000000000003</v>
      </c>
      <c r="H196">
        <v>11.412000000000001</v>
      </c>
      <c r="I196">
        <v>1843.088</v>
      </c>
      <c r="J196">
        <v>276.32499999999999</v>
      </c>
      <c r="K196">
        <v>293.50700000000001</v>
      </c>
      <c r="L196">
        <v>54.869</v>
      </c>
      <c r="M196">
        <v>139.56899999999999</v>
      </c>
      <c r="N196">
        <v>153.93799999999999</v>
      </c>
      <c r="O196">
        <v>17.434000000000001</v>
      </c>
      <c r="P196">
        <v>232.29499999999999</v>
      </c>
      <c r="Q196">
        <v>62.878</v>
      </c>
      <c r="R196">
        <v>0.95799999999999996</v>
      </c>
      <c r="S196">
        <v>214.786</v>
      </c>
      <c r="T196">
        <v>202.447</v>
      </c>
      <c r="U196">
        <v>526.70600000000002</v>
      </c>
      <c r="V196">
        <v>544.26099999999997</v>
      </c>
      <c r="W196">
        <v>559.31799999999998</v>
      </c>
      <c r="X196">
        <v>516.94000000000005</v>
      </c>
      <c r="Y196">
        <v>52.46</v>
      </c>
      <c r="Z196">
        <v>536.80624999999998</v>
      </c>
      <c r="AA196" t="s">
        <v>40</v>
      </c>
      <c r="AB196">
        <v>1</v>
      </c>
      <c r="AC196" t="s">
        <v>468</v>
      </c>
    </row>
    <row r="197" spans="1:29" x14ac:dyDescent="0.3">
      <c r="A197">
        <v>9758</v>
      </c>
      <c r="B197" t="s">
        <v>839</v>
      </c>
      <c r="C197" t="s">
        <v>38</v>
      </c>
      <c r="D197" s="1">
        <v>43844</v>
      </c>
      <c r="E197">
        <v>19</v>
      </c>
      <c r="F197" t="s">
        <v>840</v>
      </c>
      <c r="G197">
        <v>72.677999999999997</v>
      </c>
      <c r="H197">
        <v>111.617</v>
      </c>
      <c r="I197">
        <v>1634.4490000000001</v>
      </c>
      <c r="J197">
        <v>515.53700000000003</v>
      </c>
      <c r="K197">
        <v>662.61400000000003</v>
      </c>
      <c r="L197">
        <v>17.68</v>
      </c>
      <c r="M197">
        <v>111.44499999999999</v>
      </c>
      <c r="N197">
        <v>551.16899999999998</v>
      </c>
      <c r="O197">
        <v>77.266000000000005</v>
      </c>
      <c r="P197">
        <v>24.04</v>
      </c>
      <c r="Q197">
        <v>59.671999999999997</v>
      </c>
      <c r="R197">
        <v>4.9240000000000004</v>
      </c>
      <c r="S197">
        <v>251.49700000000001</v>
      </c>
      <c r="T197">
        <v>171.11699999999999</v>
      </c>
      <c r="U197">
        <v>686.654</v>
      </c>
      <c r="V197">
        <v>715.71199999999999</v>
      </c>
      <c r="W197">
        <v>379.04500000000002</v>
      </c>
      <c r="X197">
        <v>94.093999999999994</v>
      </c>
      <c r="Y197">
        <v>75.08</v>
      </c>
      <c r="Z197">
        <v>468.87625000000003</v>
      </c>
      <c r="AA197" t="s">
        <v>40</v>
      </c>
      <c r="AB197">
        <v>1</v>
      </c>
      <c r="AC197" t="s">
        <v>468</v>
      </c>
    </row>
    <row r="198" spans="1:29" x14ac:dyDescent="0.3">
      <c r="A198">
        <v>10088</v>
      </c>
      <c r="B198" t="s">
        <v>843</v>
      </c>
      <c r="C198" t="s">
        <v>93</v>
      </c>
      <c r="D198" s="1">
        <v>43231</v>
      </c>
      <c r="E198">
        <v>7</v>
      </c>
      <c r="F198" t="s">
        <v>844</v>
      </c>
      <c r="G198">
        <v>25.131</v>
      </c>
      <c r="H198">
        <v>81.335999999999999</v>
      </c>
      <c r="I198">
        <v>1569.76</v>
      </c>
      <c r="J198">
        <v>154.59800000000001</v>
      </c>
      <c r="K198">
        <v>174.679</v>
      </c>
      <c r="L198">
        <v>0</v>
      </c>
      <c r="M198">
        <v>35.066000000000003</v>
      </c>
      <c r="N198">
        <v>139.613</v>
      </c>
      <c r="O198">
        <v>66.361999999999995</v>
      </c>
      <c r="P198">
        <v>116.06</v>
      </c>
      <c r="Q198">
        <v>101.075</v>
      </c>
      <c r="R198">
        <v>0</v>
      </c>
      <c r="S198">
        <v>270.41500000000002</v>
      </c>
      <c r="T198">
        <v>136.14099999999999</v>
      </c>
      <c r="U198">
        <v>290.73899999999998</v>
      </c>
      <c r="V198">
        <v>436.49400000000003</v>
      </c>
      <c r="W198">
        <v>636.72799999999995</v>
      </c>
      <c r="X198">
        <v>149.291</v>
      </c>
      <c r="Y198">
        <v>53.17</v>
      </c>
      <c r="Z198">
        <v>378.31299999999999</v>
      </c>
      <c r="AA198" t="s">
        <v>40</v>
      </c>
      <c r="AB198">
        <v>1</v>
      </c>
      <c r="AC198" t="s">
        <v>468</v>
      </c>
    </row>
    <row r="199" spans="1:29" x14ac:dyDescent="0.3">
      <c r="A199">
        <v>10174</v>
      </c>
      <c r="B199" t="s">
        <v>845</v>
      </c>
      <c r="C199" t="s">
        <v>354</v>
      </c>
      <c r="D199" s="1">
        <v>43612</v>
      </c>
      <c r="E199">
        <v>11</v>
      </c>
      <c r="F199" t="s">
        <v>846</v>
      </c>
      <c r="G199">
        <v>8.1349999999999998</v>
      </c>
      <c r="H199">
        <v>44.76</v>
      </c>
      <c r="I199">
        <v>1554.345</v>
      </c>
      <c r="J199">
        <v>39.982999999999997</v>
      </c>
      <c r="K199">
        <v>626.06399999999996</v>
      </c>
      <c r="L199">
        <v>150</v>
      </c>
      <c r="M199">
        <v>432.79500000000002</v>
      </c>
      <c r="N199">
        <v>193.26900000000001</v>
      </c>
      <c r="O199">
        <v>15.318</v>
      </c>
      <c r="P199">
        <v>22.382999999999999</v>
      </c>
      <c r="Q199">
        <v>148.05600000000001</v>
      </c>
      <c r="R199">
        <v>15.273999999999999</v>
      </c>
      <c r="S199">
        <v>602.80600000000004</v>
      </c>
      <c r="T199">
        <v>580.851</v>
      </c>
      <c r="U199">
        <v>660.63599999999997</v>
      </c>
      <c r="V199">
        <v>663.66099999999994</v>
      </c>
      <c r="W199">
        <v>633.25099999999998</v>
      </c>
      <c r="X199">
        <v>321.77699999999999</v>
      </c>
      <c r="Y199">
        <v>6.05</v>
      </c>
      <c r="Z199">
        <v>569.83124999999995</v>
      </c>
      <c r="AA199" t="s">
        <v>40</v>
      </c>
      <c r="AB199">
        <v>1</v>
      </c>
      <c r="AC199" t="s">
        <v>468</v>
      </c>
    </row>
    <row r="200" spans="1:29" x14ac:dyDescent="0.3">
      <c r="A200">
        <v>10566</v>
      </c>
      <c r="B200" t="s">
        <v>849</v>
      </c>
      <c r="C200" t="s">
        <v>93</v>
      </c>
      <c r="D200" s="1">
        <v>41542</v>
      </c>
      <c r="E200">
        <v>7</v>
      </c>
      <c r="F200" t="s">
        <v>850</v>
      </c>
      <c r="G200">
        <v>22.457999999999998</v>
      </c>
      <c r="H200">
        <v>69.798000000000002</v>
      </c>
      <c r="I200">
        <v>1484.569</v>
      </c>
      <c r="J200">
        <v>190.61</v>
      </c>
      <c r="K200">
        <v>578.22199999999998</v>
      </c>
      <c r="L200">
        <v>176.3</v>
      </c>
      <c r="M200">
        <v>571.20299999999997</v>
      </c>
      <c r="N200">
        <v>7.0190000000000001</v>
      </c>
      <c r="O200">
        <v>44.847999999999999</v>
      </c>
      <c r="P200">
        <v>168.14500000000001</v>
      </c>
      <c r="Q200">
        <v>0</v>
      </c>
      <c r="R200">
        <v>0.32500000000000001</v>
      </c>
      <c r="S200">
        <v>448.03100000000001</v>
      </c>
      <c r="T200">
        <v>571.20299999999997</v>
      </c>
      <c r="U200">
        <v>774.20500000000004</v>
      </c>
      <c r="V200">
        <v>621.53</v>
      </c>
      <c r="W200">
        <v>403.226</v>
      </c>
      <c r="X200">
        <v>180.49600000000001</v>
      </c>
      <c r="Y200">
        <v>24.62</v>
      </c>
      <c r="Z200">
        <v>494.86425000000003</v>
      </c>
      <c r="AA200" t="s">
        <v>40</v>
      </c>
      <c r="AB200">
        <v>1</v>
      </c>
      <c r="AC200" t="s">
        <v>468</v>
      </c>
    </row>
    <row r="201" spans="1:29" x14ac:dyDescent="0.3">
      <c r="A201">
        <v>10640</v>
      </c>
      <c r="B201" t="s">
        <v>851</v>
      </c>
      <c r="C201" t="s">
        <v>38</v>
      </c>
      <c r="D201" s="1">
        <v>41234</v>
      </c>
      <c r="E201">
        <v>5</v>
      </c>
      <c r="F201" t="s">
        <v>852</v>
      </c>
      <c r="G201">
        <v>29.556999999999999</v>
      </c>
      <c r="H201">
        <v>53.319000000000003</v>
      </c>
      <c r="I201">
        <v>1471.2829999999999</v>
      </c>
      <c r="J201">
        <v>140.392</v>
      </c>
      <c r="K201">
        <v>608.97299999999996</v>
      </c>
      <c r="L201">
        <v>9.2620000000000005</v>
      </c>
      <c r="M201">
        <v>499.84100000000001</v>
      </c>
      <c r="N201">
        <v>109.13200000000001</v>
      </c>
      <c r="O201">
        <v>33.552999999999997</v>
      </c>
      <c r="P201">
        <v>55.362000000000002</v>
      </c>
      <c r="Q201">
        <v>0</v>
      </c>
      <c r="R201">
        <v>0.88600000000000001</v>
      </c>
      <c r="S201">
        <v>572.71100000000001</v>
      </c>
      <c r="T201">
        <v>499.84100000000001</v>
      </c>
      <c r="U201">
        <v>678.88400000000001</v>
      </c>
      <c r="V201">
        <v>704.745</v>
      </c>
      <c r="W201">
        <v>260.99200000000002</v>
      </c>
      <c r="X201">
        <v>230.88800000000001</v>
      </c>
      <c r="Y201">
        <v>20.68</v>
      </c>
      <c r="Z201">
        <v>468.87725</v>
      </c>
      <c r="AA201" t="s">
        <v>40</v>
      </c>
      <c r="AB201">
        <v>1</v>
      </c>
      <c r="AC201" t="s">
        <v>468</v>
      </c>
    </row>
    <row r="202" spans="1:29" x14ac:dyDescent="0.3">
      <c r="A202">
        <v>10652</v>
      </c>
      <c r="B202" t="s">
        <v>853</v>
      </c>
      <c r="C202" t="s">
        <v>70</v>
      </c>
      <c r="D202" s="1">
        <v>42845</v>
      </c>
      <c r="E202">
        <v>2</v>
      </c>
      <c r="F202" t="s">
        <v>854</v>
      </c>
      <c r="G202">
        <v>14.849</v>
      </c>
      <c r="H202">
        <v>32.042999999999999</v>
      </c>
      <c r="I202">
        <v>1468.6320000000001</v>
      </c>
      <c r="J202">
        <v>86.01</v>
      </c>
      <c r="K202">
        <v>209.631</v>
      </c>
      <c r="L202">
        <v>15</v>
      </c>
      <c r="M202">
        <v>151.88900000000001</v>
      </c>
      <c r="N202">
        <v>57.741999999999997</v>
      </c>
      <c r="O202">
        <v>22.251999999999999</v>
      </c>
      <c r="P202">
        <v>85.07</v>
      </c>
      <c r="Q202">
        <v>52.344000000000001</v>
      </c>
      <c r="R202">
        <v>1.117</v>
      </c>
      <c r="S202">
        <v>235.774</v>
      </c>
      <c r="T202">
        <v>204.233</v>
      </c>
      <c r="U202">
        <v>309.40199999999999</v>
      </c>
      <c r="V202">
        <v>322.76799999999997</v>
      </c>
      <c r="W202">
        <v>447.80200000000002</v>
      </c>
      <c r="X202">
        <v>222.75700000000001</v>
      </c>
      <c r="Y202">
        <v>27.8</v>
      </c>
      <c r="Z202">
        <v>325.68225000000001</v>
      </c>
      <c r="AA202" t="s">
        <v>40</v>
      </c>
      <c r="AB202">
        <v>1</v>
      </c>
      <c r="AC202" t="s">
        <v>468</v>
      </c>
    </row>
    <row r="203" spans="1:29" x14ac:dyDescent="0.3">
      <c r="A203">
        <v>10865</v>
      </c>
      <c r="B203" t="s">
        <v>855</v>
      </c>
      <c r="C203" t="s">
        <v>93</v>
      </c>
      <c r="D203" s="1">
        <v>43847</v>
      </c>
      <c r="E203">
        <v>7</v>
      </c>
      <c r="F203" t="s">
        <v>856</v>
      </c>
      <c r="G203">
        <v>80.55</v>
      </c>
      <c r="H203">
        <v>134.19900000000001</v>
      </c>
      <c r="I203">
        <v>1439.0540000000001</v>
      </c>
      <c r="J203">
        <v>226.27</v>
      </c>
      <c r="K203">
        <v>754.92</v>
      </c>
      <c r="L203">
        <v>73.436000000000007</v>
      </c>
      <c r="M203">
        <v>421.32799999999997</v>
      </c>
      <c r="N203">
        <v>333.59199999999998</v>
      </c>
      <c r="O203">
        <v>86.001000000000005</v>
      </c>
      <c r="P203">
        <v>75.662999999999997</v>
      </c>
      <c r="Q203">
        <v>169.03299999999999</v>
      </c>
      <c r="R203">
        <v>9.8070000000000004</v>
      </c>
      <c r="S203">
        <v>472.16199999999998</v>
      </c>
      <c r="T203">
        <v>590.36099999999999</v>
      </c>
      <c r="U203">
        <v>835.69399999999996</v>
      </c>
      <c r="V203">
        <v>629.40700000000004</v>
      </c>
      <c r="W203">
        <v>339.87599999999998</v>
      </c>
      <c r="X203">
        <v>114.03</v>
      </c>
      <c r="Y203">
        <v>27.08</v>
      </c>
      <c r="Z203">
        <v>479.75175000000002</v>
      </c>
      <c r="AA203" t="s">
        <v>40</v>
      </c>
      <c r="AB203">
        <v>1</v>
      </c>
      <c r="AC203" t="s">
        <v>468</v>
      </c>
    </row>
    <row r="204" spans="1:29" x14ac:dyDescent="0.3">
      <c r="A204">
        <v>10996</v>
      </c>
      <c r="B204" t="s">
        <v>865</v>
      </c>
      <c r="C204" t="s">
        <v>93</v>
      </c>
      <c r="D204" s="1">
        <v>39552</v>
      </c>
      <c r="E204">
        <v>20</v>
      </c>
      <c r="F204" t="s">
        <v>866</v>
      </c>
      <c r="G204">
        <v>2.0019999999999998</v>
      </c>
      <c r="H204">
        <v>46.539000000000001</v>
      </c>
      <c r="I204">
        <v>1422.7650000000001</v>
      </c>
      <c r="J204">
        <v>87.634</v>
      </c>
      <c r="K204">
        <v>264.11599999999999</v>
      </c>
      <c r="L204">
        <v>0</v>
      </c>
      <c r="M204">
        <v>152.76499999999999</v>
      </c>
      <c r="N204">
        <v>111.351</v>
      </c>
      <c r="O204">
        <v>26.707000000000001</v>
      </c>
      <c r="P204">
        <v>61.887</v>
      </c>
      <c r="Q204">
        <v>84.350999999999999</v>
      </c>
      <c r="R204">
        <v>5.7859999999999996</v>
      </c>
      <c r="S204">
        <v>400.66800000000001</v>
      </c>
      <c r="T204">
        <v>237.11600000000001</v>
      </c>
      <c r="U204">
        <v>331.23099999999999</v>
      </c>
      <c r="V204">
        <v>515.53</v>
      </c>
      <c r="W204">
        <v>415.80700000000002</v>
      </c>
      <c r="X204">
        <v>344.01499999999999</v>
      </c>
      <c r="Y204">
        <v>26.46</v>
      </c>
      <c r="Z204">
        <v>401.64575000000002</v>
      </c>
      <c r="AA204" t="s">
        <v>40</v>
      </c>
      <c r="AB204">
        <v>1</v>
      </c>
      <c r="AC204" t="s">
        <v>468</v>
      </c>
    </row>
    <row r="205" spans="1:29" x14ac:dyDescent="0.3">
      <c r="A205">
        <v>11037</v>
      </c>
      <c r="B205" t="s">
        <v>867</v>
      </c>
      <c r="C205" t="s">
        <v>38</v>
      </c>
      <c r="D205" s="1">
        <v>39955</v>
      </c>
      <c r="E205">
        <v>14</v>
      </c>
      <c r="F205" t="s">
        <v>868</v>
      </c>
      <c r="G205">
        <v>35.478000000000002</v>
      </c>
      <c r="H205">
        <v>58.814</v>
      </c>
      <c r="I205">
        <v>1417.4059999999999</v>
      </c>
      <c r="J205">
        <v>150.273</v>
      </c>
      <c r="K205">
        <v>651.06500000000005</v>
      </c>
      <c r="L205">
        <v>20.036999999999999</v>
      </c>
      <c r="M205">
        <v>359.05200000000002</v>
      </c>
      <c r="N205">
        <v>292.01299999999998</v>
      </c>
      <c r="O205">
        <v>45.887999999999998</v>
      </c>
      <c r="P205">
        <v>67.102999999999994</v>
      </c>
      <c r="Q205">
        <v>53.357999999999997</v>
      </c>
      <c r="R205">
        <v>1.4239999999999999</v>
      </c>
      <c r="S205">
        <v>156.173</v>
      </c>
      <c r="T205">
        <v>412.41</v>
      </c>
      <c r="U205">
        <v>718.16800000000001</v>
      </c>
      <c r="V205">
        <v>403.16300000000001</v>
      </c>
      <c r="W205">
        <v>372.923</v>
      </c>
      <c r="X205">
        <v>368.75799999999998</v>
      </c>
      <c r="Y205">
        <v>20.92</v>
      </c>
      <c r="Z205">
        <v>465.75299999999999</v>
      </c>
      <c r="AA205" t="s">
        <v>40</v>
      </c>
      <c r="AB205">
        <v>1</v>
      </c>
      <c r="AC205" t="s">
        <v>468</v>
      </c>
    </row>
    <row r="206" spans="1:29" x14ac:dyDescent="0.3">
      <c r="A206">
        <v>11118</v>
      </c>
      <c r="B206" t="s">
        <v>871</v>
      </c>
      <c r="C206" t="s">
        <v>38</v>
      </c>
      <c r="D206" s="1">
        <v>42578</v>
      </c>
      <c r="E206">
        <v>13</v>
      </c>
      <c r="F206" t="s">
        <v>872</v>
      </c>
      <c r="G206">
        <v>98.399000000000001</v>
      </c>
      <c r="H206">
        <v>142.785</v>
      </c>
      <c r="I206">
        <v>1405.701</v>
      </c>
      <c r="J206">
        <v>211.54300000000001</v>
      </c>
      <c r="K206">
        <v>993.07399999999996</v>
      </c>
      <c r="L206">
        <v>238.773</v>
      </c>
      <c r="M206">
        <v>348.52100000000002</v>
      </c>
      <c r="N206">
        <v>644.553</v>
      </c>
      <c r="O206">
        <v>103.512</v>
      </c>
      <c r="P206">
        <v>19.335999999999999</v>
      </c>
      <c r="Q206">
        <v>405.26400000000001</v>
      </c>
      <c r="R206">
        <v>22.585000000000001</v>
      </c>
      <c r="S206">
        <v>287.28100000000001</v>
      </c>
      <c r="T206">
        <v>753.78499999999997</v>
      </c>
      <c r="U206">
        <v>1012.41</v>
      </c>
      <c r="V206">
        <v>416.95499999999998</v>
      </c>
      <c r="W206">
        <v>262.88799999999998</v>
      </c>
      <c r="X206">
        <v>386.91699999999997</v>
      </c>
      <c r="Y206">
        <v>20.89</v>
      </c>
      <c r="Z206">
        <v>519.79250000000002</v>
      </c>
      <c r="AA206" t="s">
        <v>40</v>
      </c>
      <c r="AB206">
        <v>1</v>
      </c>
      <c r="AC206" t="s">
        <v>468</v>
      </c>
    </row>
    <row r="207" spans="1:29" x14ac:dyDescent="0.3">
      <c r="A207">
        <v>11184</v>
      </c>
      <c r="B207" t="s">
        <v>875</v>
      </c>
      <c r="C207" t="s">
        <v>70</v>
      </c>
      <c r="D207" s="1">
        <v>42809</v>
      </c>
      <c r="E207">
        <v>5</v>
      </c>
      <c r="F207" t="s">
        <v>876</v>
      </c>
      <c r="G207">
        <v>37.747</v>
      </c>
      <c r="H207">
        <v>76.834999999999994</v>
      </c>
      <c r="I207">
        <v>1393.4829999999999</v>
      </c>
      <c r="J207">
        <v>95.831999999999994</v>
      </c>
      <c r="K207">
        <v>575.10299999999995</v>
      </c>
      <c r="L207">
        <v>35</v>
      </c>
      <c r="M207">
        <v>369.87299999999999</v>
      </c>
      <c r="N207">
        <v>205.23</v>
      </c>
      <c r="O207">
        <v>45.506</v>
      </c>
      <c r="P207">
        <v>49.506</v>
      </c>
      <c r="Q207">
        <v>151.756</v>
      </c>
      <c r="R207">
        <v>9.5980000000000008</v>
      </c>
      <c r="S207">
        <v>448.30599999999998</v>
      </c>
      <c r="T207">
        <v>521.62900000000002</v>
      </c>
      <c r="U207">
        <v>624.60900000000004</v>
      </c>
      <c r="V207">
        <v>501.702</v>
      </c>
      <c r="W207">
        <v>212.29900000000001</v>
      </c>
      <c r="X207">
        <v>111.733</v>
      </c>
      <c r="Y207">
        <v>15.34</v>
      </c>
      <c r="Z207">
        <v>362.58575000000002</v>
      </c>
      <c r="AA207" t="s">
        <v>40</v>
      </c>
      <c r="AB207">
        <v>1</v>
      </c>
      <c r="AC207" t="s">
        <v>468</v>
      </c>
    </row>
    <row r="208" spans="1:29" x14ac:dyDescent="0.3">
      <c r="A208">
        <v>11247</v>
      </c>
      <c r="B208" t="s">
        <v>877</v>
      </c>
      <c r="C208" t="s">
        <v>93</v>
      </c>
      <c r="D208" s="1">
        <v>43294</v>
      </c>
      <c r="E208">
        <v>11</v>
      </c>
      <c r="F208" t="s">
        <v>878</v>
      </c>
      <c r="G208">
        <v>30.042000000000002</v>
      </c>
      <c r="H208">
        <v>48.975999999999999</v>
      </c>
      <c r="I208">
        <v>1383.8430000000001</v>
      </c>
      <c r="J208">
        <v>147.72499999999999</v>
      </c>
      <c r="K208">
        <v>922.94500000000005</v>
      </c>
      <c r="L208">
        <v>206.12299999999999</v>
      </c>
      <c r="M208">
        <v>751.56700000000001</v>
      </c>
      <c r="N208">
        <v>171.37799999999999</v>
      </c>
      <c r="O208">
        <v>32.808999999999997</v>
      </c>
      <c r="P208">
        <v>7.468</v>
      </c>
      <c r="Q208">
        <v>17.698</v>
      </c>
      <c r="R208">
        <v>2.9590000000000001</v>
      </c>
      <c r="S208">
        <v>439.45699999999999</v>
      </c>
      <c r="T208">
        <v>769.26499999999999</v>
      </c>
      <c r="U208">
        <v>941.06899999999996</v>
      </c>
      <c r="V208">
        <v>568.91200000000003</v>
      </c>
      <c r="W208">
        <v>230.78399999999999</v>
      </c>
      <c r="X208">
        <v>59.597999999999999</v>
      </c>
      <c r="Y208">
        <v>15.7</v>
      </c>
      <c r="Z208">
        <v>450.09075000000001</v>
      </c>
      <c r="AA208" t="s">
        <v>40</v>
      </c>
      <c r="AB208">
        <v>1</v>
      </c>
      <c r="AC208" t="s">
        <v>468</v>
      </c>
    </row>
    <row r="209" spans="1:29" x14ac:dyDescent="0.3">
      <c r="A209">
        <v>1</v>
      </c>
      <c r="B209" t="s">
        <v>29</v>
      </c>
      <c r="C209" t="s">
        <v>30</v>
      </c>
      <c r="D209" s="1">
        <v>25596</v>
      </c>
      <c r="E209">
        <v>1074</v>
      </c>
      <c r="F209" t="s">
        <v>31</v>
      </c>
      <c r="G209">
        <v>-67598.107000000004</v>
      </c>
      <c r="H209">
        <v>-45311.983999999997</v>
      </c>
      <c r="I209">
        <v>567442.59600000002</v>
      </c>
      <c r="J209">
        <v>-52478.093999999997</v>
      </c>
      <c r="K209">
        <v>747937.38300000003</v>
      </c>
      <c r="L209">
        <v>218370.92300000001</v>
      </c>
      <c r="M209">
        <v>862750.91200000001</v>
      </c>
      <c r="N209">
        <v>-114813.52899999999</v>
      </c>
      <c r="O209">
        <v>-51006.868000000002</v>
      </c>
      <c r="P209">
        <v>134814.497</v>
      </c>
      <c r="Q209">
        <v>0</v>
      </c>
      <c r="R209">
        <v>33484.767999999996</v>
      </c>
      <c r="S209">
        <v>793972.22199999995</v>
      </c>
      <c r="T209">
        <v>862750.91200000001</v>
      </c>
      <c r="U209">
        <v>892116.90399999998</v>
      </c>
      <c r="V209">
        <v>844755.52899999998</v>
      </c>
      <c r="W209">
        <v>772974.51800000004</v>
      </c>
      <c r="X209">
        <v>759704.78099999996</v>
      </c>
      <c r="Y209">
        <v>-5.8824234542247798E-2</v>
      </c>
      <c r="Z209">
        <v>817387.93299999996</v>
      </c>
      <c r="AA209" t="s">
        <v>32</v>
      </c>
      <c r="AB209">
        <v>4</v>
      </c>
      <c r="AC209" t="s">
        <v>33</v>
      </c>
    </row>
    <row r="210" spans="1:29" x14ac:dyDescent="0.3">
      <c r="A210">
        <v>2</v>
      </c>
      <c r="B210" t="s">
        <v>34</v>
      </c>
      <c r="C210" t="s">
        <v>35</v>
      </c>
      <c r="D210" s="1">
        <v>37711</v>
      </c>
      <c r="E210">
        <v>7</v>
      </c>
      <c r="F210" t="s">
        <v>36</v>
      </c>
      <c r="G210">
        <v>-958.05200000000002</v>
      </c>
      <c r="H210">
        <v>1173.192</v>
      </c>
      <c r="I210">
        <v>9333.8709999999992</v>
      </c>
      <c r="J210">
        <v>11065.359</v>
      </c>
      <c r="K210">
        <v>196139.08600000001</v>
      </c>
      <c r="L210">
        <v>190300.166</v>
      </c>
      <c r="M210">
        <v>55629.661999999997</v>
      </c>
      <c r="N210">
        <v>140509.424</v>
      </c>
      <c r="O210">
        <v>-832.82399999999996</v>
      </c>
      <c r="P210">
        <v>398.04199999999997</v>
      </c>
      <c r="Q210">
        <v>128940.137</v>
      </c>
      <c r="R210">
        <v>1843.1980000000001</v>
      </c>
      <c r="S210">
        <v>197558.693</v>
      </c>
      <c r="T210">
        <v>184569.799</v>
      </c>
      <c r="U210">
        <v>196832.03700000001</v>
      </c>
      <c r="V210">
        <v>196716.038</v>
      </c>
      <c r="W210">
        <v>202949.34899999999</v>
      </c>
      <c r="X210">
        <v>203904.96400000001</v>
      </c>
      <c r="Y210">
        <v>5.6217266094746601E-2</v>
      </c>
      <c r="Z210">
        <v>200100.59700000001</v>
      </c>
      <c r="AA210" t="s">
        <v>32</v>
      </c>
      <c r="AB210">
        <v>4</v>
      </c>
      <c r="AC210" t="s">
        <v>33</v>
      </c>
    </row>
    <row r="211" spans="1:29" x14ac:dyDescent="0.3">
      <c r="A211">
        <v>4</v>
      </c>
      <c r="B211" t="s">
        <v>41</v>
      </c>
      <c r="C211" t="s">
        <v>42</v>
      </c>
      <c r="D211" s="1">
        <v>41240</v>
      </c>
      <c r="E211">
        <v>153</v>
      </c>
      <c r="F211" t="s">
        <v>43</v>
      </c>
      <c r="G211">
        <v>-15396.26</v>
      </c>
      <c r="H211">
        <v>-12261.766</v>
      </c>
      <c r="I211">
        <v>85008.84</v>
      </c>
      <c r="J211">
        <v>-10430.352999999999</v>
      </c>
      <c r="K211">
        <v>107752.243</v>
      </c>
      <c r="L211">
        <v>68371.880999999994</v>
      </c>
      <c r="M211">
        <v>112978.806</v>
      </c>
      <c r="N211">
        <v>-5226.5630000000001</v>
      </c>
      <c r="O211">
        <v>-12731.326999999999</v>
      </c>
      <c r="P211">
        <v>1061.3810000000001</v>
      </c>
      <c r="Q211">
        <v>3.496</v>
      </c>
      <c r="R211">
        <v>464.93900000000002</v>
      </c>
      <c r="S211">
        <v>123120.63400000001</v>
      </c>
      <c r="T211">
        <v>112982.302</v>
      </c>
      <c r="U211">
        <v>108813.624</v>
      </c>
      <c r="V211">
        <v>124964.156</v>
      </c>
      <c r="W211">
        <v>139026.64199999999</v>
      </c>
      <c r="X211">
        <v>121461.235</v>
      </c>
      <c r="Y211">
        <v>-9.5855212027493905E-2</v>
      </c>
      <c r="Z211">
        <v>123566.41425</v>
      </c>
      <c r="AA211" t="s">
        <v>32</v>
      </c>
      <c r="AB211">
        <v>4</v>
      </c>
      <c r="AC211" t="s">
        <v>33</v>
      </c>
    </row>
    <row r="212" spans="1:29" x14ac:dyDescent="0.3">
      <c r="A212">
        <v>5</v>
      </c>
      <c r="B212" t="s">
        <v>44</v>
      </c>
      <c r="C212" t="s">
        <v>45</v>
      </c>
      <c r="D212" s="1">
        <v>34367</v>
      </c>
      <c r="E212">
        <v>114</v>
      </c>
      <c r="F212" t="s">
        <v>46</v>
      </c>
      <c r="G212">
        <v>-49013.315999999999</v>
      </c>
      <c r="H212">
        <v>-21681.666000000001</v>
      </c>
      <c r="I212">
        <v>31119.108</v>
      </c>
      <c r="J212">
        <v>-23385.627</v>
      </c>
      <c r="K212">
        <v>33632.326999999997</v>
      </c>
      <c r="L212">
        <v>22363.202000000001</v>
      </c>
      <c r="M212">
        <v>49919.402000000002</v>
      </c>
      <c r="N212">
        <v>-16287.075000000001</v>
      </c>
      <c r="O212">
        <v>-22852.144</v>
      </c>
      <c r="P212">
        <v>16476.491000000002</v>
      </c>
      <c r="Q212">
        <v>9345.5810000000001</v>
      </c>
      <c r="R212">
        <v>496.35199999999998</v>
      </c>
      <c r="S212">
        <v>58834.400999999998</v>
      </c>
      <c r="T212">
        <v>59264.983</v>
      </c>
      <c r="U212">
        <v>50653.607000000004</v>
      </c>
      <c r="V212">
        <v>85731.62</v>
      </c>
      <c r="W212">
        <v>31997.062999999998</v>
      </c>
      <c r="X212">
        <v>25123.643</v>
      </c>
      <c r="Y212">
        <v>-0.46167742802600398</v>
      </c>
      <c r="Z212">
        <v>48376.483249999997</v>
      </c>
      <c r="AA212" t="s">
        <v>32</v>
      </c>
      <c r="AB212">
        <v>4</v>
      </c>
      <c r="AC212" t="s">
        <v>33</v>
      </c>
    </row>
    <row r="213" spans="1:29" x14ac:dyDescent="0.3">
      <c r="A213">
        <v>11</v>
      </c>
      <c r="B213" t="s">
        <v>57</v>
      </c>
      <c r="C213" t="s">
        <v>58</v>
      </c>
      <c r="D213" s="1">
        <v>37032</v>
      </c>
      <c r="E213">
        <v>36</v>
      </c>
      <c r="F213" t="s">
        <v>59</v>
      </c>
      <c r="G213">
        <v>-7971.0889999999999</v>
      </c>
      <c r="H213">
        <v>-4038.0250000000001</v>
      </c>
      <c r="I213">
        <v>16585.407999999999</v>
      </c>
      <c r="J213">
        <v>207.15700000000001</v>
      </c>
      <c r="K213">
        <v>18639.55</v>
      </c>
      <c r="L213">
        <v>14749.959000000001</v>
      </c>
      <c r="M213">
        <v>18220.425999999999</v>
      </c>
      <c r="N213">
        <v>419.12400000000002</v>
      </c>
      <c r="O213">
        <v>-7950.3810000000003</v>
      </c>
      <c r="P213">
        <v>7254.8209999999999</v>
      </c>
      <c r="Q213">
        <v>5941.1580000000004</v>
      </c>
      <c r="R213">
        <v>1048.1179999999999</v>
      </c>
      <c r="S213">
        <v>25955.776000000002</v>
      </c>
      <c r="T213">
        <v>24161.583999999999</v>
      </c>
      <c r="U213">
        <v>25945.471000000001</v>
      </c>
      <c r="V213">
        <v>35371.366000000002</v>
      </c>
      <c r="W213">
        <v>34632.154000000002</v>
      </c>
      <c r="X213">
        <v>34741.402999999998</v>
      </c>
      <c r="Y213">
        <v>7.9843221963478705E-3</v>
      </c>
      <c r="Z213">
        <v>32672.5985</v>
      </c>
      <c r="AA213" t="s">
        <v>32</v>
      </c>
      <c r="AB213">
        <v>4</v>
      </c>
      <c r="AC213" t="s">
        <v>33</v>
      </c>
    </row>
    <row r="214" spans="1:29" x14ac:dyDescent="0.3">
      <c r="A214">
        <v>15</v>
      </c>
      <c r="B214" t="s">
        <v>65</v>
      </c>
      <c r="C214" t="s">
        <v>58</v>
      </c>
      <c r="D214" s="1">
        <v>32268</v>
      </c>
      <c r="E214">
        <v>23</v>
      </c>
      <c r="F214" t="s">
        <v>66</v>
      </c>
      <c r="G214">
        <v>-1530.106</v>
      </c>
      <c r="H214">
        <v>-304.04199999999997</v>
      </c>
      <c r="I214">
        <v>10749.58</v>
      </c>
      <c r="J214">
        <v>505.5</v>
      </c>
      <c r="K214">
        <v>10622.43</v>
      </c>
      <c r="L214">
        <v>1261.7329999999999</v>
      </c>
      <c r="M214">
        <v>10914.492</v>
      </c>
      <c r="N214">
        <v>-292.06200000000001</v>
      </c>
      <c r="O214">
        <v>-491.142</v>
      </c>
      <c r="P214">
        <v>4501.5079999999998</v>
      </c>
      <c r="Q214">
        <v>3384.8649999999998</v>
      </c>
      <c r="R214">
        <v>249.756</v>
      </c>
      <c r="S214">
        <v>12056.021000000001</v>
      </c>
      <c r="T214">
        <v>14299.357</v>
      </c>
      <c r="U214">
        <v>15451.442999999999</v>
      </c>
      <c r="V214">
        <v>14852.67</v>
      </c>
      <c r="W214">
        <v>10439.217000000001</v>
      </c>
      <c r="X214">
        <v>6744.8670000000002</v>
      </c>
      <c r="Y214">
        <v>3.2715391047942903E-2</v>
      </c>
      <c r="Z214">
        <v>11872.04925</v>
      </c>
      <c r="AA214" t="s">
        <v>32</v>
      </c>
      <c r="AB214">
        <v>4</v>
      </c>
      <c r="AC214" t="s">
        <v>33</v>
      </c>
    </row>
    <row r="215" spans="1:29" x14ac:dyDescent="0.3">
      <c r="A215">
        <v>16</v>
      </c>
      <c r="B215" t="s">
        <v>67</v>
      </c>
      <c r="C215" t="s">
        <v>35</v>
      </c>
      <c r="D215" s="1">
        <v>36682</v>
      </c>
      <c r="E215">
        <v>0</v>
      </c>
      <c r="F215" t="s">
        <v>68</v>
      </c>
      <c r="G215">
        <v>-240.797</v>
      </c>
      <c r="H215">
        <v>-181.5</v>
      </c>
      <c r="I215">
        <v>103</v>
      </c>
      <c r="J215">
        <v>83.531999999999996</v>
      </c>
      <c r="K215">
        <v>11594.963</v>
      </c>
      <c r="L215">
        <v>11468.894</v>
      </c>
      <c r="M215">
        <v>488.267</v>
      </c>
      <c r="N215">
        <v>11106.696</v>
      </c>
      <c r="O215">
        <v>-181.5</v>
      </c>
      <c r="P215">
        <v>3221.556</v>
      </c>
      <c r="Q215">
        <v>14244.72</v>
      </c>
      <c r="R215">
        <v>0</v>
      </c>
      <c r="S215">
        <v>14602.055</v>
      </c>
      <c r="T215">
        <v>14732.986999999999</v>
      </c>
      <c r="U215">
        <v>14816.519</v>
      </c>
      <c r="V215">
        <v>14926.386</v>
      </c>
      <c r="W215">
        <v>15555.87</v>
      </c>
      <c r="X215">
        <v>15650.796</v>
      </c>
      <c r="Y215">
        <v>5.6377614742032199E-3</v>
      </c>
      <c r="Z215">
        <v>15237.392750000001</v>
      </c>
      <c r="AA215" t="s">
        <v>32</v>
      </c>
      <c r="AB215">
        <v>4</v>
      </c>
      <c r="AC215" t="s">
        <v>33</v>
      </c>
    </row>
    <row r="216" spans="1:29" x14ac:dyDescent="0.3">
      <c r="A216">
        <v>18</v>
      </c>
      <c r="B216" t="s">
        <v>72</v>
      </c>
      <c r="C216" t="s">
        <v>58</v>
      </c>
      <c r="D216" s="1">
        <v>38028</v>
      </c>
      <c r="E216">
        <v>0</v>
      </c>
      <c r="F216" t="s">
        <v>73</v>
      </c>
      <c r="G216">
        <v>-1982.0160000000001</v>
      </c>
      <c r="H216">
        <v>315.88499999999999</v>
      </c>
      <c r="I216">
        <v>827.024</v>
      </c>
      <c r="J216">
        <v>-1614.203</v>
      </c>
      <c r="K216">
        <v>8651.2049999999999</v>
      </c>
      <c r="L216">
        <v>8526.4439999999995</v>
      </c>
      <c r="M216">
        <v>9514.2610000000004</v>
      </c>
      <c r="N216">
        <v>-863.05600000000004</v>
      </c>
      <c r="O216">
        <v>-454.19499999999999</v>
      </c>
      <c r="P216">
        <v>5298.3590000000004</v>
      </c>
      <c r="Q216">
        <v>4546.7610000000004</v>
      </c>
      <c r="R216">
        <v>770.08</v>
      </c>
      <c r="S216">
        <v>14331.304</v>
      </c>
      <c r="T216">
        <v>14061.022000000001</v>
      </c>
      <c r="U216">
        <v>13949.769</v>
      </c>
      <c r="V216">
        <v>14710.643</v>
      </c>
      <c r="W216">
        <v>15884.678</v>
      </c>
      <c r="X216">
        <v>15886.987999999999</v>
      </c>
      <c r="Y216">
        <v>-0.115715392849874</v>
      </c>
      <c r="Z216">
        <v>15108.0195</v>
      </c>
      <c r="AA216" t="s">
        <v>32</v>
      </c>
      <c r="AB216">
        <v>4</v>
      </c>
      <c r="AC216" t="s">
        <v>33</v>
      </c>
    </row>
    <row r="217" spans="1:29" x14ac:dyDescent="0.3">
      <c r="A217">
        <v>19</v>
      </c>
      <c r="B217" t="s">
        <v>74</v>
      </c>
      <c r="C217" t="s">
        <v>30</v>
      </c>
      <c r="D217" s="1">
        <v>29762</v>
      </c>
      <c r="E217">
        <v>4</v>
      </c>
      <c r="F217" t="s">
        <v>75</v>
      </c>
      <c r="G217">
        <v>-4511.7759999999998</v>
      </c>
      <c r="H217">
        <v>-1735.8779999999999</v>
      </c>
      <c r="I217">
        <v>1042.625</v>
      </c>
      <c r="J217">
        <v>-5979.259</v>
      </c>
      <c r="K217">
        <v>11279.08</v>
      </c>
      <c r="L217">
        <v>10986.797</v>
      </c>
      <c r="M217">
        <v>17769.440999999999</v>
      </c>
      <c r="N217">
        <v>-6490.3609999999999</v>
      </c>
      <c r="O217">
        <v>-2748.2629999999999</v>
      </c>
      <c r="P217">
        <v>1460.383</v>
      </c>
      <c r="Q217">
        <v>0</v>
      </c>
      <c r="R217">
        <v>932.19899999999996</v>
      </c>
      <c r="S217">
        <v>17290.941999999999</v>
      </c>
      <c r="T217">
        <v>17769.440999999999</v>
      </c>
      <c r="U217">
        <v>12786.255999999999</v>
      </c>
      <c r="V217">
        <v>15996.741</v>
      </c>
      <c r="W217">
        <v>17670.918000000001</v>
      </c>
      <c r="X217">
        <v>22893.991000000002</v>
      </c>
      <c r="Y217">
        <v>-0.46763172894395399</v>
      </c>
      <c r="Z217">
        <v>17336.976500000001</v>
      </c>
      <c r="AA217" t="s">
        <v>32</v>
      </c>
      <c r="AB217">
        <v>4</v>
      </c>
      <c r="AC217" t="s">
        <v>33</v>
      </c>
    </row>
    <row r="218" spans="1:29" x14ac:dyDescent="0.3">
      <c r="A218">
        <v>20</v>
      </c>
      <c r="B218" t="s">
        <v>76</v>
      </c>
      <c r="C218" t="s">
        <v>58</v>
      </c>
      <c r="D218" s="1">
        <v>41221</v>
      </c>
      <c r="E218">
        <v>49</v>
      </c>
      <c r="F218" t="s">
        <v>77</v>
      </c>
      <c r="G218">
        <v>-3697.18</v>
      </c>
      <c r="H218">
        <v>-3367.2660000000001</v>
      </c>
      <c r="I218">
        <v>7778.0140000000001</v>
      </c>
      <c r="J218">
        <v>-3497.6990000000001</v>
      </c>
      <c r="K218">
        <v>11870.576999999999</v>
      </c>
      <c r="L218">
        <v>5713.5119999999997</v>
      </c>
      <c r="M218">
        <v>15522.553</v>
      </c>
      <c r="N218">
        <v>-3651.9760000000001</v>
      </c>
      <c r="O218">
        <v>-3580.1390000000001</v>
      </c>
      <c r="P218">
        <v>474.10599999999999</v>
      </c>
      <c r="Q218">
        <v>203.655</v>
      </c>
      <c r="R218">
        <v>214.68600000000001</v>
      </c>
      <c r="S218">
        <v>11987.866</v>
      </c>
      <c r="T218">
        <v>15726.208000000001</v>
      </c>
      <c r="U218">
        <v>12407.572</v>
      </c>
      <c r="V218">
        <v>12305.665000000001</v>
      </c>
      <c r="W218">
        <v>6825.8379999999997</v>
      </c>
      <c r="X218">
        <v>4291.5940000000001</v>
      </c>
      <c r="Y218">
        <v>-0.28190035890986598</v>
      </c>
      <c r="Z218">
        <v>8957.6672500000004</v>
      </c>
      <c r="AA218" t="s">
        <v>32</v>
      </c>
      <c r="AB218">
        <v>4</v>
      </c>
      <c r="AC218" t="s">
        <v>33</v>
      </c>
    </row>
    <row r="219" spans="1:29" x14ac:dyDescent="0.3">
      <c r="A219">
        <v>21</v>
      </c>
      <c r="B219" t="s">
        <v>78</v>
      </c>
      <c r="C219" t="s">
        <v>58</v>
      </c>
      <c r="D219" s="1">
        <v>37259</v>
      </c>
      <c r="E219">
        <v>70</v>
      </c>
      <c r="F219" t="s">
        <v>79</v>
      </c>
      <c r="G219">
        <v>-2291.9830000000002</v>
      </c>
      <c r="H219">
        <v>1276.2619999999999</v>
      </c>
      <c r="I219">
        <v>10962.406999999999</v>
      </c>
      <c r="J219">
        <v>-1842.5989999999999</v>
      </c>
      <c r="K219">
        <v>11406.029</v>
      </c>
      <c r="L219">
        <v>0</v>
      </c>
      <c r="M219">
        <v>12889.273999999999</v>
      </c>
      <c r="N219">
        <v>-1483.2449999999999</v>
      </c>
      <c r="O219">
        <v>1140.979</v>
      </c>
      <c r="P219">
        <v>915.26400000000001</v>
      </c>
      <c r="Q219">
        <v>840.89499999999998</v>
      </c>
      <c r="R219">
        <v>135.94499999999999</v>
      </c>
      <c r="S219">
        <v>20666.263999999999</v>
      </c>
      <c r="T219">
        <v>13730.169</v>
      </c>
      <c r="U219">
        <v>12321.294</v>
      </c>
      <c r="V219">
        <v>21583.188999999998</v>
      </c>
      <c r="W219">
        <v>14400.957</v>
      </c>
      <c r="X219">
        <v>7427.2809999999999</v>
      </c>
      <c r="Y219">
        <v>-0.14954589996797399</v>
      </c>
      <c r="Z219">
        <v>13933.180249999999</v>
      </c>
      <c r="AA219" t="s">
        <v>32</v>
      </c>
      <c r="AB219">
        <v>4</v>
      </c>
      <c r="AC219" t="s">
        <v>33</v>
      </c>
    </row>
    <row r="220" spans="1:29" x14ac:dyDescent="0.3">
      <c r="A220">
        <v>22</v>
      </c>
      <c r="B220" t="s">
        <v>80</v>
      </c>
      <c r="C220" t="s">
        <v>58</v>
      </c>
      <c r="D220" s="1">
        <v>39055</v>
      </c>
      <c r="E220">
        <v>0</v>
      </c>
      <c r="F220" t="s">
        <v>81</v>
      </c>
      <c r="G220">
        <v>15.491</v>
      </c>
      <c r="H220">
        <v>27.670999999999999</v>
      </c>
      <c r="I220">
        <v>60.372</v>
      </c>
      <c r="J220">
        <v>-91.221999999999994</v>
      </c>
      <c r="K220">
        <v>10307.834000000001</v>
      </c>
      <c r="L220">
        <v>9344.7270000000008</v>
      </c>
      <c r="M220">
        <v>10898.289000000001</v>
      </c>
      <c r="N220">
        <v>-590.45500000000004</v>
      </c>
      <c r="O220">
        <v>15.491</v>
      </c>
      <c r="P220">
        <v>1044.595</v>
      </c>
      <c r="Q220">
        <v>524.30899999999997</v>
      </c>
      <c r="R220">
        <v>11.775</v>
      </c>
      <c r="S220">
        <v>11274.445</v>
      </c>
      <c r="T220">
        <v>11422.598</v>
      </c>
      <c r="U220">
        <v>11408.169</v>
      </c>
      <c r="V220">
        <v>11374.654</v>
      </c>
      <c r="W220">
        <v>11382.638999999999</v>
      </c>
      <c r="X220">
        <v>12706.171</v>
      </c>
      <c r="Y220">
        <v>-7.9961999160426192E-3</v>
      </c>
      <c r="Z220">
        <v>11717.90825</v>
      </c>
      <c r="AA220" t="s">
        <v>32</v>
      </c>
      <c r="AB220">
        <v>4</v>
      </c>
      <c r="AC220" t="s">
        <v>33</v>
      </c>
    </row>
    <row r="221" spans="1:29" x14ac:dyDescent="0.3">
      <c r="A221">
        <v>23</v>
      </c>
      <c r="B221" t="s">
        <v>82</v>
      </c>
      <c r="C221" t="s">
        <v>58</v>
      </c>
      <c r="D221" s="1">
        <v>40808</v>
      </c>
      <c r="E221">
        <v>0</v>
      </c>
      <c r="F221" t="s">
        <v>83</v>
      </c>
      <c r="G221">
        <v>76.686000000000007</v>
      </c>
      <c r="H221">
        <v>156.74</v>
      </c>
      <c r="I221">
        <v>200</v>
      </c>
      <c r="J221">
        <v>-204.88</v>
      </c>
      <c r="K221">
        <v>9596.2180000000008</v>
      </c>
      <c r="L221">
        <v>9062.6350000000002</v>
      </c>
      <c r="M221">
        <v>11293.56</v>
      </c>
      <c r="N221">
        <v>-1697.3420000000001</v>
      </c>
      <c r="O221">
        <v>78.852999999999994</v>
      </c>
      <c r="P221">
        <v>1492.4559999999999</v>
      </c>
      <c r="Q221">
        <v>0</v>
      </c>
      <c r="R221">
        <v>24.315999999999999</v>
      </c>
      <c r="S221">
        <v>11125.664000000001</v>
      </c>
      <c r="T221">
        <v>11293.56</v>
      </c>
      <c r="U221">
        <v>11088.68</v>
      </c>
      <c r="V221">
        <v>10557.519</v>
      </c>
      <c r="W221">
        <v>10833.66</v>
      </c>
      <c r="X221">
        <v>10397.290999999999</v>
      </c>
      <c r="Y221">
        <v>-1.8476500358924602E-2</v>
      </c>
      <c r="Z221">
        <v>10719.2875</v>
      </c>
      <c r="AA221" t="s">
        <v>32</v>
      </c>
      <c r="AB221">
        <v>4</v>
      </c>
      <c r="AC221" t="s">
        <v>33</v>
      </c>
    </row>
    <row r="222" spans="1:29" x14ac:dyDescent="0.3">
      <c r="A222">
        <v>37</v>
      </c>
      <c r="B222" t="s">
        <v>100</v>
      </c>
      <c r="C222" t="s">
        <v>101</v>
      </c>
      <c r="D222" s="1">
        <v>36216</v>
      </c>
      <c r="E222">
        <v>0</v>
      </c>
      <c r="F222" t="s">
        <v>102</v>
      </c>
      <c r="G222">
        <v>-145.946</v>
      </c>
      <c r="H222">
        <v>-133.946</v>
      </c>
      <c r="I222">
        <v>1.2450000000000001</v>
      </c>
      <c r="J222">
        <v>-4821.7430000000004</v>
      </c>
      <c r="K222">
        <v>1845.6859999999999</v>
      </c>
      <c r="L222">
        <v>1636</v>
      </c>
      <c r="M222">
        <v>12409.467000000001</v>
      </c>
      <c r="N222">
        <v>-10563.781000000001</v>
      </c>
      <c r="O222">
        <v>-145.946</v>
      </c>
      <c r="P222">
        <v>6170.598</v>
      </c>
      <c r="Q222">
        <v>415.505</v>
      </c>
      <c r="R222">
        <v>12</v>
      </c>
      <c r="S222">
        <v>12721.467000000001</v>
      </c>
      <c r="T222">
        <v>12824.972</v>
      </c>
      <c r="U222">
        <v>8016.2839999999997</v>
      </c>
      <c r="V222">
        <v>8066.9129999999996</v>
      </c>
      <c r="W222">
        <v>8238.86</v>
      </c>
      <c r="X222">
        <v>15801.436</v>
      </c>
      <c r="Y222">
        <v>-0.60149353490969104</v>
      </c>
      <c r="Z222">
        <v>10030.873250000001</v>
      </c>
      <c r="AA222" t="s">
        <v>32</v>
      </c>
      <c r="AB222">
        <v>4</v>
      </c>
      <c r="AC222" t="s">
        <v>33</v>
      </c>
    </row>
    <row r="223" spans="1:29" x14ac:dyDescent="0.3">
      <c r="A223">
        <v>38</v>
      </c>
      <c r="B223" t="s">
        <v>103</v>
      </c>
      <c r="C223" t="s">
        <v>58</v>
      </c>
      <c r="D223" s="1">
        <v>36348</v>
      </c>
      <c r="E223">
        <v>0</v>
      </c>
      <c r="F223" t="s">
        <v>104</v>
      </c>
      <c r="G223">
        <v>-650.07299999999998</v>
      </c>
      <c r="H223">
        <v>-486.404</v>
      </c>
      <c r="I223">
        <v>535.553</v>
      </c>
      <c r="J223">
        <v>-6678.9040000000005</v>
      </c>
      <c r="K223">
        <v>7756.7389999999996</v>
      </c>
      <c r="L223">
        <v>7299.8459999999995</v>
      </c>
      <c r="M223">
        <v>1830.508</v>
      </c>
      <c r="N223">
        <v>5926.2309999999998</v>
      </c>
      <c r="O223">
        <v>-649.27499999999998</v>
      </c>
      <c r="P223">
        <v>2.3580000000000001</v>
      </c>
      <c r="Q223">
        <v>11151.833000000001</v>
      </c>
      <c r="R223">
        <v>162.88200000000001</v>
      </c>
      <c r="S223">
        <v>17512.672999999999</v>
      </c>
      <c r="T223">
        <v>12982.341</v>
      </c>
      <c r="U223">
        <v>7765.6260000000002</v>
      </c>
      <c r="V223">
        <v>12783.315000000001</v>
      </c>
      <c r="W223">
        <v>12747.07</v>
      </c>
      <c r="X223">
        <v>12748.896000000001</v>
      </c>
      <c r="Y223">
        <v>-0.86005996168241905</v>
      </c>
      <c r="Z223">
        <v>11511.22675</v>
      </c>
      <c r="AA223" t="s">
        <v>32</v>
      </c>
      <c r="AB223">
        <v>4</v>
      </c>
      <c r="AC223" t="s">
        <v>33</v>
      </c>
    </row>
    <row r="224" spans="1:29" x14ac:dyDescent="0.3">
      <c r="A224">
        <v>44</v>
      </c>
      <c r="B224" t="s">
        <v>111</v>
      </c>
      <c r="C224" t="s">
        <v>101</v>
      </c>
      <c r="D224" s="1">
        <v>39114</v>
      </c>
      <c r="E224">
        <v>0</v>
      </c>
      <c r="F224" t="s">
        <v>112</v>
      </c>
      <c r="G224">
        <v>-0.82199999999999995</v>
      </c>
      <c r="H224">
        <v>8.3239999999999998</v>
      </c>
      <c r="I224">
        <v>118.386</v>
      </c>
      <c r="J224">
        <v>364.36900000000003</v>
      </c>
      <c r="K224">
        <v>6951.7839999999997</v>
      </c>
      <c r="L224">
        <v>6739.616</v>
      </c>
      <c r="M224">
        <v>5786.9319999999998</v>
      </c>
      <c r="N224">
        <v>1164.8520000000001</v>
      </c>
      <c r="O224">
        <v>8.3130000000000006</v>
      </c>
      <c r="P224">
        <v>33.439</v>
      </c>
      <c r="Q224">
        <v>842.85400000000004</v>
      </c>
      <c r="R224">
        <v>1.0999999999999999E-2</v>
      </c>
      <c r="S224">
        <v>6517.8789999999999</v>
      </c>
      <c r="T224">
        <v>6629.7860000000001</v>
      </c>
      <c r="U224">
        <v>6994.3239999999996</v>
      </c>
      <c r="V224">
        <v>6887.8140000000003</v>
      </c>
      <c r="W224">
        <v>6860.5069999999996</v>
      </c>
      <c r="X224">
        <v>6859.9269999999997</v>
      </c>
      <c r="Y224">
        <v>5.2094955852774301E-2</v>
      </c>
      <c r="Z224">
        <v>6900.643</v>
      </c>
      <c r="AA224" t="s">
        <v>32</v>
      </c>
      <c r="AB224">
        <v>4</v>
      </c>
      <c r="AC224" t="s">
        <v>33</v>
      </c>
    </row>
    <row r="225" spans="1:29" x14ac:dyDescent="0.3">
      <c r="A225">
        <v>45</v>
      </c>
      <c r="B225" t="s">
        <v>113</v>
      </c>
      <c r="C225" t="s">
        <v>45</v>
      </c>
      <c r="D225" s="1">
        <v>38869</v>
      </c>
      <c r="E225">
        <v>79</v>
      </c>
      <c r="F225" t="s">
        <v>114</v>
      </c>
      <c r="G225">
        <v>-1546.7629999999999</v>
      </c>
      <c r="H225">
        <v>1141.7439999999999</v>
      </c>
      <c r="I225">
        <v>3782.3020000000001</v>
      </c>
      <c r="J225">
        <v>-141.71299999999999</v>
      </c>
      <c r="K225">
        <v>2897.4720000000002</v>
      </c>
      <c r="L225">
        <v>300.91699999999997</v>
      </c>
      <c r="M225">
        <v>5520.5060000000003</v>
      </c>
      <c r="N225">
        <v>-2623.0340000000001</v>
      </c>
      <c r="O225">
        <v>914.61300000000006</v>
      </c>
      <c r="P225">
        <v>4029.2379999999998</v>
      </c>
      <c r="Q225">
        <v>810.46400000000006</v>
      </c>
      <c r="R225">
        <v>181.27199999999999</v>
      </c>
      <c r="S225">
        <v>9530.2090000000007</v>
      </c>
      <c r="T225">
        <v>6330.97</v>
      </c>
      <c r="U225">
        <v>6926.71</v>
      </c>
      <c r="V225">
        <v>11557.494000000001</v>
      </c>
      <c r="W225">
        <v>10657.866</v>
      </c>
      <c r="X225">
        <v>6454.9780000000001</v>
      </c>
      <c r="Y225">
        <v>-2.04589191694181E-2</v>
      </c>
      <c r="Z225">
        <v>8899.2620000000006</v>
      </c>
      <c r="AA225" t="s">
        <v>32</v>
      </c>
      <c r="AB225">
        <v>4</v>
      </c>
      <c r="AC225" t="s">
        <v>33</v>
      </c>
    </row>
    <row r="226" spans="1:29" x14ac:dyDescent="0.3">
      <c r="A226">
        <v>47</v>
      </c>
      <c r="B226" t="s">
        <v>115</v>
      </c>
      <c r="C226" t="s">
        <v>101</v>
      </c>
      <c r="D226" s="1">
        <v>38296</v>
      </c>
      <c r="E226">
        <v>6</v>
      </c>
      <c r="F226" t="s">
        <v>116</v>
      </c>
      <c r="G226">
        <v>-11775.634</v>
      </c>
      <c r="H226">
        <v>-7838.3140000000003</v>
      </c>
      <c r="I226">
        <v>4434.0990000000002</v>
      </c>
      <c r="J226">
        <v>-8969.4480000000003</v>
      </c>
      <c r="K226">
        <v>3641.9760000000001</v>
      </c>
      <c r="L226">
        <v>300</v>
      </c>
      <c r="M226">
        <v>10919.084000000001</v>
      </c>
      <c r="N226">
        <v>-7277.1080000000002</v>
      </c>
      <c r="O226">
        <v>-9737.8889999999992</v>
      </c>
      <c r="P226">
        <v>2935.5329999999999</v>
      </c>
      <c r="Q226">
        <v>2144.7579999999998</v>
      </c>
      <c r="R226">
        <v>40.784999999999997</v>
      </c>
      <c r="S226">
        <v>14411.772000000001</v>
      </c>
      <c r="T226">
        <v>13063.842000000001</v>
      </c>
      <c r="U226">
        <v>6628.8490000000002</v>
      </c>
      <c r="V226">
        <v>17408.991999999998</v>
      </c>
      <c r="W226">
        <v>16709.116000000002</v>
      </c>
      <c r="X226">
        <v>16485.425999999999</v>
      </c>
      <c r="Y226">
        <v>-1.3530928219967</v>
      </c>
      <c r="Z226">
        <v>14308.09575</v>
      </c>
      <c r="AA226" t="s">
        <v>32</v>
      </c>
      <c r="AB226">
        <v>4</v>
      </c>
      <c r="AC226" t="s">
        <v>33</v>
      </c>
    </row>
    <row r="227" spans="1:29" x14ac:dyDescent="0.3">
      <c r="A227">
        <v>48</v>
      </c>
      <c r="B227" t="s">
        <v>117</v>
      </c>
      <c r="C227" t="s">
        <v>42</v>
      </c>
      <c r="D227" s="1">
        <v>41857</v>
      </c>
      <c r="E227">
        <v>50</v>
      </c>
      <c r="F227" t="s">
        <v>118</v>
      </c>
      <c r="G227">
        <v>67.031999999999996</v>
      </c>
      <c r="H227">
        <v>492.02499999999998</v>
      </c>
      <c r="I227">
        <v>4671.7809999999999</v>
      </c>
      <c r="J227">
        <v>623.73</v>
      </c>
      <c r="K227">
        <v>5342.3540000000003</v>
      </c>
      <c r="L227">
        <v>1079.307</v>
      </c>
      <c r="M227">
        <v>4954.2309999999998</v>
      </c>
      <c r="N227">
        <v>388.12299999999999</v>
      </c>
      <c r="O227">
        <v>338.95</v>
      </c>
      <c r="P227">
        <v>1044.723</v>
      </c>
      <c r="Q227">
        <v>523.75099999999998</v>
      </c>
      <c r="R227">
        <v>99.376000000000005</v>
      </c>
      <c r="S227">
        <v>4965.59</v>
      </c>
      <c r="T227">
        <v>5477.982</v>
      </c>
      <c r="U227">
        <v>6409.8810000000003</v>
      </c>
      <c r="V227">
        <v>5790.28</v>
      </c>
      <c r="W227">
        <v>5385.58</v>
      </c>
      <c r="X227">
        <v>3662.36</v>
      </c>
      <c r="Y227">
        <v>9.7307578721040205E-2</v>
      </c>
      <c r="Z227">
        <v>5312.0252499999997</v>
      </c>
      <c r="AA227" t="s">
        <v>32</v>
      </c>
      <c r="AB227">
        <v>4</v>
      </c>
      <c r="AC227" t="s">
        <v>33</v>
      </c>
    </row>
    <row r="228" spans="1:29" x14ac:dyDescent="0.3">
      <c r="A228">
        <v>50</v>
      </c>
      <c r="B228" t="s">
        <v>119</v>
      </c>
      <c r="C228" t="s">
        <v>35</v>
      </c>
      <c r="D228" s="1">
        <v>37551</v>
      </c>
      <c r="E228">
        <v>2</v>
      </c>
      <c r="F228" t="s">
        <v>120</v>
      </c>
      <c r="G228">
        <v>-50.609000000000002</v>
      </c>
      <c r="H228">
        <v>-48.052</v>
      </c>
      <c r="I228">
        <v>13.518000000000001</v>
      </c>
      <c r="J228">
        <v>121.61799999999999</v>
      </c>
      <c r="K228">
        <v>4520.2920000000004</v>
      </c>
      <c r="L228">
        <v>918.11400000000003</v>
      </c>
      <c r="M228">
        <v>3235.9670000000001</v>
      </c>
      <c r="N228">
        <v>1284.325</v>
      </c>
      <c r="O228">
        <v>-50.609000000000002</v>
      </c>
      <c r="P228">
        <v>1848.7070000000001</v>
      </c>
      <c r="Q228">
        <v>2949.1329999999998</v>
      </c>
      <c r="R228">
        <v>0.15</v>
      </c>
      <c r="S228">
        <v>6182.14</v>
      </c>
      <c r="T228">
        <v>6185.1</v>
      </c>
      <c r="U228">
        <v>6370.2020000000002</v>
      </c>
      <c r="V228">
        <v>6258.143</v>
      </c>
      <c r="W228">
        <v>10619.295</v>
      </c>
      <c r="X228">
        <v>10008.678</v>
      </c>
      <c r="Y228">
        <v>1.90917022725496E-2</v>
      </c>
      <c r="Z228">
        <v>8314.0794999999998</v>
      </c>
      <c r="AA228" t="s">
        <v>32</v>
      </c>
      <c r="AB228">
        <v>4</v>
      </c>
      <c r="AC228" t="s">
        <v>33</v>
      </c>
    </row>
    <row r="229" spans="1:29" x14ac:dyDescent="0.3">
      <c r="A229">
        <v>53</v>
      </c>
      <c r="B229" t="s">
        <v>121</v>
      </c>
      <c r="C229" t="s">
        <v>101</v>
      </c>
      <c r="D229" s="1">
        <v>41185</v>
      </c>
      <c r="E229">
        <v>14</v>
      </c>
      <c r="F229" t="s">
        <v>122</v>
      </c>
      <c r="G229">
        <v>-6622.64</v>
      </c>
      <c r="H229">
        <v>-4551.3860000000004</v>
      </c>
      <c r="I229">
        <v>11688.686</v>
      </c>
      <c r="J229">
        <v>-6464.6139999999996</v>
      </c>
      <c r="K229">
        <v>6083.5389999999998</v>
      </c>
      <c r="L229">
        <v>670</v>
      </c>
      <c r="M229">
        <v>10804.166999999999</v>
      </c>
      <c r="N229">
        <v>-4720.6279999999997</v>
      </c>
      <c r="O229">
        <v>-4725.4009999999998</v>
      </c>
      <c r="P229">
        <v>29.277000000000001</v>
      </c>
      <c r="Q229">
        <v>102.283</v>
      </c>
      <c r="R229">
        <v>174.01499999999999</v>
      </c>
      <c r="S229">
        <v>11084.253000000001</v>
      </c>
      <c r="T229">
        <v>10906.45</v>
      </c>
      <c r="U229">
        <v>6132.5519999999997</v>
      </c>
      <c r="V229">
        <v>11445.107</v>
      </c>
      <c r="W229">
        <v>10137.721</v>
      </c>
      <c r="X229">
        <v>5094.6270000000004</v>
      </c>
      <c r="Y229">
        <v>-1.05414744139145</v>
      </c>
      <c r="Z229">
        <v>8202.5017499999994</v>
      </c>
      <c r="AA229" t="s">
        <v>32</v>
      </c>
      <c r="AB229">
        <v>4</v>
      </c>
      <c r="AC229" t="s">
        <v>33</v>
      </c>
    </row>
    <row r="230" spans="1:29" x14ac:dyDescent="0.3">
      <c r="A230">
        <v>54</v>
      </c>
      <c r="B230" t="s">
        <v>123</v>
      </c>
      <c r="C230" t="s">
        <v>42</v>
      </c>
      <c r="D230" s="1">
        <v>36817</v>
      </c>
      <c r="E230">
        <v>0</v>
      </c>
      <c r="F230" t="s">
        <v>124</v>
      </c>
      <c r="G230">
        <v>-436.56700000000001</v>
      </c>
      <c r="H230">
        <v>-230.37299999999999</v>
      </c>
      <c r="I230">
        <v>7.266</v>
      </c>
      <c r="J230">
        <v>-6477.9059999999999</v>
      </c>
      <c r="K230">
        <v>6122.8360000000002</v>
      </c>
      <c r="L230">
        <v>6094.259</v>
      </c>
      <c r="M230">
        <v>12568.134</v>
      </c>
      <c r="N230">
        <v>-6445.2979999999998</v>
      </c>
      <c r="O230">
        <v>-308.798</v>
      </c>
      <c r="P230">
        <v>0</v>
      </c>
      <c r="Q230">
        <v>0</v>
      </c>
      <c r="R230">
        <v>78.432000000000002</v>
      </c>
      <c r="S230">
        <v>12374.165999999999</v>
      </c>
      <c r="T230">
        <v>12568.134</v>
      </c>
      <c r="U230">
        <v>6127.576</v>
      </c>
      <c r="V230">
        <v>6369.7749999999996</v>
      </c>
      <c r="W230">
        <v>7122.0810000000001</v>
      </c>
      <c r="X230">
        <v>12961.796</v>
      </c>
      <c r="Y230">
        <v>-1.05717268949418</v>
      </c>
      <c r="Z230">
        <v>8145.3069999999998</v>
      </c>
      <c r="AA230" t="s">
        <v>32</v>
      </c>
      <c r="AB230">
        <v>4</v>
      </c>
      <c r="AC230" t="s">
        <v>33</v>
      </c>
    </row>
    <row r="231" spans="1:29" x14ac:dyDescent="0.3">
      <c r="A231">
        <v>58</v>
      </c>
      <c r="B231" t="s">
        <v>130</v>
      </c>
      <c r="C231" t="s">
        <v>58</v>
      </c>
      <c r="D231" s="1">
        <v>21094</v>
      </c>
      <c r="E231">
        <v>0</v>
      </c>
      <c r="F231" t="s">
        <v>131</v>
      </c>
      <c r="G231">
        <v>-29.033999999999999</v>
      </c>
      <c r="H231">
        <v>-28.597000000000001</v>
      </c>
      <c r="I231">
        <v>47.021999999999998</v>
      </c>
      <c r="J231">
        <v>-1599.1880000000001</v>
      </c>
      <c r="K231">
        <v>1184.2380000000001</v>
      </c>
      <c r="L231">
        <v>38.423999999999999</v>
      </c>
      <c r="M231">
        <v>3681.3870000000002</v>
      </c>
      <c r="N231">
        <v>-2497.1489999999999</v>
      </c>
      <c r="O231">
        <v>-29.033999999999999</v>
      </c>
      <c r="P231">
        <v>4776.8109999999997</v>
      </c>
      <c r="Q231">
        <v>3027.7869999999998</v>
      </c>
      <c r="R231">
        <v>0.48699999999999999</v>
      </c>
      <c r="S231">
        <v>6851.2449999999999</v>
      </c>
      <c r="T231">
        <v>6709.174</v>
      </c>
      <c r="U231">
        <v>5968.9380000000001</v>
      </c>
      <c r="V231">
        <v>6132.3620000000001</v>
      </c>
      <c r="W231">
        <v>7236.4859999999999</v>
      </c>
      <c r="X231">
        <v>13414.008</v>
      </c>
      <c r="Y231">
        <v>-0.26791834661375302</v>
      </c>
      <c r="Z231">
        <v>8187.9485000000004</v>
      </c>
      <c r="AA231" t="s">
        <v>32</v>
      </c>
      <c r="AB231">
        <v>4</v>
      </c>
      <c r="AC231" t="s">
        <v>33</v>
      </c>
    </row>
    <row r="232" spans="1:29" x14ac:dyDescent="0.3">
      <c r="A232">
        <v>61</v>
      </c>
      <c r="B232" t="s">
        <v>134</v>
      </c>
      <c r="C232" t="s">
        <v>42</v>
      </c>
      <c r="D232" s="1">
        <v>29734</v>
      </c>
      <c r="E232">
        <v>1</v>
      </c>
      <c r="F232" t="s">
        <v>135</v>
      </c>
      <c r="G232">
        <v>-87.524000000000001</v>
      </c>
      <c r="H232">
        <v>7.4740000000000002</v>
      </c>
      <c r="I232">
        <v>71.260999999999996</v>
      </c>
      <c r="J232">
        <v>-72.725999999999999</v>
      </c>
      <c r="K232">
        <v>2858.6970000000001</v>
      </c>
      <c r="L232">
        <v>2180.578</v>
      </c>
      <c r="M232">
        <v>4491.5950000000003</v>
      </c>
      <c r="N232">
        <v>-1632.8979999999999</v>
      </c>
      <c r="O232">
        <v>-13.303000000000001</v>
      </c>
      <c r="P232">
        <v>2819.25</v>
      </c>
      <c r="Q232">
        <v>1248.123</v>
      </c>
      <c r="R232">
        <v>20.847999999999999</v>
      </c>
      <c r="S232">
        <v>5731.1530000000002</v>
      </c>
      <c r="T232">
        <v>5739.7179999999998</v>
      </c>
      <c r="U232">
        <v>5681.8609999999999</v>
      </c>
      <c r="V232">
        <v>5760.25</v>
      </c>
      <c r="W232">
        <v>5895.9129999999996</v>
      </c>
      <c r="X232">
        <v>5995.6210000000001</v>
      </c>
      <c r="Y232">
        <v>-1.2799679541615001E-2</v>
      </c>
      <c r="Z232">
        <v>5833.4112500000001</v>
      </c>
      <c r="AA232" t="s">
        <v>32</v>
      </c>
      <c r="AB232">
        <v>4</v>
      </c>
      <c r="AC232" t="s">
        <v>33</v>
      </c>
    </row>
    <row r="233" spans="1:29" x14ac:dyDescent="0.3">
      <c r="A233">
        <v>70</v>
      </c>
      <c r="B233" t="s">
        <v>142</v>
      </c>
      <c r="C233" t="s">
        <v>143</v>
      </c>
      <c r="D233" s="1">
        <v>31848</v>
      </c>
      <c r="E233">
        <v>28</v>
      </c>
      <c r="F233" t="s">
        <v>144</v>
      </c>
      <c r="G233">
        <v>-1937.3520000000001</v>
      </c>
      <c r="H233">
        <v>-794.90599999999995</v>
      </c>
      <c r="I233">
        <v>1800.471</v>
      </c>
      <c r="J233">
        <v>-4625.9859999999999</v>
      </c>
      <c r="K233">
        <v>2454.0630000000001</v>
      </c>
      <c r="L233">
        <v>535.29100000000005</v>
      </c>
      <c r="M233">
        <v>8324.3060000000005</v>
      </c>
      <c r="N233">
        <v>-5870.2430000000004</v>
      </c>
      <c r="O233">
        <v>-1207.373</v>
      </c>
      <c r="P233">
        <v>2190.0300000000002</v>
      </c>
      <c r="Q233">
        <v>639.04499999999996</v>
      </c>
      <c r="R233">
        <v>180.107</v>
      </c>
      <c r="S233">
        <v>9535.0630000000001</v>
      </c>
      <c r="T233">
        <v>8963.3510000000006</v>
      </c>
      <c r="U233">
        <v>4713.2529999999997</v>
      </c>
      <c r="V233">
        <v>7388.0290000000005</v>
      </c>
      <c r="W233">
        <v>8769.5660000000007</v>
      </c>
      <c r="X233">
        <v>8460.2129999999997</v>
      </c>
      <c r="Y233">
        <v>-0.98148476222260905</v>
      </c>
      <c r="Z233">
        <v>7332.7652500000004</v>
      </c>
      <c r="AA233" t="s">
        <v>32</v>
      </c>
      <c r="AB233">
        <v>4</v>
      </c>
      <c r="AC233" t="s">
        <v>33</v>
      </c>
    </row>
    <row r="234" spans="1:29" x14ac:dyDescent="0.3">
      <c r="A234">
        <v>75</v>
      </c>
      <c r="B234" t="s">
        <v>151</v>
      </c>
      <c r="C234" t="s">
        <v>58</v>
      </c>
      <c r="D234" s="1">
        <v>32637</v>
      </c>
      <c r="E234">
        <v>9</v>
      </c>
      <c r="F234" t="s">
        <v>152</v>
      </c>
      <c r="G234">
        <v>-2730.7359999999999</v>
      </c>
      <c r="H234">
        <v>-1940.693</v>
      </c>
      <c r="I234">
        <v>6546.6890000000003</v>
      </c>
      <c r="J234">
        <v>-2388.4650000000001</v>
      </c>
      <c r="K234">
        <v>2507.9450000000002</v>
      </c>
      <c r="L234">
        <v>206.85400000000001</v>
      </c>
      <c r="M234">
        <v>6543.2839999999997</v>
      </c>
      <c r="N234">
        <v>-4035.3389999999999</v>
      </c>
      <c r="O234">
        <v>-2061.4989999999998</v>
      </c>
      <c r="P234">
        <v>1911.971</v>
      </c>
      <c r="Q234">
        <v>0</v>
      </c>
      <c r="R234">
        <v>121.83</v>
      </c>
      <c r="S234">
        <v>8523.8050000000003</v>
      </c>
      <c r="T234">
        <v>6543.2839999999997</v>
      </c>
      <c r="U234">
        <v>4429.7619999999997</v>
      </c>
      <c r="V234">
        <v>9129.2119999999995</v>
      </c>
      <c r="W234">
        <v>6741.3680000000004</v>
      </c>
      <c r="X234">
        <v>4821.4579999999996</v>
      </c>
      <c r="Y234">
        <v>-0.53918585242277095</v>
      </c>
      <c r="Z234">
        <v>6280.45</v>
      </c>
      <c r="AA234" t="s">
        <v>32</v>
      </c>
      <c r="AB234">
        <v>4</v>
      </c>
      <c r="AC234" t="s">
        <v>33</v>
      </c>
    </row>
    <row r="235" spans="1:29" x14ac:dyDescent="0.3">
      <c r="A235">
        <v>87</v>
      </c>
      <c r="B235" t="s">
        <v>168</v>
      </c>
      <c r="C235" t="s">
        <v>35</v>
      </c>
      <c r="D235" s="1">
        <v>20888</v>
      </c>
      <c r="E235">
        <v>4</v>
      </c>
      <c r="F235" t="s">
        <v>169</v>
      </c>
      <c r="G235">
        <v>-321.27600000000001</v>
      </c>
      <c r="H235">
        <v>-20.693000000000001</v>
      </c>
      <c r="I235">
        <v>3972.3409999999999</v>
      </c>
      <c r="J235">
        <v>-1256.154</v>
      </c>
      <c r="K235">
        <v>3029.2570000000001</v>
      </c>
      <c r="L235">
        <v>185.54</v>
      </c>
      <c r="M235">
        <v>3151.6109999999999</v>
      </c>
      <c r="N235">
        <v>-122.354</v>
      </c>
      <c r="O235">
        <v>177.59899999999999</v>
      </c>
      <c r="P235">
        <v>704.81100000000004</v>
      </c>
      <c r="Q235">
        <v>1369.537</v>
      </c>
      <c r="R235">
        <v>21.361999999999998</v>
      </c>
      <c r="S235">
        <v>7378.3029999999999</v>
      </c>
      <c r="T235">
        <v>4521.1480000000001</v>
      </c>
      <c r="U235">
        <v>3828.0439999999999</v>
      </c>
      <c r="V235">
        <v>7419.8540000000003</v>
      </c>
      <c r="W235">
        <v>14563.944</v>
      </c>
      <c r="X235">
        <v>18520.968000000001</v>
      </c>
      <c r="Y235">
        <v>-0.32814513103820098</v>
      </c>
      <c r="Z235">
        <v>11083.202499999999</v>
      </c>
      <c r="AA235" t="s">
        <v>32</v>
      </c>
      <c r="AB235">
        <v>4</v>
      </c>
      <c r="AC235" t="s">
        <v>33</v>
      </c>
    </row>
    <row r="236" spans="1:29" x14ac:dyDescent="0.3">
      <c r="A236">
        <v>91</v>
      </c>
      <c r="B236" t="s">
        <v>176</v>
      </c>
      <c r="C236" t="s">
        <v>35</v>
      </c>
      <c r="D236" s="1">
        <v>40906</v>
      </c>
      <c r="E236">
        <v>0</v>
      </c>
      <c r="F236" t="s">
        <v>177</v>
      </c>
      <c r="G236">
        <v>-14.548999999999999</v>
      </c>
      <c r="H236">
        <v>-0.19500000000000001</v>
      </c>
      <c r="I236">
        <v>300.72199999999998</v>
      </c>
      <c r="J236">
        <v>-1724.1980000000001</v>
      </c>
      <c r="K236">
        <v>1647.192</v>
      </c>
      <c r="L236">
        <v>0</v>
      </c>
      <c r="M236">
        <v>2062.9650000000001</v>
      </c>
      <c r="N236">
        <v>-415.77300000000002</v>
      </c>
      <c r="O236">
        <v>-14.548999999999999</v>
      </c>
      <c r="P236">
        <v>2068.6039999999998</v>
      </c>
      <c r="Q236">
        <v>3377.029</v>
      </c>
      <c r="R236">
        <v>13.119</v>
      </c>
      <c r="S236">
        <v>5949.7820000000002</v>
      </c>
      <c r="T236">
        <v>5439.9939999999997</v>
      </c>
      <c r="U236">
        <v>3715.7959999999998</v>
      </c>
      <c r="V236">
        <v>4240.1329999999998</v>
      </c>
      <c r="W236">
        <v>6935.1030000000001</v>
      </c>
      <c r="X236">
        <v>7453.9620000000004</v>
      </c>
      <c r="Y236">
        <v>-0.46401847679474301</v>
      </c>
      <c r="Z236">
        <v>5586.2484999999997</v>
      </c>
      <c r="AA236" t="s">
        <v>32</v>
      </c>
      <c r="AB236">
        <v>4</v>
      </c>
      <c r="AC236" t="s">
        <v>33</v>
      </c>
    </row>
    <row r="237" spans="1:29" x14ac:dyDescent="0.3">
      <c r="A237">
        <v>92</v>
      </c>
      <c r="B237" t="s">
        <v>178</v>
      </c>
      <c r="C237" t="s">
        <v>42</v>
      </c>
      <c r="D237" s="1">
        <v>39706</v>
      </c>
      <c r="E237">
        <v>1</v>
      </c>
      <c r="F237" t="s">
        <v>179</v>
      </c>
      <c r="G237">
        <v>21.806999999999999</v>
      </c>
      <c r="H237">
        <v>115.953</v>
      </c>
      <c r="I237">
        <v>0.61699999999999999</v>
      </c>
      <c r="J237">
        <v>988.08199999999999</v>
      </c>
      <c r="K237">
        <v>1956.6379999999999</v>
      </c>
      <c r="L237">
        <v>445</v>
      </c>
      <c r="M237">
        <v>2564.7159999999999</v>
      </c>
      <c r="N237">
        <v>-608.07799999999997</v>
      </c>
      <c r="O237">
        <v>42.831000000000003</v>
      </c>
      <c r="P237">
        <v>1733.2159999999999</v>
      </c>
      <c r="Q237">
        <v>17.292000000000002</v>
      </c>
      <c r="R237">
        <v>0.57399999999999995</v>
      </c>
      <c r="S237">
        <v>3506.9409999999998</v>
      </c>
      <c r="T237">
        <v>2582.0079999999998</v>
      </c>
      <c r="U237">
        <v>3715.701</v>
      </c>
      <c r="V237">
        <v>4618.8280000000004</v>
      </c>
      <c r="W237">
        <v>4949.7640000000001</v>
      </c>
      <c r="X237">
        <v>10501.936</v>
      </c>
      <c r="Y237">
        <v>0.26592075088926698</v>
      </c>
      <c r="Z237">
        <v>5946.5572499999998</v>
      </c>
      <c r="AA237" t="s">
        <v>32</v>
      </c>
      <c r="AB237">
        <v>4</v>
      </c>
      <c r="AC237" t="s">
        <v>33</v>
      </c>
    </row>
    <row r="238" spans="1:29" x14ac:dyDescent="0.3">
      <c r="A238">
        <v>93</v>
      </c>
      <c r="B238" t="s">
        <v>180</v>
      </c>
      <c r="C238" t="s">
        <v>58</v>
      </c>
      <c r="D238" s="1">
        <v>41205</v>
      </c>
      <c r="E238">
        <v>52</v>
      </c>
      <c r="F238" t="s">
        <v>181</v>
      </c>
      <c r="G238">
        <v>-66899.635999999999</v>
      </c>
      <c r="H238">
        <v>-64298.069000000003</v>
      </c>
      <c r="I238">
        <v>8062.8059999999996</v>
      </c>
      <c r="J238">
        <v>-77474.103000000003</v>
      </c>
      <c r="K238">
        <v>3552.056</v>
      </c>
      <c r="L238">
        <v>0</v>
      </c>
      <c r="M238">
        <v>6425.2780000000002</v>
      </c>
      <c r="N238">
        <v>-2873.2220000000002</v>
      </c>
      <c r="O238">
        <v>-66330.903999999995</v>
      </c>
      <c r="P238">
        <v>124.15900000000001</v>
      </c>
      <c r="Q238">
        <v>74348.323999999993</v>
      </c>
      <c r="R238">
        <v>2801.9720000000002</v>
      </c>
      <c r="S238">
        <v>16060.837</v>
      </c>
      <c r="T238">
        <v>80773.601999999999</v>
      </c>
      <c r="U238">
        <v>3676.2150000000001</v>
      </c>
      <c r="V238">
        <v>6393.54</v>
      </c>
      <c r="W238">
        <v>4916.1790000000001</v>
      </c>
      <c r="X238">
        <v>11413.91</v>
      </c>
      <c r="Y238">
        <v>-21.074421109755601</v>
      </c>
      <c r="Z238">
        <v>6599.9610000000002</v>
      </c>
      <c r="AA238" t="s">
        <v>32</v>
      </c>
      <c r="AB238">
        <v>4</v>
      </c>
      <c r="AC238" t="s">
        <v>33</v>
      </c>
    </row>
    <row r="239" spans="1:29" x14ac:dyDescent="0.3">
      <c r="A239">
        <v>42</v>
      </c>
      <c r="B239" t="s">
        <v>107</v>
      </c>
      <c r="C239" t="s">
        <v>58</v>
      </c>
      <c r="D239" s="1">
        <v>43252</v>
      </c>
      <c r="E239">
        <v>18</v>
      </c>
      <c r="F239" t="s">
        <v>108</v>
      </c>
      <c r="G239">
        <v>166.60900000000001</v>
      </c>
      <c r="H239">
        <v>375.35300000000001</v>
      </c>
      <c r="I239">
        <v>9005.41</v>
      </c>
      <c r="J239">
        <v>502.94</v>
      </c>
      <c r="K239">
        <v>6254.3270000000002</v>
      </c>
      <c r="L239">
        <v>720</v>
      </c>
      <c r="M239">
        <v>4162.4340000000002</v>
      </c>
      <c r="N239">
        <v>2091.893</v>
      </c>
      <c r="O239">
        <v>234.78299999999999</v>
      </c>
      <c r="P239">
        <v>967.30899999999997</v>
      </c>
      <c r="Q239">
        <v>2437.386</v>
      </c>
      <c r="R239">
        <v>70.817999999999998</v>
      </c>
      <c r="S239">
        <v>3728.8020000000001</v>
      </c>
      <c r="T239">
        <v>6599.82</v>
      </c>
      <c r="U239">
        <v>7260.2179999999998</v>
      </c>
      <c r="V239">
        <v>4852.3050000000003</v>
      </c>
      <c r="W239">
        <v>1414.3209999999999</v>
      </c>
      <c r="X239">
        <v>950.83600000000001</v>
      </c>
      <c r="Y239">
        <v>6.9273401983246205E-2</v>
      </c>
      <c r="Z239">
        <v>3619.42</v>
      </c>
      <c r="AA239" t="s">
        <v>32</v>
      </c>
      <c r="AB239">
        <v>3</v>
      </c>
      <c r="AC239" t="s">
        <v>33</v>
      </c>
    </row>
    <row r="240" spans="1:29" x14ac:dyDescent="0.3">
      <c r="A240">
        <v>59</v>
      </c>
      <c r="B240" t="s">
        <v>132</v>
      </c>
      <c r="C240" t="s">
        <v>58</v>
      </c>
      <c r="D240" s="1">
        <v>38533</v>
      </c>
      <c r="E240">
        <v>15</v>
      </c>
      <c r="F240" t="s">
        <v>133</v>
      </c>
      <c r="G240">
        <v>-3134.0680000000002</v>
      </c>
      <c r="H240">
        <v>-3702.7779999999998</v>
      </c>
      <c r="I240">
        <v>3600.82</v>
      </c>
      <c r="J240">
        <v>-2571.203</v>
      </c>
      <c r="K240">
        <v>5336.6790000000001</v>
      </c>
      <c r="L240">
        <v>2838.2530000000002</v>
      </c>
      <c r="M240">
        <v>6547.4679999999998</v>
      </c>
      <c r="N240">
        <v>-1210.789</v>
      </c>
      <c r="O240">
        <v>-3128.828</v>
      </c>
      <c r="P240">
        <v>456.80099999999999</v>
      </c>
      <c r="Q240">
        <v>1742.7829999999999</v>
      </c>
      <c r="R240">
        <v>81.986000000000004</v>
      </c>
      <c r="S240">
        <v>3962.509</v>
      </c>
      <c r="T240">
        <v>8290.2510000000002</v>
      </c>
      <c r="U240">
        <v>5873.7860000000001</v>
      </c>
      <c r="V240">
        <v>4917.777</v>
      </c>
      <c r="W240">
        <v>5002.8670000000002</v>
      </c>
      <c r="X240">
        <v>5251.9690000000001</v>
      </c>
      <c r="Y240">
        <v>-0.43774202873580997</v>
      </c>
      <c r="Z240">
        <v>5261.5997500000003</v>
      </c>
      <c r="AA240" t="s">
        <v>32</v>
      </c>
      <c r="AB240">
        <v>3</v>
      </c>
      <c r="AC240" t="s">
        <v>33</v>
      </c>
    </row>
    <row r="241" spans="1:29" x14ac:dyDescent="0.3">
      <c r="A241">
        <v>62</v>
      </c>
      <c r="B241" t="s">
        <v>136</v>
      </c>
      <c r="C241" t="s">
        <v>58</v>
      </c>
      <c r="D241" s="1">
        <v>39843</v>
      </c>
      <c r="E241">
        <v>0</v>
      </c>
      <c r="F241" t="s">
        <v>137</v>
      </c>
      <c r="G241">
        <v>-63.843000000000004</v>
      </c>
      <c r="H241">
        <v>-28.87</v>
      </c>
      <c r="I241">
        <v>51.244</v>
      </c>
      <c r="J241">
        <v>-12468.088</v>
      </c>
      <c r="K241">
        <v>4737.6679999999997</v>
      </c>
      <c r="L241">
        <v>1826.8150000000001</v>
      </c>
      <c r="M241">
        <v>16121.753000000001</v>
      </c>
      <c r="N241">
        <v>-11384.084999999999</v>
      </c>
      <c r="O241">
        <v>-49.051000000000002</v>
      </c>
      <c r="P241">
        <v>636.00699999999995</v>
      </c>
      <c r="Q241">
        <v>0</v>
      </c>
      <c r="R241">
        <v>20.199000000000002</v>
      </c>
      <c r="S241">
        <v>16024.531000000001</v>
      </c>
      <c r="T241">
        <v>16121.753000000001</v>
      </c>
      <c r="U241">
        <v>5390.8069999999998</v>
      </c>
      <c r="V241">
        <v>5357.4279999999999</v>
      </c>
      <c r="W241">
        <v>5184.6239999999998</v>
      </c>
      <c r="X241">
        <v>5135.6329999999998</v>
      </c>
      <c r="Y241">
        <v>-2.3128425855349701</v>
      </c>
      <c r="Z241">
        <v>5267.1229999999996</v>
      </c>
      <c r="AA241" t="s">
        <v>32</v>
      </c>
      <c r="AB241">
        <v>3</v>
      </c>
      <c r="AC241" t="s">
        <v>33</v>
      </c>
    </row>
    <row r="242" spans="1:29" x14ac:dyDescent="0.3">
      <c r="A242">
        <v>80</v>
      </c>
      <c r="B242" t="s">
        <v>159</v>
      </c>
      <c r="C242" t="s">
        <v>58</v>
      </c>
      <c r="D242" s="1">
        <v>35962</v>
      </c>
      <c r="E242">
        <v>38</v>
      </c>
      <c r="F242" t="s">
        <v>160</v>
      </c>
      <c r="G242">
        <v>-171.64</v>
      </c>
      <c r="H242">
        <v>-106.586</v>
      </c>
      <c r="I242">
        <v>2325.2800000000002</v>
      </c>
      <c r="J242">
        <v>377.28500000000003</v>
      </c>
      <c r="K242">
        <v>3986.77</v>
      </c>
      <c r="L242">
        <v>1115.3620000000001</v>
      </c>
      <c r="M242">
        <v>2010.8430000000001</v>
      </c>
      <c r="N242">
        <v>1975.9269999999999</v>
      </c>
      <c r="O242">
        <v>-152.012</v>
      </c>
      <c r="P242">
        <v>65.033000000000001</v>
      </c>
      <c r="Q242">
        <v>1279.2860000000001</v>
      </c>
      <c r="R242">
        <v>95.384</v>
      </c>
      <c r="S242">
        <v>3222.6970000000001</v>
      </c>
      <c r="T242">
        <v>3290.1289999999999</v>
      </c>
      <c r="U242">
        <v>4072.4569999999999</v>
      </c>
      <c r="V242">
        <v>4116.8710000000001</v>
      </c>
      <c r="W242">
        <v>4243.5640000000003</v>
      </c>
      <c r="X242">
        <v>2794.277</v>
      </c>
      <c r="Y242">
        <v>9.2643089908622703E-2</v>
      </c>
      <c r="Z242">
        <v>3806.79225</v>
      </c>
      <c r="AA242" t="s">
        <v>32</v>
      </c>
      <c r="AB242">
        <v>3</v>
      </c>
      <c r="AC242" t="s">
        <v>33</v>
      </c>
    </row>
    <row r="243" spans="1:29" x14ac:dyDescent="0.3">
      <c r="A243">
        <v>82</v>
      </c>
      <c r="B243" t="s">
        <v>164</v>
      </c>
      <c r="C243" t="s">
        <v>42</v>
      </c>
      <c r="D243" s="1">
        <v>36378</v>
      </c>
      <c r="E243">
        <v>0</v>
      </c>
      <c r="F243" t="s">
        <v>165</v>
      </c>
      <c r="G243">
        <v>-876.36699999999996</v>
      </c>
      <c r="H243">
        <v>-346.26</v>
      </c>
      <c r="I243">
        <v>3.45</v>
      </c>
      <c r="J243">
        <v>-8.5000000000000006E-2</v>
      </c>
      <c r="K243">
        <v>3203.0129999999999</v>
      </c>
      <c r="L243">
        <v>3184.8319999999999</v>
      </c>
      <c r="M243">
        <v>542.95899999999995</v>
      </c>
      <c r="N243">
        <v>2660.0540000000001</v>
      </c>
      <c r="O243">
        <v>-346.36700000000002</v>
      </c>
      <c r="P243">
        <v>848.21600000000001</v>
      </c>
      <c r="Q243">
        <v>3444.8670000000002</v>
      </c>
      <c r="R243">
        <v>0.107</v>
      </c>
      <c r="S243">
        <v>3988.75</v>
      </c>
      <c r="T243">
        <v>3987.826</v>
      </c>
      <c r="U243">
        <v>4051.2289999999998</v>
      </c>
      <c r="V243">
        <v>4930.8599999999997</v>
      </c>
      <c r="W243">
        <v>4702.4660000000003</v>
      </c>
      <c r="X243">
        <v>5405.5249999999996</v>
      </c>
      <c r="Y243" s="2">
        <v>-2.09812874068585E-5</v>
      </c>
      <c r="Z243">
        <v>4772.5200000000004</v>
      </c>
      <c r="AA243" t="s">
        <v>32</v>
      </c>
      <c r="AB243">
        <v>3</v>
      </c>
      <c r="AC243" t="s">
        <v>33</v>
      </c>
    </row>
    <row r="244" spans="1:29" x14ac:dyDescent="0.3">
      <c r="A244">
        <v>89</v>
      </c>
      <c r="B244" t="s">
        <v>172</v>
      </c>
      <c r="C244" t="s">
        <v>101</v>
      </c>
      <c r="D244" s="1">
        <v>37755</v>
      </c>
      <c r="E244">
        <v>18</v>
      </c>
      <c r="F244" t="s">
        <v>173</v>
      </c>
      <c r="G244">
        <v>31.978999999999999</v>
      </c>
      <c r="H244">
        <v>159.29</v>
      </c>
      <c r="I244">
        <v>5998.2579999999998</v>
      </c>
      <c r="J244">
        <v>317.72000000000003</v>
      </c>
      <c r="K244">
        <v>3434.8679999999999</v>
      </c>
      <c r="L244">
        <v>32.076000000000001</v>
      </c>
      <c r="M244">
        <v>2769.1669999999999</v>
      </c>
      <c r="N244">
        <v>665.70100000000002</v>
      </c>
      <c r="O244">
        <v>118.51900000000001</v>
      </c>
      <c r="P244">
        <v>348.12900000000002</v>
      </c>
      <c r="Q244">
        <v>440.83800000000002</v>
      </c>
      <c r="R244">
        <v>12.256</v>
      </c>
      <c r="S244">
        <v>2962.4270000000001</v>
      </c>
      <c r="T244">
        <v>3210.0050000000001</v>
      </c>
      <c r="U244">
        <v>3803.3960000000002</v>
      </c>
      <c r="V244">
        <v>3509.5680000000002</v>
      </c>
      <c r="W244">
        <v>3082.2930000000001</v>
      </c>
      <c r="X244">
        <v>2620.819</v>
      </c>
      <c r="Y244">
        <v>8.3535871626304506E-2</v>
      </c>
      <c r="Z244">
        <v>3254.0189999999998</v>
      </c>
      <c r="AA244" t="s">
        <v>32</v>
      </c>
      <c r="AB244">
        <v>3</v>
      </c>
      <c r="AC244" t="s">
        <v>33</v>
      </c>
    </row>
    <row r="245" spans="1:29" x14ac:dyDescent="0.3">
      <c r="A245">
        <v>95</v>
      </c>
      <c r="B245" t="s">
        <v>182</v>
      </c>
      <c r="C245" t="s">
        <v>58</v>
      </c>
      <c r="D245" s="1">
        <v>40351</v>
      </c>
      <c r="E245">
        <v>2</v>
      </c>
      <c r="F245" t="s">
        <v>183</v>
      </c>
      <c r="G245">
        <v>-18.634</v>
      </c>
      <c r="H245">
        <v>51.597999999999999</v>
      </c>
      <c r="I245">
        <v>976.19100000000003</v>
      </c>
      <c r="J245">
        <v>115.36499999999999</v>
      </c>
      <c r="K245">
        <v>3127.884</v>
      </c>
      <c r="L245">
        <v>727.19200000000001</v>
      </c>
      <c r="M245">
        <v>2077.1439999999998</v>
      </c>
      <c r="N245">
        <v>1050.74</v>
      </c>
      <c r="O245">
        <v>29.2</v>
      </c>
      <c r="P245">
        <v>403.86700000000002</v>
      </c>
      <c r="Q245">
        <v>1259.1510000000001</v>
      </c>
      <c r="R245">
        <v>20.896000000000001</v>
      </c>
      <c r="S245">
        <v>4477.4160000000002</v>
      </c>
      <c r="T245">
        <v>3336.2950000000001</v>
      </c>
      <c r="U245">
        <v>3531.7510000000002</v>
      </c>
      <c r="V245">
        <v>4680.5649999999996</v>
      </c>
      <c r="W245">
        <v>4984.67</v>
      </c>
      <c r="X245">
        <v>5220.6890000000003</v>
      </c>
      <c r="Y245">
        <v>3.2665100116061399E-2</v>
      </c>
      <c r="Z245">
        <v>4604.4187499999998</v>
      </c>
      <c r="AA245" t="s">
        <v>32</v>
      </c>
      <c r="AB245">
        <v>3</v>
      </c>
      <c r="AC245" t="s">
        <v>33</v>
      </c>
    </row>
    <row r="246" spans="1:29" x14ac:dyDescent="0.3">
      <c r="A246">
        <v>96</v>
      </c>
      <c r="B246" t="s">
        <v>184</v>
      </c>
      <c r="C246" t="s">
        <v>58</v>
      </c>
      <c r="D246" s="1">
        <v>38145</v>
      </c>
      <c r="E246">
        <v>0</v>
      </c>
      <c r="F246" t="s">
        <v>185</v>
      </c>
      <c r="G246">
        <v>90.822000000000003</v>
      </c>
      <c r="H246">
        <v>98.040999999999997</v>
      </c>
      <c r="I246">
        <v>174.30699999999999</v>
      </c>
      <c r="J246">
        <v>486.012</v>
      </c>
      <c r="K246">
        <v>169.66399999999999</v>
      </c>
      <c r="L246">
        <v>137.52500000000001</v>
      </c>
      <c r="M246">
        <v>1887.85</v>
      </c>
      <c r="N246">
        <v>-1718.1859999999999</v>
      </c>
      <c r="O246">
        <v>90.921000000000006</v>
      </c>
      <c r="P246">
        <v>3337.5630000000001</v>
      </c>
      <c r="Q246">
        <v>1133.499</v>
      </c>
      <c r="R246">
        <v>0</v>
      </c>
      <c r="S246">
        <v>3103.192</v>
      </c>
      <c r="T246">
        <v>3021.3490000000002</v>
      </c>
      <c r="U246">
        <v>3507.3609999999999</v>
      </c>
      <c r="V246">
        <v>3506.172</v>
      </c>
      <c r="W246">
        <v>5075.3819999999996</v>
      </c>
      <c r="X246">
        <v>5699.9430000000002</v>
      </c>
      <c r="Y246">
        <v>0.13856914073002499</v>
      </c>
      <c r="Z246">
        <v>4447.2145</v>
      </c>
      <c r="AA246" t="s">
        <v>32</v>
      </c>
      <c r="AB246">
        <v>3</v>
      </c>
      <c r="AC246" t="s">
        <v>33</v>
      </c>
    </row>
    <row r="247" spans="1:29" x14ac:dyDescent="0.3">
      <c r="A247">
        <v>99</v>
      </c>
      <c r="B247" t="s">
        <v>186</v>
      </c>
      <c r="C247" t="s">
        <v>143</v>
      </c>
      <c r="D247" s="1">
        <v>41830</v>
      </c>
      <c r="E247">
        <v>2</v>
      </c>
      <c r="F247" t="s">
        <v>187</v>
      </c>
      <c r="G247">
        <v>58.045999999999999</v>
      </c>
      <c r="H247">
        <v>155.47</v>
      </c>
      <c r="I247">
        <v>1121.463</v>
      </c>
      <c r="J247">
        <v>-45.384999999999998</v>
      </c>
      <c r="K247">
        <v>3330.8380000000002</v>
      </c>
      <c r="L247">
        <v>2339.654</v>
      </c>
      <c r="M247">
        <v>3478.3240000000001</v>
      </c>
      <c r="N247">
        <v>-147.48599999999999</v>
      </c>
      <c r="O247">
        <v>62.841000000000001</v>
      </c>
      <c r="P247">
        <v>77.515000000000001</v>
      </c>
      <c r="Q247">
        <v>0</v>
      </c>
      <c r="R247">
        <v>56.64</v>
      </c>
      <c r="S247">
        <v>3409.1570000000002</v>
      </c>
      <c r="T247">
        <v>3478.3240000000001</v>
      </c>
      <c r="U247">
        <v>3434.797</v>
      </c>
      <c r="V247">
        <v>3308.4760000000001</v>
      </c>
      <c r="W247">
        <v>3060.1149999999998</v>
      </c>
      <c r="X247">
        <v>2649.1260000000002</v>
      </c>
      <c r="Y247">
        <v>-1.3213299068329199E-2</v>
      </c>
      <c r="Z247">
        <v>3113.1284999999998</v>
      </c>
      <c r="AA247" t="s">
        <v>32</v>
      </c>
      <c r="AB247">
        <v>3</v>
      </c>
      <c r="AC247" t="s">
        <v>33</v>
      </c>
    </row>
    <row r="248" spans="1:29" x14ac:dyDescent="0.3">
      <c r="A248">
        <v>101</v>
      </c>
      <c r="B248" t="s">
        <v>188</v>
      </c>
      <c r="C248" t="s">
        <v>42</v>
      </c>
      <c r="D248" s="1">
        <v>36588</v>
      </c>
      <c r="E248">
        <v>26</v>
      </c>
      <c r="F248" t="s">
        <v>189</v>
      </c>
      <c r="G248">
        <v>8.81</v>
      </c>
      <c r="H248">
        <v>112.26900000000001</v>
      </c>
      <c r="I248">
        <v>2987.125</v>
      </c>
      <c r="J248">
        <v>624.846</v>
      </c>
      <c r="K248">
        <v>2551.703</v>
      </c>
      <c r="L248">
        <v>1034.713</v>
      </c>
      <c r="M248">
        <v>2161.3110000000001</v>
      </c>
      <c r="N248">
        <v>390.392</v>
      </c>
      <c r="O248">
        <v>81.513000000000005</v>
      </c>
      <c r="P248">
        <v>811.41300000000001</v>
      </c>
      <c r="Q248">
        <v>294.76799999999997</v>
      </c>
      <c r="R248">
        <v>25.777999999999999</v>
      </c>
      <c r="S248">
        <v>1883.05</v>
      </c>
      <c r="T248">
        <v>2456.0790000000002</v>
      </c>
      <c r="U248">
        <v>3384.7629999999999</v>
      </c>
      <c r="V248">
        <v>2803.913</v>
      </c>
      <c r="W248">
        <v>3222.2510000000002</v>
      </c>
      <c r="X248">
        <v>2456.7040000000002</v>
      </c>
      <c r="Y248">
        <v>0.184605539590217</v>
      </c>
      <c r="Z248">
        <v>2966.9077499999999</v>
      </c>
      <c r="AA248" t="s">
        <v>32</v>
      </c>
      <c r="AB248">
        <v>3</v>
      </c>
      <c r="AC248" t="s">
        <v>33</v>
      </c>
    </row>
    <row r="249" spans="1:29" x14ac:dyDescent="0.3">
      <c r="A249">
        <v>108</v>
      </c>
      <c r="B249" t="s">
        <v>196</v>
      </c>
      <c r="C249" t="s">
        <v>58</v>
      </c>
      <c r="D249" s="1">
        <v>39020</v>
      </c>
      <c r="E249">
        <v>40</v>
      </c>
      <c r="F249" t="s">
        <v>197</v>
      </c>
      <c r="G249">
        <v>-142.596</v>
      </c>
      <c r="H249">
        <v>44.368000000000002</v>
      </c>
      <c r="I249">
        <v>3245.7440000000001</v>
      </c>
      <c r="J249">
        <v>474.548</v>
      </c>
      <c r="K249">
        <v>2848.9789999999998</v>
      </c>
      <c r="L249">
        <v>90.087000000000003</v>
      </c>
      <c r="M249">
        <v>2263.3240000000001</v>
      </c>
      <c r="N249">
        <v>585.65499999999997</v>
      </c>
      <c r="O249">
        <v>-120.666</v>
      </c>
      <c r="P249">
        <v>239.44399999999999</v>
      </c>
      <c r="Q249">
        <v>198.566</v>
      </c>
      <c r="R249">
        <v>133.07499999999999</v>
      </c>
      <c r="S249">
        <v>2050.5700000000002</v>
      </c>
      <c r="T249">
        <v>2461.89</v>
      </c>
      <c r="U249">
        <v>3127.038</v>
      </c>
      <c r="V249">
        <v>2852.2130000000002</v>
      </c>
      <c r="W249">
        <v>2669.5949999999998</v>
      </c>
      <c r="X249">
        <v>2728.5819999999999</v>
      </c>
      <c r="Y249">
        <v>0.151756390552337</v>
      </c>
      <c r="Z249">
        <v>2844.357</v>
      </c>
      <c r="AA249" t="s">
        <v>32</v>
      </c>
      <c r="AB249">
        <v>3</v>
      </c>
      <c r="AC249" t="s">
        <v>33</v>
      </c>
    </row>
    <row r="250" spans="1:29" x14ac:dyDescent="0.3">
      <c r="A250">
        <v>112</v>
      </c>
      <c r="B250" t="s">
        <v>198</v>
      </c>
      <c r="C250" t="s">
        <v>58</v>
      </c>
      <c r="D250" s="1">
        <v>39461</v>
      </c>
      <c r="E250">
        <v>0</v>
      </c>
      <c r="F250" t="s">
        <v>199</v>
      </c>
      <c r="G250">
        <v>-45.237000000000002</v>
      </c>
      <c r="H250">
        <v>-29.318999999999999</v>
      </c>
      <c r="I250">
        <v>122.965</v>
      </c>
      <c r="J250">
        <v>-3014.3409999999999</v>
      </c>
      <c r="K250">
        <v>2276.48</v>
      </c>
      <c r="L250">
        <v>2108.8739999999998</v>
      </c>
      <c r="M250">
        <v>44.024000000000001</v>
      </c>
      <c r="N250">
        <v>2232.4560000000001</v>
      </c>
      <c r="O250">
        <v>-30.117000000000001</v>
      </c>
      <c r="P250">
        <v>718.548</v>
      </c>
      <c r="Q250">
        <v>5165.3490000000002</v>
      </c>
      <c r="R250">
        <v>0.79800000000000004</v>
      </c>
      <c r="S250">
        <v>5257.8519999999999</v>
      </c>
      <c r="T250">
        <v>5209.3729999999996</v>
      </c>
      <c r="U250">
        <v>2995.0320000000002</v>
      </c>
      <c r="V250">
        <v>3088.7489999999998</v>
      </c>
      <c r="W250">
        <v>3401.0659999999998</v>
      </c>
      <c r="X250">
        <v>5340.4139999999998</v>
      </c>
      <c r="Y250">
        <v>-1.0064470095811999</v>
      </c>
      <c r="Z250">
        <v>3706.3152500000001</v>
      </c>
      <c r="AA250" t="s">
        <v>32</v>
      </c>
      <c r="AB250">
        <v>3</v>
      </c>
      <c r="AC250" t="s">
        <v>33</v>
      </c>
    </row>
    <row r="251" spans="1:29" x14ac:dyDescent="0.3">
      <c r="A251">
        <v>114</v>
      </c>
      <c r="B251" t="s">
        <v>200</v>
      </c>
      <c r="C251" t="s">
        <v>45</v>
      </c>
      <c r="D251" s="1">
        <v>40522</v>
      </c>
      <c r="E251">
        <v>23</v>
      </c>
      <c r="F251" t="s">
        <v>201</v>
      </c>
      <c r="G251">
        <v>-2123.0830000000001</v>
      </c>
      <c r="H251">
        <v>-1904.7940000000001</v>
      </c>
      <c r="I251">
        <v>1902.133</v>
      </c>
      <c r="J251">
        <v>-1536.5740000000001</v>
      </c>
      <c r="K251">
        <v>2352.6469999999999</v>
      </c>
      <c r="L251">
        <v>1138.423</v>
      </c>
      <c r="M251">
        <v>2822.299</v>
      </c>
      <c r="N251">
        <v>-469.65199999999999</v>
      </c>
      <c r="O251">
        <v>-1948.7560000000001</v>
      </c>
      <c r="P251">
        <v>563.59699999999998</v>
      </c>
      <c r="Q251">
        <v>1393.2670000000001</v>
      </c>
      <c r="R251">
        <v>43.968000000000004</v>
      </c>
      <c r="S251">
        <v>3391.8209999999999</v>
      </c>
      <c r="T251">
        <v>4215.5659999999998</v>
      </c>
      <c r="U251">
        <v>2961.1750000000002</v>
      </c>
      <c r="V251">
        <v>4199.2619999999997</v>
      </c>
      <c r="W251">
        <v>4167.7349999999997</v>
      </c>
      <c r="X251">
        <v>5193.7690000000002</v>
      </c>
      <c r="Y251">
        <v>-0.51890685285401905</v>
      </c>
      <c r="Z251">
        <v>4130.4852499999997</v>
      </c>
      <c r="AA251" t="s">
        <v>32</v>
      </c>
      <c r="AB251">
        <v>3</v>
      </c>
      <c r="AC251" t="s">
        <v>33</v>
      </c>
    </row>
    <row r="252" spans="1:29" x14ac:dyDescent="0.3">
      <c r="A252">
        <v>122</v>
      </c>
      <c r="B252" t="s">
        <v>208</v>
      </c>
      <c r="C252" t="s">
        <v>101</v>
      </c>
      <c r="D252" s="1">
        <v>37971</v>
      </c>
      <c r="E252">
        <v>0</v>
      </c>
      <c r="F252" t="s">
        <v>209</v>
      </c>
      <c r="G252">
        <v>-8.2579999999999991</v>
      </c>
      <c r="H252">
        <v>-8.2579999999999991</v>
      </c>
      <c r="I252">
        <v>1.2E-2</v>
      </c>
      <c r="J252">
        <v>-184.506</v>
      </c>
      <c r="K252">
        <v>2641.3850000000002</v>
      </c>
      <c r="L252">
        <v>2635.2139999999999</v>
      </c>
      <c r="M252">
        <v>337.9</v>
      </c>
      <c r="N252">
        <v>2303.4850000000001</v>
      </c>
      <c r="O252">
        <v>-8.2579999999999991</v>
      </c>
      <c r="P252">
        <v>0</v>
      </c>
      <c r="Q252">
        <v>2490.127</v>
      </c>
      <c r="R252">
        <v>0</v>
      </c>
      <c r="S252">
        <v>2824.1729999999998</v>
      </c>
      <c r="T252">
        <v>2828.027</v>
      </c>
      <c r="U252">
        <v>2643.5459999999998</v>
      </c>
      <c r="V252">
        <v>2647.95</v>
      </c>
      <c r="W252">
        <v>2664.7159999999999</v>
      </c>
      <c r="X252">
        <v>2670.6039999999998</v>
      </c>
      <c r="Y252">
        <v>-6.9794889137544794E-2</v>
      </c>
      <c r="Z252">
        <v>2656.7040000000002</v>
      </c>
      <c r="AA252" t="s">
        <v>32</v>
      </c>
      <c r="AB252">
        <v>3</v>
      </c>
      <c r="AC252" t="s">
        <v>33</v>
      </c>
    </row>
    <row r="253" spans="1:29" x14ac:dyDescent="0.3">
      <c r="A253">
        <v>128</v>
      </c>
      <c r="B253" t="s">
        <v>214</v>
      </c>
      <c r="C253" t="s">
        <v>58</v>
      </c>
      <c r="D253" s="1">
        <v>42075</v>
      </c>
      <c r="E253">
        <v>2</v>
      </c>
      <c r="F253" t="s">
        <v>215</v>
      </c>
      <c r="G253">
        <v>-1361.752</v>
      </c>
      <c r="H253">
        <v>114.64</v>
      </c>
      <c r="I253">
        <v>3.7090000000000001</v>
      </c>
      <c r="J253">
        <v>-20299.883000000002</v>
      </c>
      <c r="K253">
        <v>764.37400000000002</v>
      </c>
      <c r="L253">
        <v>0</v>
      </c>
      <c r="M253">
        <v>9207.7829999999994</v>
      </c>
      <c r="N253">
        <v>-8443.4089999999997</v>
      </c>
      <c r="O253">
        <v>-1267.835</v>
      </c>
      <c r="P253">
        <v>1783.624</v>
      </c>
      <c r="Q253">
        <v>9844.0400000000009</v>
      </c>
      <c r="R253">
        <v>1382.4839999999999</v>
      </c>
      <c r="S253">
        <v>19036.420999999998</v>
      </c>
      <c r="T253">
        <v>19051.823</v>
      </c>
      <c r="U253">
        <v>2547.998</v>
      </c>
      <c r="V253">
        <v>2513.8209999999999</v>
      </c>
      <c r="W253">
        <v>2930.9580000000001</v>
      </c>
      <c r="X253">
        <v>5894.7879999999996</v>
      </c>
      <c r="Y253">
        <v>-7.9669933021925496</v>
      </c>
      <c r="Z253">
        <v>3471.8912500000001</v>
      </c>
      <c r="AA253" t="s">
        <v>32</v>
      </c>
      <c r="AB253">
        <v>3</v>
      </c>
      <c r="AC253" t="s">
        <v>33</v>
      </c>
    </row>
    <row r="254" spans="1:29" x14ac:dyDescent="0.3">
      <c r="A254">
        <v>144</v>
      </c>
      <c r="B254" t="s">
        <v>228</v>
      </c>
      <c r="C254" t="s">
        <v>101</v>
      </c>
      <c r="D254" s="1">
        <v>36238</v>
      </c>
      <c r="E254">
        <v>3</v>
      </c>
      <c r="F254" t="s">
        <v>229</v>
      </c>
      <c r="G254">
        <v>-75.355999999999995</v>
      </c>
      <c r="H254">
        <v>-63.795999999999999</v>
      </c>
      <c r="I254">
        <v>135.34700000000001</v>
      </c>
      <c r="J254">
        <v>-29.413</v>
      </c>
      <c r="K254">
        <v>2095.4760000000001</v>
      </c>
      <c r="L254">
        <v>735.39400000000001</v>
      </c>
      <c r="M254">
        <v>2206.0030000000002</v>
      </c>
      <c r="N254">
        <v>-110.527</v>
      </c>
      <c r="O254">
        <v>-64.207999999999998</v>
      </c>
      <c r="P254">
        <v>211.797</v>
      </c>
      <c r="Q254">
        <v>69.572999999999993</v>
      </c>
      <c r="R254">
        <v>0.41199999999999998</v>
      </c>
      <c r="S254">
        <v>2248.1019999999999</v>
      </c>
      <c r="T254">
        <v>2275.576</v>
      </c>
      <c r="U254">
        <v>2308.183</v>
      </c>
      <c r="V254">
        <v>2433.4189999999999</v>
      </c>
      <c r="W254">
        <v>2436.489</v>
      </c>
      <c r="X254">
        <v>2469.5239999999999</v>
      </c>
      <c r="Y254">
        <v>-1.27429237629772E-2</v>
      </c>
      <c r="Z254">
        <v>2411.9037499999999</v>
      </c>
      <c r="AA254" t="s">
        <v>32</v>
      </c>
      <c r="AB254">
        <v>3</v>
      </c>
      <c r="AC254" t="s">
        <v>33</v>
      </c>
    </row>
    <row r="255" spans="1:29" x14ac:dyDescent="0.3">
      <c r="A255">
        <v>147</v>
      </c>
      <c r="B255" t="s">
        <v>230</v>
      </c>
      <c r="C255" t="s">
        <v>45</v>
      </c>
      <c r="D255" s="1">
        <v>32939</v>
      </c>
      <c r="E255">
        <v>0</v>
      </c>
      <c r="F255" t="s">
        <v>231</v>
      </c>
      <c r="G255">
        <v>-822.53200000000004</v>
      </c>
      <c r="H255">
        <v>-802.64800000000002</v>
      </c>
      <c r="I255">
        <v>83.847999999999999</v>
      </c>
      <c r="J255">
        <v>-984.13199999999995</v>
      </c>
      <c r="K255">
        <v>2246.2080000000001</v>
      </c>
      <c r="L255">
        <v>2068.3310000000001</v>
      </c>
      <c r="M255">
        <v>1499.0989999999999</v>
      </c>
      <c r="N255">
        <v>747.10900000000004</v>
      </c>
      <c r="O255">
        <v>-822.03700000000003</v>
      </c>
      <c r="P255">
        <v>4.0519999999999996</v>
      </c>
      <c r="Q255">
        <v>0</v>
      </c>
      <c r="R255">
        <v>18.216000000000001</v>
      </c>
      <c r="S255">
        <v>1496.992</v>
      </c>
      <c r="T255">
        <v>1499.0989999999999</v>
      </c>
      <c r="U255">
        <v>2250.453</v>
      </c>
      <c r="V255">
        <v>2231.902</v>
      </c>
      <c r="W255">
        <v>2208.8440000000001</v>
      </c>
      <c r="X255">
        <v>2222.2950000000001</v>
      </c>
      <c r="Y255">
        <v>-0.43730395613683098</v>
      </c>
      <c r="Z255">
        <v>2228.3735000000001</v>
      </c>
      <c r="AA255" t="s">
        <v>32</v>
      </c>
      <c r="AB255">
        <v>3</v>
      </c>
      <c r="AC255" t="s">
        <v>33</v>
      </c>
    </row>
    <row r="256" spans="1:29" x14ac:dyDescent="0.3">
      <c r="A256">
        <v>155</v>
      </c>
      <c r="B256" t="s">
        <v>234</v>
      </c>
      <c r="C256" t="s">
        <v>58</v>
      </c>
      <c r="D256" s="1">
        <v>39855</v>
      </c>
      <c r="E256">
        <v>9</v>
      </c>
      <c r="F256" t="s">
        <v>235</v>
      </c>
      <c r="G256">
        <v>-4.8319999999999999</v>
      </c>
      <c r="H256">
        <v>40.781999999999996</v>
      </c>
      <c r="I256">
        <v>1788.2529999999999</v>
      </c>
      <c r="J256">
        <v>77.272000000000006</v>
      </c>
      <c r="K256">
        <v>1989.173</v>
      </c>
      <c r="L256">
        <v>1027.5419999999999</v>
      </c>
      <c r="M256">
        <v>1669.0909999999999</v>
      </c>
      <c r="N256">
        <v>320.08199999999999</v>
      </c>
      <c r="O256">
        <v>-3.387</v>
      </c>
      <c r="P256">
        <v>22.247</v>
      </c>
      <c r="Q256">
        <v>249.80500000000001</v>
      </c>
      <c r="R256">
        <v>24.649000000000001</v>
      </c>
      <c r="S256">
        <v>1941.5450000000001</v>
      </c>
      <c r="T256">
        <v>1918.896</v>
      </c>
      <c r="U256">
        <v>2012.54</v>
      </c>
      <c r="V256">
        <v>2040.019</v>
      </c>
      <c r="W256">
        <v>3308.9479999999999</v>
      </c>
      <c r="X256">
        <v>2017.4490000000001</v>
      </c>
      <c r="Y256">
        <v>3.8395261709084E-2</v>
      </c>
      <c r="Z256">
        <v>2344.739</v>
      </c>
      <c r="AA256" t="s">
        <v>32</v>
      </c>
      <c r="AB256">
        <v>3</v>
      </c>
      <c r="AC256" t="s">
        <v>33</v>
      </c>
    </row>
    <row r="257" spans="1:29" x14ac:dyDescent="0.3">
      <c r="A257">
        <v>162</v>
      </c>
      <c r="B257" t="s">
        <v>240</v>
      </c>
      <c r="C257" t="s">
        <v>35</v>
      </c>
      <c r="D257" s="1">
        <v>33024</v>
      </c>
      <c r="E257">
        <v>8</v>
      </c>
      <c r="F257" t="s">
        <v>241</v>
      </c>
      <c r="G257">
        <v>-548.53200000000004</v>
      </c>
      <c r="H257">
        <v>-532.01</v>
      </c>
      <c r="I257">
        <v>1618.85</v>
      </c>
      <c r="J257">
        <v>-455.84500000000003</v>
      </c>
      <c r="K257">
        <v>1298.7339999999999</v>
      </c>
      <c r="L257">
        <v>231.95599999999999</v>
      </c>
      <c r="M257">
        <v>1742.88</v>
      </c>
      <c r="N257">
        <v>-444.14600000000002</v>
      </c>
      <c r="O257">
        <v>-537.18200000000002</v>
      </c>
      <c r="P257">
        <v>546.59299999999996</v>
      </c>
      <c r="Q257">
        <v>404.37700000000001</v>
      </c>
      <c r="R257">
        <v>5.2119999999999997</v>
      </c>
      <c r="S257">
        <v>2516.1260000000002</v>
      </c>
      <c r="T257">
        <v>2147.2570000000001</v>
      </c>
      <c r="U257">
        <v>1845.327</v>
      </c>
      <c r="V257">
        <v>2753.2809999999999</v>
      </c>
      <c r="W257">
        <v>2880.8850000000002</v>
      </c>
      <c r="X257">
        <v>3024.567</v>
      </c>
      <c r="Y257">
        <v>-0.24702667874040801</v>
      </c>
      <c r="Z257">
        <v>2626.0149999999999</v>
      </c>
      <c r="AA257" t="s">
        <v>32</v>
      </c>
      <c r="AB257">
        <v>3</v>
      </c>
      <c r="AC257" t="s">
        <v>33</v>
      </c>
    </row>
    <row r="258" spans="1:29" x14ac:dyDescent="0.3">
      <c r="A258">
        <v>167</v>
      </c>
      <c r="B258" t="s">
        <v>242</v>
      </c>
      <c r="C258" t="s">
        <v>58</v>
      </c>
      <c r="D258" s="1">
        <v>40878</v>
      </c>
      <c r="E258">
        <v>6</v>
      </c>
      <c r="F258" t="s">
        <v>243</v>
      </c>
      <c r="G258">
        <v>-1194.086</v>
      </c>
      <c r="H258">
        <v>-1453.1769999999999</v>
      </c>
      <c r="I258">
        <v>1827.56</v>
      </c>
      <c r="J258">
        <v>-994.24699999999996</v>
      </c>
      <c r="K258">
        <v>1697.652</v>
      </c>
      <c r="L258">
        <v>256.54899999999998</v>
      </c>
      <c r="M258">
        <v>2708.3919999999998</v>
      </c>
      <c r="N258">
        <v>-1010.74</v>
      </c>
      <c r="O258">
        <v>-1169.8969999999999</v>
      </c>
      <c r="P258">
        <v>51.134999999999998</v>
      </c>
      <c r="Q258">
        <v>0</v>
      </c>
      <c r="R258">
        <v>42.463000000000001</v>
      </c>
      <c r="S258">
        <v>3132.48</v>
      </c>
      <c r="T258">
        <v>2708.3919999999998</v>
      </c>
      <c r="U258">
        <v>1760.1759999999999</v>
      </c>
      <c r="V258">
        <v>3372.77</v>
      </c>
      <c r="W258">
        <v>4494.0910000000003</v>
      </c>
      <c r="X258">
        <v>5196.1629999999996</v>
      </c>
      <c r="Y258">
        <v>-0.56485658252356596</v>
      </c>
      <c r="Z258">
        <v>3705.8</v>
      </c>
      <c r="AA258" t="s">
        <v>32</v>
      </c>
      <c r="AB258">
        <v>3</v>
      </c>
      <c r="AC258" t="s">
        <v>33</v>
      </c>
    </row>
    <row r="259" spans="1:29" x14ac:dyDescent="0.3">
      <c r="A259">
        <v>169</v>
      </c>
      <c r="B259" t="s">
        <v>247</v>
      </c>
      <c r="C259" t="s">
        <v>58</v>
      </c>
      <c r="D259" s="1">
        <v>41340</v>
      </c>
      <c r="E259">
        <v>0</v>
      </c>
      <c r="F259" t="s">
        <v>248</v>
      </c>
      <c r="G259">
        <v>-859.38699999999994</v>
      </c>
      <c r="H259">
        <v>-788.87</v>
      </c>
      <c r="I259">
        <v>571.64400000000001</v>
      </c>
      <c r="J259">
        <v>150.393</v>
      </c>
      <c r="K259">
        <v>1589.5319999999999</v>
      </c>
      <c r="L259">
        <v>525</v>
      </c>
      <c r="M259">
        <v>788.41099999999994</v>
      </c>
      <c r="N259">
        <v>801.12099999999998</v>
      </c>
      <c r="O259">
        <v>-793.92100000000005</v>
      </c>
      <c r="P259">
        <v>129.50899999999999</v>
      </c>
      <c r="Q259">
        <v>774.96100000000001</v>
      </c>
      <c r="R259">
        <v>5.0510000000000002</v>
      </c>
      <c r="S259">
        <v>1575.21</v>
      </c>
      <c r="T259">
        <v>1563.3720000000001</v>
      </c>
      <c r="U259">
        <v>1719.0409999999999</v>
      </c>
      <c r="V259">
        <v>2594.9290000000001</v>
      </c>
      <c r="W259">
        <v>2593.0219999999999</v>
      </c>
      <c r="X259">
        <v>2586.71</v>
      </c>
      <c r="Y259">
        <v>8.7486569546625106E-2</v>
      </c>
      <c r="Z259">
        <v>2373.4254999999998</v>
      </c>
      <c r="AA259" t="s">
        <v>32</v>
      </c>
      <c r="AB259">
        <v>3</v>
      </c>
      <c r="AC259" t="s">
        <v>33</v>
      </c>
    </row>
    <row r="260" spans="1:29" x14ac:dyDescent="0.3">
      <c r="A260">
        <v>173</v>
      </c>
      <c r="B260" t="s">
        <v>251</v>
      </c>
      <c r="C260" t="s">
        <v>58</v>
      </c>
      <c r="D260" s="1">
        <v>39483</v>
      </c>
      <c r="E260">
        <v>34</v>
      </c>
      <c r="F260" t="s">
        <v>252</v>
      </c>
      <c r="G260">
        <v>-1611.8789999999999</v>
      </c>
      <c r="H260">
        <v>-1470.865</v>
      </c>
      <c r="I260">
        <v>2866.1950000000002</v>
      </c>
      <c r="J260">
        <v>-1286.835</v>
      </c>
      <c r="K260">
        <v>1384.61</v>
      </c>
      <c r="L260">
        <v>310.03699999999998</v>
      </c>
      <c r="M260">
        <v>2307.8330000000001</v>
      </c>
      <c r="N260">
        <v>-923.22299999999996</v>
      </c>
      <c r="O260">
        <v>-1558.615</v>
      </c>
      <c r="P260">
        <v>257.58300000000003</v>
      </c>
      <c r="Q260">
        <v>433.84300000000002</v>
      </c>
      <c r="R260">
        <v>87.75</v>
      </c>
      <c r="S260">
        <v>2691.4070000000002</v>
      </c>
      <c r="T260">
        <v>2741.6759999999999</v>
      </c>
      <c r="U260">
        <v>1667.4259999999999</v>
      </c>
      <c r="V260">
        <v>3143.5520000000001</v>
      </c>
      <c r="W260">
        <v>3713.3440000000001</v>
      </c>
      <c r="X260">
        <v>2313.35</v>
      </c>
      <c r="Y260">
        <v>-0.77174939097747097</v>
      </c>
      <c r="Z260">
        <v>2709.4180000000001</v>
      </c>
      <c r="AA260" t="s">
        <v>32</v>
      </c>
      <c r="AB260">
        <v>3</v>
      </c>
      <c r="AC260" t="s">
        <v>33</v>
      </c>
    </row>
    <row r="261" spans="1:29" x14ac:dyDescent="0.3">
      <c r="A261">
        <v>178</v>
      </c>
      <c r="B261" t="s">
        <v>255</v>
      </c>
      <c r="C261" t="s">
        <v>101</v>
      </c>
      <c r="D261" s="1">
        <v>38993</v>
      </c>
      <c r="E261">
        <v>0</v>
      </c>
      <c r="F261" t="s">
        <v>256</v>
      </c>
      <c r="G261">
        <v>369.93900000000002</v>
      </c>
      <c r="H261">
        <v>370.27499999999998</v>
      </c>
      <c r="I261">
        <v>3468.7689999999998</v>
      </c>
      <c r="J261">
        <v>-1378.557</v>
      </c>
      <c r="K261">
        <v>1603.502</v>
      </c>
      <c r="L261">
        <v>1191.9870000000001</v>
      </c>
      <c r="M261">
        <v>2740.2469999999998</v>
      </c>
      <c r="N261">
        <v>-1136.7449999999999</v>
      </c>
      <c r="O261">
        <v>369.93900000000002</v>
      </c>
      <c r="P261">
        <v>3.2429999999999999</v>
      </c>
      <c r="Q261">
        <v>0</v>
      </c>
      <c r="R261">
        <v>0.33600000000000002</v>
      </c>
      <c r="S261">
        <v>10992.291999999999</v>
      </c>
      <c r="T261">
        <v>2740.2469999999998</v>
      </c>
      <c r="U261">
        <v>1606.7449999999999</v>
      </c>
      <c r="V261">
        <v>5444.4549999999999</v>
      </c>
      <c r="W261">
        <v>5424.75</v>
      </c>
      <c r="X261">
        <v>6304.2470000000003</v>
      </c>
      <c r="Y261">
        <v>-0.85798119801213002</v>
      </c>
      <c r="Z261">
        <v>4695.04925</v>
      </c>
      <c r="AA261" t="s">
        <v>32</v>
      </c>
      <c r="AB261">
        <v>3</v>
      </c>
      <c r="AC261" t="s">
        <v>33</v>
      </c>
    </row>
    <row r="262" spans="1:29" x14ac:dyDescent="0.3">
      <c r="A262">
        <v>181</v>
      </c>
      <c r="B262" t="s">
        <v>259</v>
      </c>
      <c r="C262" t="s">
        <v>58</v>
      </c>
      <c r="D262" s="1">
        <v>39533</v>
      </c>
      <c r="E262">
        <v>0</v>
      </c>
      <c r="F262" t="s">
        <v>260</v>
      </c>
      <c r="G262">
        <v>35.307000000000002</v>
      </c>
      <c r="H262">
        <v>47.15</v>
      </c>
      <c r="I262">
        <v>271.5</v>
      </c>
      <c r="J262">
        <v>55.280999999999999</v>
      </c>
      <c r="K262">
        <v>1572.03</v>
      </c>
      <c r="L262">
        <v>1560.9649999999999</v>
      </c>
      <c r="M262">
        <v>366.76799999999997</v>
      </c>
      <c r="N262">
        <v>1205.2619999999999</v>
      </c>
      <c r="O262">
        <v>35.307000000000002</v>
      </c>
      <c r="P262">
        <v>0</v>
      </c>
      <c r="Q262">
        <v>1150.037</v>
      </c>
      <c r="R262">
        <v>9.1010000000000009</v>
      </c>
      <c r="S262">
        <v>1777.087</v>
      </c>
      <c r="T262">
        <v>1516.8050000000001</v>
      </c>
      <c r="U262">
        <v>1572.086</v>
      </c>
      <c r="V262">
        <v>1797.06</v>
      </c>
      <c r="W262">
        <v>2393.6480000000001</v>
      </c>
      <c r="X262">
        <v>2662.2739999999999</v>
      </c>
      <c r="Y262">
        <v>3.5164106798228602E-2</v>
      </c>
      <c r="Z262">
        <v>2106.2669999999998</v>
      </c>
      <c r="AA262" t="s">
        <v>32</v>
      </c>
      <c r="AB262">
        <v>3</v>
      </c>
      <c r="AC262" t="s">
        <v>33</v>
      </c>
    </row>
    <row r="263" spans="1:29" x14ac:dyDescent="0.3">
      <c r="A263">
        <v>184</v>
      </c>
      <c r="B263" t="s">
        <v>261</v>
      </c>
      <c r="C263" t="s">
        <v>42</v>
      </c>
      <c r="D263" s="1">
        <v>34765</v>
      </c>
      <c r="E263">
        <v>7</v>
      </c>
      <c r="F263" t="s">
        <v>262</v>
      </c>
      <c r="G263">
        <v>-789.404</v>
      </c>
      <c r="H263">
        <v>19.664999999999999</v>
      </c>
      <c r="I263">
        <v>36.856999999999999</v>
      </c>
      <c r="J263">
        <v>-655.51099999999997</v>
      </c>
      <c r="K263">
        <v>1081.2429999999999</v>
      </c>
      <c r="L263">
        <v>0</v>
      </c>
      <c r="M263">
        <v>1924.124</v>
      </c>
      <c r="N263">
        <v>-842.88099999999997</v>
      </c>
      <c r="O263">
        <v>16.114000000000001</v>
      </c>
      <c r="P263">
        <v>456.76799999999997</v>
      </c>
      <c r="Q263">
        <v>255.42500000000001</v>
      </c>
      <c r="R263">
        <v>3.5760000000000001</v>
      </c>
      <c r="S263">
        <v>2299.3760000000002</v>
      </c>
      <c r="T263">
        <v>2179.549</v>
      </c>
      <c r="U263">
        <v>1552.587</v>
      </c>
      <c r="V263">
        <v>2532.2959999999998</v>
      </c>
      <c r="W263">
        <v>2814.337</v>
      </c>
      <c r="X263">
        <v>2160.9470000000001</v>
      </c>
      <c r="Y263">
        <v>-0.42220564773503799</v>
      </c>
      <c r="Z263">
        <v>2265.0417499999999</v>
      </c>
      <c r="AA263" t="s">
        <v>32</v>
      </c>
      <c r="AB263">
        <v>3</v>
      </c>
      <c r="AC263" t="s">
        <v>33</v>
      </c>
    </row>
    <row r="264" spans="1:29" x14ac:dyDescent="0.3">
      <c r="A264">
        <v>195</v>
      </c>
      <c r="B264" t="s">
        <v>273</v>
      </c>
      <c r="C264" t="s">
        <v>101</v>
      </c>
      <c r="D264" s="1">
        <v>41374</v>
      </c>
      <c r="E264">
        <v>24</v>
      </c>
      <c r="F264" t="s">
        <v>274</v>
      </c>
      <c r="G264">
        <v>-1589.454</v>
      </c>
      <c r="H264">
        <v>-1451.165</v>
      </c>
      <c r="I264">
        <v>2139.681</v>
      </c>
      <c r="J264">
        <v>-1535.3420000000001</v>
      </c>
      <c r="K264">
        <v>898.70600000000002</v>
      </c>
      <c r="L264">
        <v>242.03899999999999</v>
      </c>
      <c r="M264">
        <v>2539.9409999999998</v>
      </c>
      <c r="N264">
        <v>-1641.2349999999999</v>
      </c>
      <c r="O264">
        <v>-1516.3130000000001</v>
      </c>
      <c r="P264">
        <v>438.70299999999997</v>
      </c>
      <c r="Q264">
        <v>207.81100000000001</v>
      </c>
      <c r="R264">
        <v>64.605000000000004</v>
      </c>
      <c r="S264">
        <v>3217.663</v>
      </c>
      <c r="T264">
        <v>2747.752</v>
      </c>
      <c r="U264">
        <v>1340.5920000000001</v>
      </c>
      <c r="V264">
        <v>3498.703</v>
      </c>
      <c r="W264">
        <v>3160.1060000000002</v>
      </c>
      <c r="X264">
        <v>2851.35</v>
      </c>
      <c r="Y264">
        <v>-1.14527164118539</v>
      </c>
      <c r="Z264">
        <v>2712.6877500000001</v>
      </c>
      <c r="AA264" t="s">
        <v>32</v>
      </c>
      <c r="AB264">
        <v>3</v>
      </c>
      <c r="AC264" t="s">
        <v>33</v>
      </c>
    </row>
    <row r="265" spans="1:29" x14ac:dyDescent="0.3">
      <c r="A265">
        <v>227</v>
      </c>
      <c r="B265" t="s">
        <v>313</v>
      </c>
      <c r="C265" t="s">
        <v>42</v>
      </c>
      <c r="D265" s="1">
        <v>41886</v>
      </c>
      <c r="E265">
        <v>30</v>
      </c>
      <c r="F265" t="s">
        <v>314</v>
      </c>
      <c r="G265">
        <v>-3111.9879999999998</v>
      </c>
      <c r="H265">
        <v>-3009.8780000000002</v>
      </c>
      <c r="I265">
        <v>253.38900000000001</v>
      </c>
      <c r="J265">
        <v>-2831.98</v>
      </c>
      <c r="K265">
        <v>197.441</v>
      </c>
      <c r="L265">
        <v>124.983</v>
      </c>
      <c r="M265">
        <v>2820.723</v>
      </c>
      <c r="N265">
        <v>-2623.2820000000002</v>
      </c>
      <c r="O265">
        <v>-3042.1030000000001</v>
      </c>
      <c r="P265">
        <v>806.05399999999997</v>
      </c>
      <c r="Q265">
        <v>628.351</v>
      </c>
      <c r="R265">
        <v>32.225999999999999</v>
      </c>
      <c r="S265">
        <v>4240.2520000000004</v>
      </c>
      <c r="T265">
        <v>3449.0740000000001</v>
      </c>
      <c r="U265">
        <v>1012.829</v>
      </c>
      <c r="V265">
        <v>4938.5259999999998</v>
      </c>
      <c r="W265">
        <v>3897.8029999999999</v>
      </c>
      <c r="X265">
        <v>3208.172</v>
      </c>
      <c r="Y265">
        <v>-2.7961087212155298</v>
      </c>
      <c r="Z265">
        <v>3264.3325</v>
      </c>
      <c r="AA265" t="s">
        <v>32</v>
      </c>
      <c r="AB265">
        <v>3</v>
      </c>
      <c r="AC265" t="s">
        <v>33</v>
      </c>
    </row>
    <row r="266" spans="1:29" x14ac:dyDescent="0.3">
      <c r="A266">
        <v>238</v>
      </c>
      <c r="B266" t="s">
        <v>325</v>
      </c>
      <c r="C266" t="s">
        <v>45</v>
      </c>
      <c r="D266" s="1">
        <v>41339</v>
      </c>
      <c r="E266">
        <v>25</v>
      </c>
      <c r="F266" t="s">
        <v>326</v>
      </c>
      <c r="G266">
        <v>-2015.318</v>
      </c>
      <c r="H266">
        <v>-840.46199999999999</v>
      </c>
      <c r="I266">
        <v>224.071</v>
      </c>
      <c r="J266">
        <v>-1965.318</v>
      </c>
      <c r="K266">
        <v>770.61599999999999</v>
      </c>
      <c r="L266">
        <v>7.5</v>
      </c>
      <c r="M266">
        <v>2792.57</v>
      </c>
      <c r="N266">
        <v>-2021.954</v>
      </c>
      <c r="O266">
        <v>-853.84699999999998</v>
      </c>
      <c r="P266">
        <v>50.859000000000002</v>
      </c>
      <c r="Q266">
        <v>0</v>
      </c>
      <c r="R266">
        <v>13.385</v>
      </c>
      <c r="S266">
        <v>2304.5949999999998</v>
      </c>
      <c r="T266">
        <v>2792.57</v>
      </c>
      <c r="U266">
        <v>863.00400000000002</v>
      </c>
      <c r="V266">
        <v>1824.9970000000001</v>
      </c>
      <c r="W266">
        <v>4734.2860000000001</v>
      </c>
      <c r="X266">
        <v>4128.0429999999997</v>
      </c>
      <c r="Y266">
        <v>-2.2772988305963802</v>
      </c>
      <c r="Z266">
        <v>2887.5825</v>
      </c>
      <c r="AA266" t="s">
        <v>32</v>
      </c>
      <c r="AB266">
        <v>3</v>
      </c>
      <c r="AC266" t="s">
        <v>33</v>
      </c>
    </row>
    <row r="267" spans="1:29" x14ac:dyDescent="0.3">
      <c r="A267">
        <v>259</v>
      </c>
      <c r="B267" t="s">
        <v>345</v>
      </c>
      <c r="C267" t="s">
        <v>58</v>
      </c>
      <c r="D267" s="1">
        <v>38796</v>
      </c>
      <c r="E267">
        <v>17</v>
      </c>
      <c r="F267" t="s">
        <v>346</v>
      </c>
      <c r="G267">
        <v>-4132.6149999999998</v>
      </c>
      <c r="H267">
        <v>-3784.491</v>
      </c>
      <c r="I267">
        <v>1007.83</v>
      </c>
      <c r="J267">
        <v>-3907.8330000000001</v>
      </c>
      <c r="K267">
        <v>467.39699999999999</v>
      </c>
      <c r="L267">
        <v>0</v>
      </c>
      <c r="M267">
        <v>4059.51</v>
      </c>
      <c r="N267">
        <v>-3592.1129999999998</v>
      </c>
      <c r="O267">
        <v>-3896.3850000000002</v>
      </c>
      <c r="P267">
        <v>241.733</v>
      </c>
      <c r="Q267">
        <v>475.25700000000001</v>
      </c>
      <c r="R267">
        <v>111.89400000000001</v>
      </c>
      <c r="S267">
        <v>3475.7130000000002</v>
      </c>
      <c r="T267">
        <v>4534.7669999999998</v>
      </c>
      <c r="U267">
        <v>709.13</v>
      </c>
      <c r="V267">
        <v>3949.7249999999999</v>
      </c>
      <c r="W267">
        <v>4028.8530000000001</v>
      </c>
      <c r="X267">
        <v>3648.7809999999999</v>
      </c>
      <c r="Y267">
        <v>-5.5107427411053003</v>
      </c>
      <c r="Z267">
        <v>3084.1222499999999</v>
      </c>
      <c r="AA267" t="s">
        <v>32</v>
      </c>
      <c r="AB267">
        <v>3</v>
      </c>
      <c r="AC267" t="s">
        <v>33</v>
      </c>
    </row>
    <row r="268" spans="1:29" x14ac:dyDescent="0.3">
      <c r="A268">
        <v>133</v>
      </c>
      <c r="B268" t="s">
        <v>220</v>
      </c>
      <c r="C268" t="s">
        <v>58</v>
      </c>
      <c r="D268" s="1">
        <v>42580</v>
      </c>
      <c r="E268">
        <v>18</v>
      </c>
      <c r="F268" t="s">
        <v>221</v>
      </c>
      <c r="G268">
        <v>-1.1399999999999999</v>
      </c>
      <c r="H268">
        <v>86.228999999999999</v>
      </c>
      <c r="I268">
        <v>948.31200000000001</v>
      </c>
      <c r="J268">
        <v>9.3049999999999997</v>
      </c>
      <c r="K268">
        <v>2302.1759999999999</v>
      </c>
      <c r="L268">
        <v>1506.2429999999999</v>
      </c>
      <c r="M268">
        <v>2358.9690000000001</v>
      </c>
      <c r="N268">
        <v>-56.792999999999999</v>
      </c>
      <c r="O268">
        <v>81.575999999999993</v>
      </c>
      <c r="P268">
        <v>144.59</v>
      </c>
      <c r="Q268">
        <v>51.356000000000002</v>
      </c>
      <c r="R268">
        <v>0.32200000000000001</v>
      </c>
      <c r="S268">
        <v>1537.5540000000001</v>
      </c>
      <c r="T268">
        <v>2410.3249999999998</v>
      </c>
      <c r="U268">
        <v>2446.7669999999998</v>
      </c>
      <c r="V268">
        <v>1611.385</v>
      </c>
      <c r="W268">
        <v>1188.3699999999999</v>
      </c>
      <c r="X268">
        <v>865.34199999999998</v>
      </c>
      <c r="Y268">
        <v>3.8029775618193301E-3</v>
      </c>
      <c r="Z268">
        <v>1527.9659999999999</v>
      </c>
      <c r="AA268" t="s">
        <v>32</v>
      </c>
      <c r="AB268">
        <v>2</v>
      </c>
      <c r="AC268" t="s">
        <v>33</v>
      </c>
    </row>
    <row r="269" spans="1:29" x14ac:dyDescent="0.3">
      <c r="A269">
        <v>135</v>
      </c>
      <c r="B269" t="s">
        <v>222</v>
      </c>
      <c r="C269" t="s">
        <v>58</v>
      </c>
      <c r="D269" s="1">
        <v>33262</v>
      </c>
      <c r="E269">
        <v>32</v>
      </c>
      <c r="F269" t="s">
        <v>223</v>
      </c>
      <c r="G269">
        <v>696.197</v>
      </c>
      <c r="H269">
        <v>696.197</v>
      </c>
      <c r="I269">
        <v>2567.143</v>
      </c>
      <c r="J269">
        <v>1696.1969999999999</v>
      </c>
      <c r="K269">
        <v>2423.4009999999998</v>
      </c>
      <c r="L269">
        <v>0</v>
      </c>
      <c r="M269">
        <v>727.20399999999995</v>
      </c>
      <c r="N269">
        <v>1696.1969999999999</v>
      </c>
      <c r="O269">
        <v>696.197</v>
      </c>
      <c r="P269">
        <v>0</v>
      </c>
      <c r="Q269">
        <v>0</v>
      </c>
      <c r="R269">
        <v>0</v>
      </c>
      <c r="S269">
        <v>1251.5930000000001</v>
      </c>
      <c r="T269">
        <v>727.20399999999995</v>
      </c>
      <c r="U269">
        <v>2423.4009999999998</v>
      </c>
      <c r="V269">
        <v>1373.6179999999999</v>
      </c>
      <c r="W269">
        <v>1815.2639999999999</v>
      </c>
      <c r="X269">
        <v>620.51599999999996</v>
      </c>
      <c r="Y269">
        <v>0.69992419743987899</v>
      </c>
      <c r="Z269">
        <v>1558.19975</v>
      </c>
      <c r="AA269" t="s">
        <v>32</v>
      </c>
      <c r="AB269">
        <v>2</v>
      </c>
      <c r="AC269" t="s">
        <v>33</v>
      </c>
    </row>
    <row r="270" spans="1:29" x14ac:dyDescent="0.3">
      <c r="A270">
        <v>172</v>
      </c>
      <c r="B270" t="s">
        <v>249</v>
      </c>
      <c r="C270" t="s">
        <v>58</v>
      </c>
      <c r="D270" s="1">
        <v>28901</v>
      </c>
      <c r="E270">
        <v>0</v>
      </c>
      <c r="F270" t="s">
        <v>250</v>
      </c>
      <c r="G270">
        <v>21.585999999999999</v>
      </c>
      <c r="H270">
        <v>41.429000000000002</v>
      </c>
      <c r="I270">
        <v>18</v>
      </c>
      <c r="J270">
        <v>306.70400000000001</v>
      </c>
      <c r="K270">
        <v>1662.0540000000001</v>
      </c>
      <c r="L270">
        <v>1403</v>
      </c>
      <c r="M270">
        <v>1204.886</v>
      </c>
      <c r="N270">
        <v>457.16800000000001</v>
      </c>
      <c r="O270">
        <v>21.585999999999999</v>
      </c>
      <c r="P270">
        <v>0</v>
      </c>
      <c r="Q270">
        <v>138.00800000000001</v>
      </c>
      <c r="R270">
        <v>0.123</v>
      </c>
      <c r="S270">
        <v>1325.8009999999999</v>
      </c>
      <c r="T270">
        <v>1342.894</v>
      </c>
      <c r="U270">
        <v>1669.319</v>
      </c>
      <c r="V270">
        <v>1702.672</v>
      </c>
      <c r="W270">
        <v>2702.8910000000001</v>
      </c>
      <c r="X270">
        <v>2277.7939999999999</v>
      </c>
      <c r="Y270">
        <v>0.18373001205881001</v>
      </c>
      <c r="Z270">
        <v>2088.1689999999999</v>
      </c>
      <c r="AA270" t="s">
        <v>32</v>
      </c>
      <c r="AB270">
        <v>2</v>
      </c>
      <c r="AC270" t="s">
        <v>33</v>
      </c>
    </row>
    <row r="271" spans="1:29" x14ac:dyDescent="0.3">
      <c r="A271">
        <v>189</v>
      </c>
      <c r="B271" t="s">
        <v>269</v>
      </c>
      <c r="C271" t="s">
        <v>58</v>
      </c>
      <c r="D271" s="1">
        <v>32624</v>
      </c>
      <c r="E271">
        <v>0</v>
      </c>
      <c r="F271" t="s">
        <v>270</v>
      </c>
      <c r="G271">
        <v>0.98699999999999999</v>
      </c>
      <c r="H271">
        <v>2.3570000000000002</v>
      </c>
      <c r="I271">
        <v>23</v>
      </c>
      <c r="J271">
        <v>-37.546999999999997</v>
      </c>
      <c r="K271">
        <v>857.09400000000005</v>
      </c>
      <c r="L271">
        <v>0</v>
      </c>
      <c r="M271">
        <v>1382.5170000000001</v>
      </c>
      <c r="N271">
        <v>-525.423</v>
      </c>
      <c r="O271">
        <v>0.98699999999999999</v>
      </c>
      <c r="P271">
        <v>393.75</v>
      </c>
      <c r="Q271">
        <v>49.938000000000002</v>
      </c>
      <c r="R271">
        <v>0</v>
      </c>
      <c r="S271">
        <v>1413.7349999999999</v>
      </c>
      <c r="T271">
        <v>1432.4549999999999</v>
      </c>
      <c r="U271">
        <v>1394.9079999999999</v>
      </c>
      <c r="V271">
        <v>1375.2</v>
      </c>
      <c r="W271">
        <v>1249.5889999999999</v>
      </c>
      <c r="X271">
        <v>1153.154</v>
      </c>
      <c r="Y271">
        <v>-2.69171873700631E-2</v>
      </c>
      <c r="Z271">
        <v>1293.2127499999999</v>
      </c>
      <c r="AA271" t="s">
        <v>32</v>
      </c>
      <c r="AB271">
        <v>2</v>
      </c>
      <c r="AC271" t="s">
        <v>33</v>
      </c>
    </row>
    <row r="272" spans="1:29" x14ac:dyDescent="0.3">
      <c r="A272">
        <v>203</v>
      </c>
      <c r="B272" t="s">
        <v>279</v>
      </c>
      <c r="C272" t="s">
        <v>42</v>
      </c>
      <c r="D272" s="1">
        <v>40644</v>
      </c>
      <c r="E272">
        <v>17</v>
      </c>
      <c r="F272" t="s">
        <v>280</v>
      </c>
      <c r="G272">
        <v>11.965999999999999</v>
      </c>
      <c r="H272">
        <v>77.093999999999994</v>
      </c>
      <c r="I272">
        <v>2200.9780000000001</v>
      </c>
      <c r="J272">
        <v>189.114</v>
      </c>
      <c r="K272">
        <v>998.02700000000004</v>
      </c>
      <c r="L272">
        <v>40</v>
      </c>
      <c r="M272">
        <v>886.51599999999996</v>
      </c>
      <c r="N272">
        <v>111.511</v>
      </c>
      <c r="O272">
        <v>11.965999999999999</v>
      </c>
      <c r="P272">
        <v>245.92099999999999</v>
      </c>
      <c r="Q272">
        <v>148.429</v>
      </c>
      <c r="R272">
        <v>28.408000000000001</v>
      </c>
      <c r="S272">
        <v>1283.615</v>
      </c>
      <c r="T272">
        <v>1034.9449999999999</v>
      </c>
      <c r="U272">
        <v>1249.1679999999999</v>
      </c>
      <c r="V272">
        <v>1465.2840000000001</v>
      </c>
      <c r="W272">
        <v>1390.252</v>
      </c>
      <c r="X272">
        <v>789.10599999999999</v>
      </c>
      <c r="Y272">
        <v>0.15139196649289799</v>
      </c>
      <c r="Z272">
        <v>1223.4525000000001</v>
      </c>
      <c r="AA272" t="s">
        <v>32</v>
      </c>
      <c r="AB272">
        <v>2</v>
      </c>
      <c r="AC272" t="s">
        <v>33</v>
      </c>
    </row>
    <row r="273" spans="1:29" x14ac:dyDescent="0.3">
      <c r="A273">
        <v>207</v>
      </c>
      <c r="B273" t="s">
        <v>285</v>
      </c>
      <c r="C273" t="s">
        <v>101</v>
      </c>
      <c r="D273" s="1">
        <v>40576</v>
      </c>
      <c r="E273">
        <v>5</v>
      </c>
      <c r="F273" t="s">
        <v>286</v>
      </c>
      <c r="G273">
        <v>-264.70499999999998</v>
      </c>
      <c r="H273">
        <v>-334.238</v>
      </c>
      <c r="I273">
        <v>1269.0440000000001</v>
      </c>
      <c r="J273">
        <v>-121.08</v>
      </c>
      <c r="K273">
        <v>1130.5</v>
      </c>
      <c r="L273">
        <v>548.5</v>
      </c>
      <c r="M273">
        <v>1025.73</v>
      </c>
      <c r="N273">
        <v>104.77</v>
      </c>
      <c r="O273">
        <v>-261.34399999999999</v>
      </c>
      <c r="P273">
        <v>33.548999999999999</v>
      </c>
      <c r="Q273">
        <v>202.48400000000001</v>
      </c>
      <c r="R273">
        <v>7.6289999999999996</v>
      </c>
      <c r="S273">
        <v>897.68399999999997</v>
      </c>
      <c r="T273">
        <v>1228.2139999999999</v>
      </c>
      <c r="U273">
        <v>1167.405</v>
      </c>
      <c r="V273">
        <v>1091.4760000000001</v>
      </c>
      <c r="W273">
        <v>859.99199999999996</v>
      </c>
      <c r="X273">
        <v>1729.383</v>
      </c>
      <c r="Y273">
        <v>-0.103717218960001</v>
      </c>
      <c r="Z273">
        <v>1212.0640000000001</v>
      </c>
      <c r="AA273" t="s">
        <v>32</v>
      </c>
      <c r="AB273">
        <v>2</v>
      </c>
      <c r="AC273" t="s">
        <v>33</v>
      </c>
    </row>
    <row r="274" spans="1:29" x14ac:dyDescent="0.3">
      <c r="A274">
        <v>212</v>
      </c>
      <c r="B274" t="s">
        <v>291</v>
      </c>
      <c r="C274" t="s">
        <v>101</v>
      </c>
      <c r="D274" s="1">
        <v>42159</v>
      </c>
      <c r="E274">
        <v>2</v>
      </c>
      <c r="F274" t="s">
        <v>292</v>
      </c>
      <c r="G274">
        <v>-95.537000000000006</v>
      </c>
      <c r="H274">
        <v>-82.382000000000005</v>
      </c>
      <c r="I274">
        <v>442.05200000000002</v>
      </c>
      <c r="J274">
        <v>-81.623999999999995</v>
      </c>
      <c r="K274">
        <v>1135.4179999999999</v>
      </c>
      <c r="L274">
        <v>945.53200000000004</v>
      </c>
      <c r="M274">
        <v>1137.9559999999999</v>
      </c>
      <c r="N274">
        <v>-2.5379999999999998</v>
      </c>
      <c r="O274">
        <v>-84.634</v>
      </c>
      <c r="P274">
        <v>5.806</v>
      </c>
      <c r="Q274">
        <v>54.898000000000003</v>
      </c>
      <c r="R274">
        <v>2.1339999999999999</v>
      </c>
      <c r="S274">
        <v>1030.328</v>
      </c>
      <c r="T274">
        <v>1192.854</v>
      </c>
      <c r="U274">
        <v>1142.096</v>
      </c>
      <c r="V274">
        <v>1067.05</v>
      </c>
      <c r="W274">
        <v>997.59500000000003</v>
      </c>
      <c r="X274">
        <v>431.91</v>
      </c>
      <c r="Y274">
        <v>-7.1468598086325497E-2</v>
      </c>
      <c r="Z274">
        <v>909.66274999999996</v>
      </c>
      <c r="AA274" t="s">
        <v>32</v>
      </c>
      <c r="AB274">
        <v>2</v>
      </c>
      <c r="AC274" t="s">
        <v>33</v>
      </c>
    </row>
    <row r="275" spans="1:29" x14ac:dyDescent="0.3">
      <c r="A275">
        <v>213</v>
      </c>
      <c r="B275" t="s">
        <v>293</v>
      </c>
      <c r="C275" t="s">
        <v>101</v>
      </c>
      <c r="D275" s="1">
        <v>29781</v>
      </c>
      <c r="E275">
        <v>6</v>
      </c>
      <c r="F275" t="s">
        <v>294</v>
      </c>
      <c r="G275">
        <v>-1213.864</v>
      </c>
      <c r="H275">
        <v>-1021.662</v>
      </c>
      <c r="I275">
        <v>289.67899999999997</v>
      </c>
      <c r="J275">
        <v>-1151.8340000000001</v>
      </c>
      <c r="K275">
        <v>1126.375</v>
      </c>
      <c r="L275">
        <v>0</v>
      </c>
      <c r="M275">
        <v>1330.7950000000001</v>
      </c>
      <c r="N275">
        <v>-204.42</v>
      </c>
      <c r="O275">
        <v>-1210.2809999999999</v>
      </c>
      <c r="P275">
        <v>11.202</v>
      </c>
      <c r="Q275">
        <v>610.24800000000005</v>
      </c>
      <c r="R275">
        <v>5.45</v>
      </c>
      <c r="S275">
        <v>1607.8009999999999</v>
      </c>
      <c r="T275">
        <v>1941.0429999999999</v>
      </c>
      <c r="U275">
        <v>1137.577</v>
      </c>
      <c r="V275">
        <v>1856.8869999999999</v>
      </c>
      <c r="W275">
        <v>1981.7529999999999</v>
      </c>
      <c r="X275">
        <v>1988.03</v>
      </c>
      <c r="Y275">
        <v>-1.0125327780009601</v>
      </c>
      <c r="Z275">
        <v>1741.0617500000001</v>
      </c>
      <c r="AA275" t="s">
        <v>32</v>
      </c>
      <c r="AB275">
        <v>2</v>
      </c>
      <c r="AC275" t="s">
        <v>33</v>
      </c>
    </row>
    <row r="276" spans="1:29" x14ac:dyDescent="0.3">
      <c r="A276">
        <v>218</v>
      </c>
      <c r="B276" t="s">
        <v>301</v>
      </c>
      <c r="C276" t="s">
        <v>101</v>
      </c>
      <c r="D276" s="1">
        <v>38331</v>
      </c>
      <c r="E276">
        <v>0</v>
      </c>
      <c r="F276" t="s">
        <v>302</v>
      </c>
      <c r="G276">
        <v>-26.367000000000001</v>
      </c>
      <c r="H276">
        <v>-26.186</v>
      </c>
      <c r="I276">
        <v>73.471999999999994</v>
      </c>
      <c r="J276">
        <v>13.73</v>
      </c>
      <c r="K276">
        <v>1031.348</v>
      </c>
      <c r="L276">
        <v>1000</v>
      </c>
      <c r="M276">
        <v>523.274</v>
      </c>
      <c r="N276">
        <v>508.07400000000001</v>
      </c>
      <c r="O276">
        <v>-26.367000000000001</v>
      </c>
      <c r="P276">
        <v>50</v>
      </c>
      <c r="Q276">
        <v>544.34400000000005</v>
      </c>
      <c r="R276">
        <v>0.18099999999999999</v>
      </c>
      <c r="S276">
        <v>2041.405</v>
      </c>
      <c r="T276">
        <v>1067.6179999999999</v>
      </c>
      <c r="U276">
        <v>1081.348</v>
      </c>
      <c r="V276">
        <v>2081.5</v>
      </c>
      <c r="W276">
        <v>1488.278</v>
      </c>
      <c r="X276">
        <v>1500.5840000000001</v>
      </c>
      <c r="Y276">
        <v>1.2697115082286201E-2</v>
      </c>
      <c r="Z276">
        <v>1537.9275</v>
      </c>
      <c r="AA276" t="s">
        <v>32</v>
      </c>
      <c r="AB276">
        <v>2</v>
      </c>
      <c r="AC276" t="s">
        <v>33</v>
      </c>
    </row>
    <row r="277" spans="1:29" x14ac:dyDescent="0.3">
      <c r="A277">
        <v>219</v>
      </c>
      <c r="B277" t="s">
        <v>303</v>
      </c>
      <c r="C277" t="s">
        <v>101</v>
      </c>
      <c r="D277" s="1">
        <v>39065</v>
      </c>
      <c r="E277">
        <v>4</v>
      </c>
      <c r="F277" t="s">
        <v>304</v>
      </c>
      <c r="G277">
        <v>5.8179999999999996</v>
      </c>
      <c r="H277">
        <v>36.149000000000001</v>
      </c>
      <c r="I277">
        <v>55.984999999999999</v>
      </c>
      <c r="J277">
        <v>366.529</v>
      </c>
      <c r="K277">
        <v>1048.895</v>
      </c>
      <c r="L277">
        <v>456.762</v>
      </c>
      <c r="M277">
        <v>673.61300000000006</v>
      </c>
      <c r="N277">
        <v>375.28199999999998</v>
      </c>
      <c r="O277">
        <v>30.61</v>
      </c>
      <c r="P277">
        <v>26.771999999999998</v>
      </c>
      <c r="Q277">
        <v>30.085999999999999</v>
      </c>
      <c r="R277">
        <v>1.347</v>
      </c>
      <c r="S277">
        <v>2019.509</v>
      </c>
      <c r="T277">
        <v>703.69899999999996</v>
      </c>
      <c r="U277">
        <v>1077.8989999999999</v>
      </c>
      <c r="V277">
        <v>2390.8290000000002</v>
      </c>
      <c r="W277">
        <v>2691.2849999999999</v>
      </c>
      <c r="X277">
        <v>1661.8620000000001</v>
      </c>
      <c r="Y277">
        <v>0.34004020784878702</v>
      </c>
      <c r="Z277">
        <v>1955.46875</v>
      </c>
      <c r="AA277" t="s">
        <v>32</v>
      </c>
      <c r="AB277">
        <v>2</v>
      </c>
      <c r="AC277" t="s">
        <v>33</v>
      </c>
    </row>
    <row r="278" spans="1:29" x14ac:dyDescent="0.3">
      <c r="A278">
        <v>222</v>
      </c>
      <c r="B278" t="s">
        <v>307</v>
      </c>
      <c r="C278" t="s">
        <v>58</v>
      </c>
      <c r="D278" s="1">
        <v>41842</v>
      </c>
      <c r="E278">
        <v>3</v>
      </c>
      <c r="F278" t="s">
        <v>308</v>
      </c>
      <c r="G278">
        <v>-172.10300000000001</v>
      </c>
      <c r="H278">
        <v>-137.03100000000001</v>
      </c>
      <c r="I278">
        <v>136.804</v>
      </c>
      <c r="J278">
        <v>-132.797</v>
      </c>
      <c r="K278">
        <v>817.221</v>
      </c>
      <c r="L278">
        <v>14.852</v>
      </c>
      <c r="M278">
        <v>820.51900000000001</v>
      </c>
      <c r="N278">
        <v>-3.298</v>
      </c>
      <c r="O278">
        <v>-140.59299999999999</v>
      </c>
      <c r="P278">
        <v>138.19399999999999</v>
      </c>
      <c r="Q278">
        <v>210.71899999999999</v>
      </c>
      <c r="R278">
        <v>3.5619999999999998</v>
      </c>
      <c r="S278">
        <v>964.79300000000001</v>
      </c>
      <c r="T278">
        <v>1031.2380000000001</v>
      </c>
      <c r="U278">
        <v>1039.7339999999999</v>
      </c>
      <c r="V278">
        <v>1141.8389999999999</v>
      </c>
      <c r="W278">
        <v>1492.0229999999999</v>
      </c>
      <c r="X278">
        <v>1121.614</v>
      </c>
      <c r="Y278">
        <v>-0.12772209045775201</v>
      </c>
      <c r="Z278">
        <v>1198.8025</v>
      </c>
      <c r="AA278" t="s">
        <v>32</v>
      </c>
      <c r="AB278">
        <v>2</v>
      </c>
      <c r="AC278" t="s">
        <v>33</v>
      </c>
    </row>
    <row r="279" spans="1:29" x14ac:dyDescent="0.3">
      <c r="A279">
        <v>225</v>
      </c>
      <c r="B279" t="s">
        <v>309</v>
      </c>
      <c r="C279" t="s">
        <v>58</v>
      </c>
      <c r="D279" s="1">
        <v>37183</v>
      </c>
      <c r="E279">
        <v>0</v>
      </c>
      <c r="F279" t="s">
        <v>310</v>
      </c>
      <c r="G279">
        <v>-203.024</v>
      </c>
      <c r="H279">
        <v>-202.87299999999999</v>
      </c>
      <c r="I279">
        <v>2.5</v>
      </c>
      <c r="J279">
        <v>157.62</v>
      </c>
      <c r="K279">
        <v>260.48</v>
      </c>
      <c r="L279">
        <v>253.99100000000001</v>
      </c>
      <c r="M279">
        <v>82.1</v>
      </c>
      <c r="N279">
        <v>178.38</v>
      </c>
      <c r="O279">
        <v>-203.024</v>
      </c>
      <c r="P279">
        <v>761.5</v>
      </c>
      <c r="Q279">
        <v>782.26</v>
      </c>
      <c r="R279">
        <v>0.151</v>
      </c>
      <c r="S279">
        <v>1571.789</v>
      </c>
      <c r="T279">
        <v>864.36</v>
      </c>
      <c r="U279">
        <v>1021.98</v>
      </c>
      <c r="V279">
        <v>1932.433</v>
      </c>
      <c r="W279">
        <v>1916.145</v>
      </c>
      <c r="X279">
        <v>2023.4459999999999</v>
      </c>
      <c r="Y279">
        <v>0.15423002407092101</v>
      </c>
      <c r="Z279">
        <v>1723.501</v>
      </c>
      <c r="AA279" t="s">
        <v>32</v>
      </c>
      <c r="AB279">
        <v>2</v>
      </c>
      <c r="AC279" t="s">
        <v>33</v>
      </c>
    </row>
    <row r="280" spans="1:29" x14ac:dyDescent="0.3">
      <c r="A280">
        <v>229</v>
      </c>
      <c r="B280" t="s">
        <v>317</v>
      </c>
      <c r="C280" t="s">
        <v>45</v>
      </c>
      <c r="D280" s="1">
        <v>27667</v>
      </c>
      <c r="E280">
        <v>1</v>
      </c>
      <c r="F280" t="s">
        <v>318</v>
      </c>
      <c r="G280">
        <v>-65.072000000000003</v>
      </c>
      <c r="H280">
        <v>-45.637</v>
      </c>
      <c r="I280">
        <v>315.95299999999997</v>
      </c>
      <c r="J280">
        <v>-183.87700000000001</v>
      </c>
      <c r="K280">
        <v>771.79600000000005</v>
      </c>
      <c r="L280">
        <v>32.158999999999999</v>
      </c>
      <c r="M280">
        <v>976.55600000000004</v>
      </c>
      <c r="N280">
        <v>-204.76</v>
      </c>
      <c r="O280">
        <v>-48.603000000000002</v>
      </c>
      <c r="P280">
        <v>216.88900000000001</v>
      </c>
      <c r="Q280">
        <v>196.702</v>
      </c>
      <c r="R280">
        <v>2.9660000000000002</v>
      </c>
      <c r="S280">
        <v>1142.6310000000001</v>
      </c>
      <c r="T280">
        <v>1173.258</v>
      </c>
      <c r="U280">
        <v>989.43200000000002</v>
      </c>
      <c r="V280">
        <v>1139.296</v>
      </c>
      <c r="W280">
        <v>1795.5350000000001</v>
      </c>
      <c r="X280">
        <v>1986.452</v>
      </c>
      <c r="Y280">
        <v>-0.18584096734288</v>
      </c>
      <c r="Z280">
        <v>1477.67875</v>
      </c>
      <c r="AA280" t="s">
        <v>32</v>
      </c>
      <c r="AB280">
        <v>2</v>
      </c>
      <c r="AC280" t="s">
        <v>33</v>
      </c>
    </row>
    <row r="281" spans="1:29" x14ac:dyDescent="0.3">
      <c r="A281">
        <v>231</v>
      </c>
      <c r="B281" t="s">
        <v>319</v>
      </c>
      <c r="C281" t="s">
        <v>58</v>
      </c>
      <c r="D281" s="1">
        <v>38560</v>
      </c>
      <c r="E281">
        <v>0</v>
      </c>
      <c r="F281" t="s">
        <v>320</v>
      </c>
      <c r="G281">
        <v>18.827000000000002</v>
      </c>
      <c r="H281">
        <v>31.742999999999999</v>
      </c>
      <c r="I281">
        <v>61.19</v>
      </c>
      <c r="J281">
        <v>133.875</v>
      </c>
      <c r="K281">
        <v>910.63199999999995</v>
      </c>
      <c r="L281">
        <v>275.39400000000001</v>
      </c>
      <c r="M281">
        <v>295.01100000000002</v>
      </c>
      <c r="N281">
        <v>615.62099999999998</v>
      </c>
      <c r="O281">
        <v>29.609000000000002</v>
      </c>
      <c r="P281">
        <v>27.827000000000002</v>
      </c>
      <c r="Q281">
        <v>487.767</v>
      </c>
      <c r="R281">
        <v>0</v>
      </c>
      <c r="S281">
        <v>785.98500000000001</v>
      </c>
      <c r="T281">
        <v>782.77800000000002</v>
      </c>
      <c r="U281">
        <v>938.45899999999995</v>
      </c>
      <c r="V281">
        <v>921.36500000000001</v>
      </c>
      <c r="W281">
        <v>954.23400000000004</v>
      </c>
      <c r="X281">
        <v>1139.1210000000001</v>
      </c>
      <c r="Y281">
        <v>0.14265407439216801</v>
      </c>
      <c r="Z281">
        <v>988.29475000000002</v>
      </c>
      <c r="AA281" t="s">
        <v>32</v>
      </c>
      <c r="AB281">
        <v>2</v>
      </c>
      <c r="AC281" t="s">
        <v>33</v>
      </c>
    </row>
    <row r="282" spans="1:29" x14ac:dyDescent="0.3">
      <c r="A282">
        <v>234</v>
      </c>
      <c r="B282" t="s">
        <v>323</v>
      </c>
      <c r="C282" t="s">
        <v>58</v>
      </c>
      <c r="D282" s="1">
        <v>38638</v>
      </c>
      <c r="E282">
        <v>4</v>
      </c>
      <c r="F282" t="s">
        <v>324</v>
      </c>
      <c r="G282">
        <v>4.6379999999999999</v>
      </c>
      <c r="H282">
        <v>16.315999999999999</v>
      </c>
      <c r="I282">
        <v>500.84199999999998</v>
      </c>
      <c r="J282">
        <v>46.179000000000002</v>
      </c>
      <c r="K282">
        <v>646.86699999999996</v>
      </c>
      <c r="L282">
        <v>64.213999999999999</v>
      </c>
      <c r="M282">
        <v>780.67200000000003</v>
      </c>
      <c r="N282">
        <v>-133.80500000000001</v>
      </c>
      <c r="O282">
        <v>12.109</v>
      </c>
      <c r="P282">
        <v>249.95699999999999</v>
      </c>
      <c r="Q282">
        <v>2.9849999999999999</v>
      </c>
      <c r="R282">
        <v>0.52100000000000002</v>
      </c>
      <c r="S282">
        <v>735.92</v>
      </c>
      <c r="T282">
        <v>783.65700000000004</v>
      </c>
      <c r="U282">
        <v>896.82399999999996</v>
      </c>
      <c r="V282">
        <v>835.697</v>
      </c>
      <c r="W282">
        <v>811.28200000000004</v>
      </c>
      <c r="X282">
        <v>885.36099999999999</v>
      </c>
      <c r="Y282">
        <v>5.1491708518059301E-2</v>
      </c>
      <c r="Z282">
        <v>857.29100000000005</v>
      </c>
      <c r="AA282" t="s">
        <v>32</v>
      </c>
      <c r="AB282">
        <v>2</v>
      </c>
      <c r="AC282" t="s">
        <v>33</v>
      </c>
    </row>
    <row r="283" spans="1:29" x14ac:dyDescent="0.3">
      <c r="A283">
        <v>244</v>
      </c>
      <c r="B283" t="s">
        <v>331</v>
      </c>
      <c r="C283" t="s">
        <v>58</v>
      </c>
      <c r="D283" s="1">
        <v>36781</v>
      </c>
      <c r="E283">
        <v>0</v>
      </c>
      <c r="F283" t="s">
        <v>332</v>
      </c>
      <c r="G283">
        <v>-890.86900000000003</v>
      </c>
      <c r="H283">
        <v>-890.81299999999999</v>
      </c>
      <c r="I283">
        <v>134.91999999999999</v>
      </c>
      <c r="J283">
        <v>-1694.0419999999999</v>
      </c>
      <c r="K283">
        <v>825.202</v>
      </c>
      <c r="L283">
        <v>52</v>
      </c>
      <c r="M283">
        <v>2522.1089999999999</v>
      </c>
      <c r="N283">
        <v>-1696.9069999999999</v>
      </c>
      <c r="O283">
        <v>-890.86900000000003</v>
      </c>
      <c r="P283">
        <v>2.8650000000000002</v>
      </c>
      <c r="Q283">
        <v>0</v>
      </c>
      <c r="R283">
        <v>5.6000000000000001E-2</v>
      </c>
      <c r="S283">
        <v>2544.96</v>
      </c>
      <c r="T283">
        <v>2522.1089999999999</v>
      </c>
      <c r="U283">
        <v>828.06700000000001</v>
      </c>
      <c r="V283">
        <v>1741.787</v>
      </c>
      <c r="W283">
        <v>2620.884</v>
      </c>
      <c r="X283">
        <v>2436.7379999999998</v>
      </c>
      <c r="Y283">
        <v>-2.04577890436402</v>
      </c>
      <c r="Z283">
        <v>1906.8689999999999</v>
      </c>
      <c r="AA283" t="s">
        <v>32</v>
      </c>
      <c r="AB283">
        <v>2</v>
      </c>
      <c r="AC283" t="s">
        <v>33</v>
      </c>
    </row>
    <row r="284" spans="1:29" x14ac:dyDescent="0.3">
      <c r="A284">
        <v>272</v>
      </c>
      <c r="B284" t="s">
        <v>360</v>
      </c>
      <c r="C284" t="s">
        <v>35</v>
      </c>
      <c r="D284" s="1">
        <v>42209</v>
      </c>
      <c r="E284">
        <v>8</v>
      </c>
      <c r="F284" t="s">
        <v>361</v>
      </c>
      <c r="G284">
        <v>-391.40100000000001</v>
      </c>
      <c r="H284">
        <v>-300.36799999999999</v>
      </c>
      <c r="I284">
        <v>746.43200000000002</v>
      </c>
      <c r="J284">
        <v>-374.90699999999998</v>
      </c>
      <c r="K284">
        <v>581.327</v>
      </c>
      <c r="L284">
        <v>189.66800000000001</v>
      </c>
      <c r="M284">
        <v>901.66499999999996</v>
      </c>
      <c r="N284">
        <v>-320.33800000000002</v>
      </c>
      <c r="O284">
        <v>-338.54899999999998</v>
      </c>
      <c r="P284">
        <v>23.068999999999999</v>
      </c>
      <c r="Q284">
        <v>17.529</v>
      </c>
      <c r="R284">
        <v>38.180999999999997</v>
      </c>
      <c r="S284">
        <v>1099.9690000000001</v>
      </c>
      <c r="T284">
        <v>919.19399999999996</v>
      </c>
      <c r="U284">
        <v>611.89599999999996</v>
      </c>
      <c r="V284">
        <v>1202.2850000000001</v>
      </c>
      <c r="W284">
        <v>675.32500000000005</v>
      </c>
      <c r="X284">
        <v>623.86900000000003</v>
      </c>
      <c r="Y284">
        <v>-0.61269725574280598</v>
      </c>
      <c r="Z284">
        <v>778.34375</v>
      </c>
      <c r="AA284" t="s">
        <v>32</v>
      </c>
      <c r="AB284">
        <v>2</v>
      </c>
      <c r="AC284" t="s">
        <v>33</v>
      </c>
    </row>
    <row r="285" spans="1:29" x14ac:dyDescent="0.3">
      <c r="A285">
        <v>291</v>
      </c>
      <c r="B285" t="s">
        <v>374</v>
      </c>
      <c r="C285" t="s">
        <v>45</v>
      </c>
      <c r="D285" s="1">
        <v>37729</v>
      </c>
      <c r="E285">
        <v>4</v>
      </c>
      <c r="F285" t="s">
        <v>375</v>
      </c>
      <c r="G285">
        <v>-6.3979999999999997</v>
      </c>
      <c r="H285">
        <v>20.733000000000001</v>
      </c>
      <c r="I285">
        <v>388.142</v>
      </c>
      <c r="J285">
        <v>33.674999999999997</v>
      </c>
      <c r="K285">
        <v>303.98700000000002</v>
      </c>
      <c r="L285">
        <v>34.450000000000003</v>
      </c>
      <c r="M285">
        <v>355.46800000000002</v>
      </c>
      <c r="N285">
        <v>-51.481000000000002</v>
      </c>
      <c r="O285">
        <v>7.6909999999999998</v>
      </c>
      <c r="P285">
        <v>165.95699999999999</v>
      </c>
      <c r="Q285">
        <v>78.320999999999998</v>
      </c>
      <c r="R285">
        <v>12.804</v>
      </c>
      <c r="S285">
        <v>576.31799999999998</v>
      </c>
      <c r="T285">
        <v>433.78899999999999</v>
      </c>
      <c r="U285">
        <v>469.94400000000002</v>
      </c>
      <c r="V285">
        <v>627.14</v>
      </c>
      <c r="W285">
        <v>949.69600000000003</v>
      </c>
      <c r="X285">
        <v>1009.1950000000001</v>
      </c>
      <c r="Y285">
        <v>7.1657474082018294E-2</v>
      </c>
      <c r="Z285">
        <v>763.99374999999998</v>
      </c>
      <c r="AA285" t="s">
        <v>32</v>
      </c>
      <c r="AB285">
        <v>2</v>
      </c>
      <c r="AC285" t="s">
        <v>33</v>
      </c>
    </row>
    <row r="286" spans="1:29" x14ac:dyDescent="0.3">
      <c r="A286">
        <v>303</v>
      </c>
      <c r="B286" t="s">
        <v>390</v>
      </c>
      <c r="C286" t="s">
        <v>101</v>
      </c>
      <c r="D286" s="1">
        <v>41564</v>
      </c>
      <c r="E286">
        <v>6</v>
      </c>
      <c r="F286" t="s">
        <v>391</v>
      </c>
      <c r="G286">
        <v>-1168.048</v>
      </c>
      <c r="H286">
        <v>-1140.4690000000001</v>
      </c>
      <c r="I286">
        <v>874.52800000000002</v>
      </c>
      <c r="J286">
        <v>-1017.62</v>
      </c>
      <c r="K286">
        <v>391.68</v>
      </c>
      <c r="L286">
        <v>42.643000000000001</v>
      </c>
      <c r="M286">
        <v>1398.133</v>
      </c>
      <c r="N286">
        <v>-1006.453</v>
      </c>
      <c r="O286">
        <v>-1155.211</v>
      </c>
      <c r="P286">
        <v>27.759</v>
      </c>
      <c r="Q286">
        <v>29.253</v>
      </c>
      <c r="R286">
        <v>14.744999999999999</v>
      </c>
      <c r="S286">
        <v>1684.8789999999999</v>
      </c>
      <c r="T286">
        <v>1427.386</v>
      </c>
      <c r="U286">
        <v>420.25700000000001</v>
      </c>
      <c r="V286">
        <v>1839.83</v>
      </c>
      <c r="W286">
        <v>2323.5309999999999</v>
      </c>
      <c r="X286">
        <v>1535.44</v>
      </c>
      <c r="Y286">
        <v>-2.4214230815905502</v>
      </c>
      <c r="Z286">
        <v>1529.7645</v>
      </c>
      <c r="AA286" t="s">
        <v>32</v>
      </c>
      <c r="AB286">
        <v>2</v>
      </c>
      <c r="AC286" t="s">
        <v>33</v>
      </c>
    </row>
    <row r="287" spans="1:29" x14ac:dyDescent="0.3">
      <c r="A287">
        <v>309</v>
      </c>
      <c r="B287" t="s">
        <v>396</v>
      </c>
      <c r="C287" t="s">
        <v>58</v>
      </c>
      <c r="D287" s="1">
        <v>41271</v>
      </c>
      <c r="E287">
        <v>5</v>
      </c>
      <c r="F287" t="s">
        <v>397</v>
      </c>
      <c r="G287">
        <v>-1115.3910000000001</v>
      </c>
      <c r="H287">
        <v>-1059.17</v>
      </c>
      <c r="I287">
        <v>3196.6590000000001</v>
      </c>
      <c r="J287">
        <v>-1903.32</v>
      </c>
      <c r="K287">
        <v>307.51799999999997</v>
      </c>
      <c r="L287">
        <v>0</v>
      </c>
      <c r="M287">
        <v>2097.6350000000002</v>
      </c>
      <c r="N287">
        <v>-1790.117</v>
      </c>
      <c r="O287">
        <v>-1107.646</v>
      </c>
      <c r="P287">
        <v>83.382000000000005</v>
      </c>
      <c r="Q287">
        <v>0</v>
      </c>
      <c r="R287">
        <v>48.478000000000002</v>
      </c>
      <c r="S287">
        <v>3538.2</v>
      </c>
      <c r="T287">
        <v>2097.6350000000002</v>
      </c>
      <c r="U287">
        <v>396.625</v>
      </c>
      <c r="V287">
        <v>2928.643</v>
      </c>
      <c r="W287">
        <v>2916.1529999999998</v>
      </c>
      <c r="X287">
        <v>1236.396</v>
      </c>
      <c r="Y287">
        <v>-4.7987897888433704</v>
      </c>
      <c r="Z287">
        <v>1869.45425</v>
      </c>
      <c r="AA287" t="s">
        <v>32</v>
      </c>
      <c r="AB287">
        <v>2</v>
      </c>
      <c r="AC287" t="s">
        <v>33</v>
      </c>
    </row>
    <row r="288" spans="1:29" x14ac:dyDescent="0.3">
      <c r="A288">
        <v>333</v>
      </c>
      <c r="B288" t="s">
        <v>422</v>
      </c>
      <c r="C288" t="s">
        <v>58</v>
      </c>
      <c r="D288" s="1">
        <v>38378</v>
      </c>
      <c r="E288">
        <v>2</v>
      </c>
      <c r="F288" t="s">
        <v>423</v>
      </c>
      <c r="G288">
        <v>-341.33499999999998</v>
      </c>
      <c r="H288">
        <v>-176.34100000000001</v>
      </c>
      <c r="I288">
        <v>165.56899999999999</v>
      </c>
      <c r="J288">
        <v>-932.13400000000001</v>
      </c>
      <c r="K288">
        <v>271.04000000000002</v>
      </c>
      <c r="L288">
        <v>95.527000000000001</v>
      </c>
      <c r="M288">
        <v>1182.049</v>
      </c>
      <c r="N288">
        <v>-911.00900000000001</v>
      </c>
      <c r="O288">
        <v>-193.733</v>
      </c>
      <c r="P288">
        <v>18</v>
      </c>
      <c r="Q288">
        <v>0</v>
      </c>
      <c r="R288">
        <v>17.422999999999998</v>
      </c>
      <c r="S288">
        <v>1296.617</v>
      </c>
      <c r="T288">
        <v>1182.049</v>
      </c>
      <c r="U288">
        <v>289.04000000000002</v>
      </c>
      <c r="V288">
        <v>715.52</v>
      </c>
      <c r="W288">
        <v>1147.3430000000001</v>
      </c>
      <c r="X288">
        <v>1078.75</v>
      </c>
      <c r="Y288">
        <v>-3.22493080542485</v>
      </c>
      <c r="Z288">
        <v>807.66324999999995</v>
      </c>
      <c r="AA288" t="s">
        <v>32</v>
      </c>
      <c r="AB288">
        <v>2</v>
      </c>
      <c r="AC288" t="s">
        <v>33</v>
      </c>
    </row>
    <row r="289" spans="1:29" x14ac:dyDescent="0.3">
      <c r="A289">
        <v>215</v>
      </c>
      <c r="B289" t="s">
        <v>295</v>
      </c>
      <c r="C289" t="s">
        <v>58</v>
      </c>
      <c r="D289" s="1">
        <v>42439</v>
      </c>
      <c r="E289">
        <v>18</v>
      </c>
      <c r="F289" t="s">
        <v>296</v>
      </c>
      <c r="G289">
        <v>27.757000000000001</v>
      </c>
      <c r="H289">
        <v>100.91</v>
      </c>
      <c r="I289">
        <v>1973.0619999999999</v>
      </c>
      <c r="J289">
        <v>91.296999999999997</v>
      </c>
      <c r="K289">
        <v>699.91099999999994</v>
      </c>
      <c r="L289">
        <v>25.5</v>
      </c>
      <c r="M289">
        <v>925.51099999999997</v>
      </c>
      <c r="N289">
        <v>-225.6</v>
      </c>
      <c r="O289">
        <v>60.012999999999998</v>
      </c>
      <c r="P289">
        <v>431.44499999999999</v>
      </c>
      <c r="Q289">
        <v>72.870999999999995</v>
      </c>
      <c r="R289">
        <v>14.875999999999999</v>
      </c>
      <c r="S289">
        <v>777.77800000000002</v>
      </c>
      <c r="T289">
        <v>998.38199999999995</v>
      </c>
      <c r="U289">
        <v>1133.153</v>
      </c>
      <c r="V289">
        <v>848.92</v>
      </c>
      <c r="W289">
        <v>534.322</v>
      </c>
      <c r="X289">
        <v>143.036</v>
      </c>
      <c r="Y289">
        <v>8.0568996419724398E-2</v>
      </c>
      <c r="Z289">
        <v>664.85775000000001</v>
      </c>
      <c r="AA289" t="s">
        <v>32</v>
      </c>
      <c r="AB289">
        <v>1</v>
      </c>
      <c r="AC289" t="s">
        <v>33</v>
      </c>
    </row>
    <row r="290" spans="1:29" x14ac:dyDescent="0.3">
      <c r="A290">
        <v>251</v>
      </c>
      <c r="B290" t="s">
        <v>337</v>
      </c>
      <c r="C290" t="s">
        <v>101</v>
      </c>
      <c r="D290" s="1">
        <v>41677</v>
      </c>
      <c r="E290">
        <v>25</v>
      </c>
      <c r="F290" t="s">
        <v>338</v>
      </c>
      <c r="G290">
        <v>55.140999999999998</v>
      </c>
      <c r="H290">
        <v>97.23</v>
      </c>
      <c r="I290">
        <v>1422.35</v>
      </c>
      <c r="J290">
        <v>174.74199999999999</v>
      </c>
      <c r="K290">
        <v>731.14599999999996</v>
      </c>
      <c r="L290">
        <v>0</v>
      </c>
      <c r="M290">
        <v>557.05799999999999</v>
      </c>
      <c r="N290">
        <v>174.08799999999999</v>
      </c>
      <c r="O290">
        <v>63.04</v>
      </c>
      <c r="P290">
        <v>21.507000000000001</v>
      </c>
      <c r="Q290">
        <v>0</v>
      </c>
      <c r="R290">
        <v>0.309</v>
      </c>
      <c r="S290">
        <v>414.46</v>
      </c>
      <c r="T290">
        <v>557.05799999999999</v>
      </c>
      <c r="U290">
        <v>753.70899999999995</v>
      </c>
      <c r="V290">
        <v>546.21</v>
      </c>
      <c r="W290">
        <v>269.37200000000001</v>
      </c>
      <c r="X290">
        <v>411.61500000000001</v>
      </c>
      <c r="Y290">
        <v>0.23184279343884701</v>
      </c>
      <c r="Z290">
        <v>495.22649999999999</v>
      </c>
      <c r="AA290" t="s">
        <v>32</v>
      </c>
      <c r="AB290">
        <v>1</v>
      </c>
      <c r="AC290" t="s">
        <v>33</v>
      </c>
    </row>
    <row r="291" spans="1:29" x14ac:dyDescent="0.3">
      <c r="A291">
        <v>252</v>
      </c>
      <c r="B291" t="s">
        <v>339</v>
      </c>
      <c r="C291" t="s">
        <v>45</v>
      </c>
      <c r="D291" s="1">
        <v>40581</v>
      </c>
      <c r="E291">
        <v>11</v>
      </c>
      <c r="F291" t="s">
        <v>340</v>
      </c>
      <c r="G291">
        <v>248.89599999999999</v>
      </c>
      <c r="H291">
        <v>297.488</v>
      </c>
      <c r="I291">
        <v>695.74099999999999</v>
      </c>
      <c r="J291">
        <v>436.072</v>
      </c>
      <c r="K291">
        <v>729.72500000000002</v>
      </c>
      <c r="L291">
        <v>0</v>
      </c>
      <c r="M291">
        <v>303.16399999999999</v>
      </c>
      <c r="N291">
        <v>426.56099999999998</v>
      </c>
      <c r="O291">
        <v>250.29</v>
      </c>
      <c r="P291">
        <v>10.132999999999999</v>
      </c>
      <c r="Q291">
        <v>0</v>
      </c>
      <c r="R291">
        <v>0.02</v>
      </c>
      <c r="S291">
        <v>342.48</v>
      </c>
      <c r="T291">
        <v>303.16399999999999</v>
      </c>
      <c r="U291">
        <v>739.85799999999995</v>
      </c>
      <c r="V291">
        <v>543.42399999999998</v>
      </c>
      <c r="W291">
        <v>267.28399999999999</v>
      </c>
      <c r="X291">
        <v>105.419</v>
      </c>
      <c r="Y291">
        <v>0.58939958748841004</v>
      </c>
      <c r="Z291">
        <v>413.99624999999997</v>
      </c>
      <c r="AA291" t="s">
        <v>32</v>
      </c>
      <c r="AB291">
        <v>1</v>
      </c>
      <c r="AC291" t="s">
        <v>33</v>
      </c>
    </row>
    <row r="292" spans="1:29" x14ac:dyDescent="0.3">
      <c r="A292">
        <v>266</v>
      </c>
      <c r="B292" t="s">
        <v>351</v>
      </c>
      <c r="C292" t="s">
        <v>45</v>
      </c>
      <c r="D292" s="1">
        <v>42264</v>
      </c>
      <c r="E292">
        <v>12</v>
      </c>
      <c r="F292" t="s">
        <v>352</v>
      </c>
      <c r="G292">
        <v>-386.13299999999998</v>
      </c>
      <c r="H292">
        <v>-378.91899999999998</v>
      </c>
      <c r="I292">
        <v>832.94399999999996</v>
      </c>
      <c r="J292">
        <v>-323.69200000000001</v>
      </c>
      <c r="K292">
        <v>628.399</v>
      </c>
      <c r="L292">
        <v>0</v>
      </c>
      <c r="M292">
        <v>932.93200000000002</v>
      </c>
      <c r="N292">
        <v>-304.53300000000002</v>
      </c>
      <c r="O292">
        <v>-382.98700000000002</v>
      </c>
      <c r="P292">
        <v>10.680999999999999</v>
      </c>
      <c r="Q292">
        <v>0</v>
      </c>
      <c r="R292">
        <v>4.1520000000000001</v>
      </c>
      <c r="S292">
        <v>724.39400000000001</v>
      </c>
      <c r="T292">
        <v>932.93200000000002</v>
      </c>
      <c r="U292">
        <v>642.56799999999998</v>
      </c>
      <c r="V292">
        <v>780.83600000000001</v>
      </c>
      <c r="W292">
        <v>467.78199999999998</v>
      </c>
      <c r="X292">
        <v>329.25400000000002</v>
      </c>
      <c r="Y292">
        <v>-0.50374746330349496</v>
      </c>
      <c r="Z292">
        <v>555.11</v>
      </c>
      <c r="AA292" t="s">
        <v>32</v>
      </c>
      <c r="AB292">
        <v>1</v>
      </c>
      <c r="AC292" t="s">
        <v>33</v>
      </c>
    </row>
    <row r="293" spans="1:29" x14ac:dyDescent="0.3">
      <c r="A293">
        <v>268</v>
      </c>
      <c r="B293" t="s">
        <v>356</v>
      </c>
      <c r="C293" t="s">
        <v>58</v>
      </c>
      <c r="D293" s="1">
        <v>37650</v>
      </c>
      <c r="E293">
        <v>0</v>
      </c>
      <c r="F293" t="s">
        <v>357</v>
      </c>
      <c r="G293">
        <v>3.2290000000000001</v>
      </c>
      <c r="H293">
        <v>6.0979999999999999</v>
      </c>
      <c r="I293">
        <v>44.530999999999999</v>
      </c>
      <c r="J293">
        <v>12.509</v>
      </c>
      <c r="K293">
        <v>616.91800000000001</v>
      </c>
      <c r="L293">
        <v>439.875</v>
      </c>
      <c r="M293">
        <v>429.404</v>
      </c>
      <c r="N293">
        <v>187.51400000000001</v>
      </c>
      <c r="O293">
        <v>5.5529999999999999</v>
      </c>
      <c r="P293">
        <v>5.2370000000000001</v>
      </c>
      <c r="Q293">
        <v>188.215</v>
      </c>
      <c r="R293">
        <v>0.54500000000000004</v>
      </c>
      <c r="S293">
        <v>671.2</v>
      </c>
      <c r="T293">
        <v>617.61900000000003</v>
      </c>
      <c r="U293">
        <v>630.12800000000004</v>
      </c>
      <c r="V293">
        <v>680.59900000000005</v>
      </c>
      <c r="W293">
        <v>710.87599999999998</v>
      </c>
      <c r="X293">
        <v>712.34100000000001</v>
      </c>
      <c r="Y293">
        <v>1.9851522230404001E-2</v>
      </c>
      <c r="Z293">
        <v>683.48599999999999</v>
      </c>
      <c r="AA293" t="s">
        <v>32</v>
      </c>
      <c r="AB293">
        <v>1</v>
      </c>
      <c r="AC293" t="s">
        <v>33</v>
      </c>
    </row>
    <row r="294" spans="1:29" x14ac:dyDescent="0.3">
      <c r="A294">
        <v>274</v>
      </c>
      <c r="B294" t="s">
        <v>362</v>
      </c>
      <c r="C294" t="s">
        <v>58</v>
      </c>
      <c r="D294" s="1">
        <v>38255</v>
      </c>
      <c r="E294">
        <v>6</v>
      </c>
      <c r="F294" t="s">
        <v>363</v>
      </c>
      <c r="G294">
        <v>2.8639999999999999</v>
      </c>
      <c r="H294">
        <v>7.5460000000000003</v>
      </c>
      <c r="I294">
        <v>346.85599999999999</v>
      </c>
      <c r="J294">
        <v>13.255000000000001</v>
      </c>
      <c r="K294">
        <v>596.24400000000003</v>
      </c>
      <c r="L294">
        <v>180.8</v>
      </c>
      <c r="M294">
        <v>356.51</v>
      </c>
      <c r="N294">
        <v>239.73400000000001</v>
      </c>
      <c r="O294">
        <v>3.9119999999999999</v>
      </c>
      <c r="P294">
        <v>5.298</v>
      </c>
      <c r="Q294">
        <v>227.053</v>
      </c>
      <c r="R294">
        <v>1.952</v>
      </c>
      <c r="S294">
        <v>193.78299999999999</v>
      </c>
      <c r="T294">
        <v>583.56299999999999</v>
      </c>
      <c r="U294">
        <v>604.35699999999997</v>
      </c>
      <c r="V294">
        <v>202.554</v>
      </c>
      <c r="W294">
        <v>203.11600000000001</v>
      </c>
      <c r="X294">
        <v>203.15700000000001</v>
      </c>
      <c r="Y294">
        <v>2.1932400882259999E-2</v>
      </c>
      <c r="Z294">
        <v>303.29599999999999</v>
      </c>
      <c r="AA294" t="s">
        <v>32</v>
      </c>
      <c r="AB294">
        <v>1</v>
      </c>
      <c r="AC294" t="s">
        <v>33</v>
      </c>
    </row>
    <row r="295" spans="1:29" x14ac:dyDescent="0.3">
      <c r="A295">
        <v>282</v>
      </c>
      <c r="B295" t="s">
        <v>370</v>
      </c>
      <c r="C295" t="s">
        <v>42</v>
      </c>
      <c r="D295" s="1">
        <v>42899</v>
      </c>
      <c r="E295">
        <v>4</v>
      </c>
      <c r="F295" t="s">
        <v>371</v>
      </c>
      <c r="G295">
        <v>10.186</v>
      </c>
      <c r="H295">
        <v>12.496</v>
      </c>
      <c r="I295">
        <v>948.31600000000003</v>
      </c>
      <c r="J295">
        <v>37.201999999999998</v>
      </c>
      <c r="K295">
        <v>521.20100000000002</v>
      </c>
      <c r="L295">
        <v>0</v>
      </c>
      <c r="M295">
        <v>458.80099999999999</v>
      </c>
      <c r="N295">
        <v>62.4</v>
      </c>
      <c r="O295">
        <v>12.484999999999999</v>
      </c>
      <c r="P295">
        <v>7.6310000000000002</v>
      </c>
      <c r="Q295">
        <v>32.192999999999998</v>
      </c>
      <c r="R295">
        <v>1.0999999999999999E-2</v>
      </c>
      <c r="S295">
        <v>330.76900000000001</v>
      </c>
      <c r="T295">
        <v>490.99400000000003</v>
      </c>
      <c r="U295">
        <v>529.89400000000001</v>
      </c>
      <c r="V295">
        <v>377.71800000000002</v>
      </c>
      <c r="W295">
        <v>138.72800000000001</v>
      </c>
      <c r="X295">
        <v>139.19</v>
      </c>
      <c r="Y295">
        <v>7.0206494129014502E-2</v>
      </c>
      <c r="Z295">
        <v>296.38249999999999</v>
      </c>
      <c r="AA295" t="s">
        <v>32</v>
      </c>
      <c r="AB295">
        <v>1</v>
      </c>
      <c r="AC295" t="s">
        <v>33</v>
      </c>
    </row>
    <row r="296" spans="1:29" x14ac:dyDescent="0.3">
      <c r="A296">
        <v>301</v>
      </c>
      <c r="B296" t="s">
        <v>386</v>
      </c>
      <c r="C296" t="s">
        <v>58</v>
      </c>
      <c r="D296" s="1">
        <v>40249</v>
      </c>
      <c r="E296">
        <v>0</v>
      </c>
      <c r="F296" t="s">
        <v>387</v>
      </c>
      <c r="G296">
        <v>-190.03</v>
      </c>
      <c r="H296">
        <v>-135.43799999999999</v>
      </c>
      <c r="I296">
        <v>0.4</v>
      </c>
      <c r="J296">
        <v>-440.63600000000002</v>
      </c>
      <c r="K296">
        <v>436.166</v>
      </c>
      <c r="L296">
        <v>387.17099999999999</v>
      </c>
      <c r="M296">
        <v>709.13</v>
      </c>
      <c r="N296">
        <v>-272.964</v>
      </c>
      <c r="O296">
        <v>-190.03</v>
      </c>
      <c r="P296">
        <v>0</v>
      </c>
      <c r="Q296">
        <v>167.672</v>
      </c>
      <c r="R296">
        <v>4.5919999999999996</v>
      </c>
      <c r="S296">
        <v>778.63</v>
      </c>
      <c r="T296">
        <v>876.80200000000002</v>
      </c>
      <c r="U296">
        <v>436.166</v>
      </c>
      <c r="V296">
        <v>528.024</v>
      </c>
      <c r="W296">
        <v>684.68200000000002</v>
      </c>
      <c r="X296">
        <v>909.47400000000005</v>
      </c>
      <c r="Y296">
        <v>-1.0102483916673899</v>
      </c>
      <c r="Z296">
        <v>639.5865</v>
      </c>
      <c r="AA296" t="s">
        <v>32</v>
      </c>
      <c r="AB296">
        <v>1</v>
      </c>
      <c r="AC296" t="s">
        <v>33</v>
      </c>
    </row>
    <row r="297" spans="1:29" x14ac:dyDescent="0.3">
      <c r="A297">
        <v>302</v>
      </c>
      <c r="B297" t="s">
        <v>388</v>
      </c>
      <c r="C297" t="s">
        <v>58</v>
      </c>
      <c r="D297" s="1">
        <v>41241</v>
      </c>
      <c r="E297">
        <v>0</v>
      </c>
      <c r="F297" t="s">
        <v>389</v>
      </c>
      <c r="G297">
        <v>-261.61599999999999</v>
      </c>
      <c r="H297">
        <v>-247.71600000000001</v>
      </c>
      <c r="I297">
        <v>0.318</v>
      </c>
      <c r="J297">
        <v>-597.18100000000004</v>
      </c>
      <c r="K297">
        <v>401.47399999999999</v>
      </c>
      <c r="L297">
        <v>0</v>
      </c>
      <c r="M297">
        <v>995.05799999999999</v>
      </c>
      <c r="N297">
        <v>-593.58399999999995</v>
      </c>
      <c r="O297">
        <v>-249.50700000000001</v>
      </c>
      <c r="P297">
        <v>19.504000000000001</v>
      </c>
      <c r="Q297">
        <v>11.558999999999999</v>
      </c>
      <c r="R297">
        <v>1.7909999999999999</v>
      </c>
      <c r="S297">
        <v>988.63599999999997</v>
      </c>
      <c r="T297">
        <v>1006.617</v>
      </c>
      <c r="U297">
        <v>423.14299999999997</v>
      </c>
      <c r="V297">
        <v>666.77800000000002</v>
      </c>
      <c r="W297">
        <v>934.17200000000003</v>
      </c>
      <c r="X297">
        <v>760.43200000000002</v>
      </c>
      <c r="Y297">
        <v>-1.4112983081369701</v>
      </c>
      <c r="Z297">
        <v>696.13125000000002</v>
      </c>
      <c r="AA297" t="s">
        <v>32</v>
      </c>
      <c r="AB297">
        <v>1</v>
      </c>
      <c r="AC297" t="s">
        <v>33</v>
      </c>
    </row>
    <row r="298" spans="1:29" x14ac:dyDescent="0.3">
      <c r="A298">
        <v>304</v>
      </c>
      <c r="B298" t="s">
        <v>392</v>
      </c>
      <c r="C298" t="s">
        <v>143</v>
      </c>
      <c r="D298" s="1">
        <v>42101</v>
      </c>
      <c r="E298">
        <v>6</v>
      </c>
      <c r="F298" t="s">
        <v>393</v>
      </c>
      <c r="G298">
        <v>-0.52900000000000003</v>
      </c>
      <c r="H298">
        <v>8.5030000000000001</v>
      </c>
      <c r="I298">
        <v>636.95299999999997</v>
      </c>
      <c r="J298">
        <v>8.7989999999999995</v>
      </c>
      <c r="K298">
        <v>396.233</v>
      </c>
      <c r="L298">
        <v>0</v>
      </c>
      <c r="M298">
        <v>400.27100000000002</v>
      </c>
      <c r="N298">
        <v>-4.0380000000000003</v>
      </c>
      <c r="O298">
        <v>2.5840000000000001</v>
      </c>
      <c r="P298">
        <v>13.555999999999999</v>
      </c>
      <c r="Q298">
        <v>0</v>
      </c>
      <c r="R298">
        <v>1.4610000000000001</v>
      </c>
      <c r="S298">
        <v>177.876</v>
      </c>
      <c r="T298">
        <v>400.27100000000002</v>
      </c>
      <c r="U298">
        <v>409.78899999999999</v>
      </c>
      <c r="V298">
        <v>197.71199999999999</v>
      </c>
      <c r="W298">
        <v>60.895000000000003</v>
      </c>
      <c r="X298">
        <v>40.848999999999997</v>
      </c>
      <c r="Y298">
        <v>2.1472025847448301E-2</v>
      </c>
      <c r="Z298">
        <v>177.31125</v>
      </c>
      <c r="AA298" t="s">
        <v>32</v>
      </c>
      <c r="AB298">
        <v>1</v>
      </c>
      <c r="AC298" t="s">
        <v>33</v>
      </c>
    </row>
    <row r="299" spans="1:29" x14ac:dyDescent="0.3">
      <c r="A299">
        <v>311</v>
      </c>
      <c r="B299" t="s">
        <v>398</v>
      </c>
      <c r="C299" t="s">
        <v>42</v>
      </c>
      <c r="D299" s="1">
        <v>40623</v>
      </c>
      <c r="E299">
        <v>11</v>
      </c>
      <c r="F299" t="s">
        <v>399</v>
      </c>
      <c r="G299">
        <v>1.9750000000000001</v>
      </c>
      <c r="H299">
        <v>30.48</v>
      </c>
      <c r="I299">
        <v>732.18399999999997</v>
      </c>
      <c r="J299">
        <v>12.292999999999999</v>
      </c>
      <c r="K299">
        <v>338.96699999999998</v>
      </c>
      <c r="L299">
        <v>137.80799999999999</v>
      </c>
      <c r="M299">
        <v>239.94499999999999</v>
      </c>
      <c r="N299">
        <v>99.022000000000006</v>
      </c>
      <c r="O299">
        <v>14.093999999999999</v>
      </c>
      <c r="P299">
        <v>42.238</v>
      </c>
      <c r="Q299">
        <v>103.325</v>
      </c>
      <c r="R299">
        <v>5.1950000000000003</v>
      </c>
      <c r="S299">
        <v>231.65700000000001</v>
      </c>
      <c r="T299">
        <v>343.27</v>
      </c>
      <c r="U299">
        <v>387.40600000000001</v>
      </c>
      <c r="V299">
        <v>282.15699999999998</v>
      </c>
      <c r="W299">
        <v>275.07</v>
      </c>
      <c r="X299">
        <v>240.096</v>
      </c>
      <c r="Y299">
        <v>3.1731568432084203E-2</v>
      </c>
      <c r="Z299">
        <v>296.18225000000001</v>
      </c>
      <c r="AA299" t="s">
        <v>32</v>
      </c>
      <c r="AB299">
        <v>1</v>
      </c>
      <c r="AC299" t="s">
        <v>33</v>
      </c>
    </row>
    <row r="300" spans="1:29" x14ac:dyDescent="0.3">
      <c r="A300">
        <v>318</v>
      </c>
      <c r="B300" t="s">
        <v>404</v>
      </c>
      <c r="C300" t="s">
        <v>45</v>
      </c>
      <c r="D300" s="1">
        <v>39583</v>
      </c>
      <c r="E300">
        <v>5</v>
      </c>
      <c r="F300" t="s">
        <v>405</v>
      </c>
      <c r="G300">
        <v>-171.62899999999999</v>
      </c>
      <c r="H300">
        <v>-160.273</v>
      </c>
      <c r="I300">
        <v>352.87</v>
      </c>
      <c r="J300">
        <v>-136.31200000000001</v>
      </c>
      <c r="K300">
        <v>346.18200000000002</v>
      </c>
      <c r="L300">
        <v>19.190999999999999</v>
      </c>
      <c r="M300">
        <v>282.73700000000002</v>
      </c>
      <c r="N300">
        <v>63.445</v>
      </c>
      <c r="O300">
        <v>-170.19</v>
      </c>
      <c r="P300">
        <v>8.3360000000000003</v>
      </c>
      <c r="Q300">
        <v>46.033999999999999</v>
      </c>
      <c r="R300">
        <v>10.709</v>
      </c>
      <c r="S300">
        <v>315.05599999999998</v>
      </c>
      <c r="T300">
        <v>328.77100000000002</v>
      </c>
      <c r="U300">
        <v>355.995</v>
      </c>
      <c r="V300">
        <v>370.50299999999999</v>
      </c>
      <c r="W300">
        <v>279.75799999999998</v>
      </c>
      <c r="X300">
        <v>253.357</v>
      </c>
      <c r="Y300">
        <v>-0.38290425427323399</v>
      </c>
      <c r="Z300">
        <v>314.90325000000001</v>
      </c>
      <c r="AA300" t="s">
        <v>32</v>
      </c>
      <c r="AB300">
        <v>1</v>
      </c>
      <c r="AC300" t="s">
        <v>33</v>
      </c>
    </row>
    <row r="301" spans="1:29" x14ac:dyDescent="0.3">
      <c r="A301">
        <v>320</v>
      </c>
      <c r="B301" t="s">
        <v>406</v>
      </c>
      <c r="C301" t="s">
        <v>101</v>
      </c>
      <c r="D301" s="1">
        <v>38687</v>
      </c>
      <c r="E301">
        <v>0</v>
      </c>
      <c r="F301" t="s">
        <v>407</v>
      </c>
      <c r="G301">
        <v>-43.298000000000002</v>
      </c>
      <c r="H301">
        <v>-36.761000000000003</v>
      </c>
      <c r="I301">
        <v>295.83199999999999</v>
      </c>
      <c r="J301">
        <v>-313.57</v>
      </c>
      <c r="K301">
        <v>351.827</v>
      </c>
      <c r="L301">
        <v>0</v>
      </c>
      <c r="M301">
        <v>665.39700000000005</v>
      </c>
      <c r="N301">
        <v>-313.57</v>
      </c>
      <c r="O301">
        <v>-43.298000000000002</v>
      </c>
      <c r="P301">
        <v>0</v>
      </c>
      <c r="Q301">
        <v>0</v>
      </c>
      <c r="R301">
        <v>6.5369999999999999</v>
      </c>
      <c r="S301">
        <v>694.33500000000004</v>
      </c>
      <c r="T301">
        <v>665.39700000000005</v>
      </c>
      <c r="U301">
        <v>351.827</v>
      </c>
      <c r="V301">
        <v>426.42</v>
      </c>
      <c r="W301">
        <v>381.387</v>
      </c>
      <c r="X301">
        <v>564.48500000000001</v>
      </c>
      <c r="Y301">
        <v>-0.89126189860357496</v>
      </c>
      <c r="Z301">
        <v>431.02974999999998</v>
      </c>
      <c r="AA301" t="s">
        <v>32</v>
      </c>
      <c r="AB301">
        <v>1</v>
      </c>
      <c r="AC301" t="s">
        <v>33</v>
      </c>
    </row>
    <row r="302" spans="1:29" x14ac:dyDescent="0.3">
      <c r="A302">
        <v>327</v>
      </c>
      <c r="B302" t="s">
        <v>414</v>
      </c>
      <c r="C302" t="s">
        <v>101</v>
      </c>
      <c r="D302" s="1">
        <v>40631</v>
      </c>
      <c r="E302">
        <v>1</v>
      </c>
      <c r="F302" t="s">
        <v>415</v>
      </c>
      <c r="G302">
        <v>-0.24299999999999999</v>
      </c>
      <c r="H302">
        <v>11.946999999999999</v>
      </c>
      <c r="I302">
        <v>356.358</v>
      </c>
      <c r="J302">
        <v>34.716999999999999</v>
      </c>
      <c r="K302">
        <v>304.32100000000003</v>
      </c>
      <c r="L302">
        <v>0</v>
      </c>
      <c r="M302">
        <v>226.715</v>
      </c>
      <c r="N302">
        <v>77.605999999999995</v>
      </c>
      <c r="O302">
        <v>0.38900000000000001</v>
      </c>
      <c r="P302">
        <v>0.64500000000000002</v>
      </c>
      <c r="Q302">
        <v>0</v>
      </c>
      <c r="R302">
        <v>3.0369999999999999</v>
      </c>
      <c r="S302">
        <v>171.84899999999999</v>
      </c>
      <c r="T302">
        <v>226.715</v>
      </c>
      <c r="U302">
        <v>314.05200000000002</v>
      </c>
      <c r="V302">
        <v>249.05699999999999</v>
      </c>
      <c r="W302">
        <v>277.03100000000001</v>
      </c>
      <c r="X302">
        <v>244.65299999999999</v>
      </c>
      <c r="Y302">
        <v>0.110545387388076</v>
      </c>
      <c r="Z302">
        <v>271.19824999999997</v>
      </c>
      <c r="AA302" t="s">
        <v>32</v>
      </c>
      <c r="AB302">
        <v>1</v>
      </c>
      <c r="AC302" t="s">
        <v>33</v>
      </c>
    </row>
    <row r="303" spans="1:29" x14ac:dyDescent="0.3">
      <c r="A303">
        <v>350</v>
      </c>
      <c r="B303" t="s">
        <v>432</v>
      </c>
      <c r="C303" t="s">
        <v>101</v>
      </c>
      <c r="D303" s="1">
        <v>40165</v>
      </c>
      <c r="E303">
        <v>1</v>
      </c>
      <c r="F303" t="s">
        <v>433</v>
      </c>
      <c r="G303">
        <v>17.748999999999999</v>
      </c>
      <c r="H303">
        <v>25.253</v>
      </c>
      <c r="I303">
        <v>142.93199999999999</v>
      </c>
      <c r="J303">
        <v>-173.98099999999999</v>
      </c>
      <c r="K303">
        <v>191.84</v>
      </c>
      <c r="L303">
        <v>0</v>
      </c>
      <c r="M303">
        <v>289.584</v>
      </c>
      <c r="N303">
        <v>-97.744</v>
      </c>
      <c r="O303">
        <v>17.748999999999999</v>
      </c>
      <c r="P303">
        <v>20.350999999999999</v>
      </c>
      <c r="Q303">
        <v>112.08799999999999</v>
      </c>
      <c r="R303">
        <v>4.8550000000000004</v>
      </c>
      <c r="S303">
        <v>444.59300000000002</v>
      </c>
      <c r="T303">
        <v>401.67200000000003</v>
      </c>
      <c r="U303">
        <v>241.839</v>
      </c>
      <c r="V303">
        <v>264.44200000000001</v>
      </c>
      <c r="W303">
        <v>414.84100000000001</v>
      </c>
      <c r="X303">
        <v>394.536</v>
      </c>
      <c r="Y303">
        <v>-0.71940836672331598</v>
      </c>
      <c r="Z303">
        <v>328.91449999999998</v>
      </c>
      <c r="AA303" t="s">
        <v>32</v>
      </c>
      <c r="AB303">
        <v>1</v>
      </c>
      <c r="AC303" t="s">
        <v>33</v>
      </c>
    </row>
    <row r="304" spans="1:29" x14ac:dyDescent="0.3">
      <c r="A304">
        <v>364</v>
      </c>
      <c r="B304" t="s">
        <v>446</v>
      </c>
      <c r="C304" t="s">
        <v>58</v>
      </c>
      <c r="D304" s="1">
        <v>42030</v>
      </c>
      <c r="E304">
        <v>3</v>
      </c>
      <c r="F304" t="s">
        <v>447</v>
      </c>
      <c r="G304">
        <v>-126.627</v>
      </c>
      <c r="H304">
        <v>-96.201999999999998</v>
      </c>
      <c r="I304">
        <v>5.5750000000000002</v>
      </c>
      <c r="J304">
        <v>-541.92600000000004</v>
      </c>
      <c r="K304">
        <v>168.232</v>
      </c>
      <c r="L304">
        <v>0</v>
      </c>
      <c r="M304">
        <v>417.86</v>
      </c>
      <c r="N304">
        <v>-249.62799999999999</v>
      </c>
      <c r="O304">
        <v>-126.627</v>
      </c>
      <c r="P304">
        <v>19.683</v>
      </c>
      <c r="Q304">
        <v>311.98099999999999</v>
      </c>
      <c r="R304">
        <v>30.425000000000001</v>
      </c>
      <c r="S304">
        <v>865.86199999999997</v>
      </c>
      <c r="T304">
        <v>729.84100000000001</v>
      </c>
      <c r="U304">
        <v>187.91499999999999</v>
      </c>
      <c r="V304">
        <v>450.57499999999999</v>
      </c>
      <c r="W304">
        <v>720.13800000000003</v>
      </c>
      <c r="X304">
        <v>491.77600000000001</v>
      </c>
      <c r="Y304">
        <v>-2.8838889923635702</v>
      </c>
      <c r="Z304">
        <v>462.601</v>
      </c>
      <c r="AA304" t="s">
        <v>32</v>
      </c>
      <c r="AB304">
        <v>1</v>
      </c>
      <c r="AC304" t="s">
        <v>33</v>
      </c>
    </row>
    <row r="305" spans="1:29" x14ac:dyDescent="0.3">
      <c r="A305">
        <v>365</v>
      </c>
      <c r="B305" t="s">
        <v>448</v>
      </c>
      <c r="C305" t="s">
        <v>101</v>
      </c>
      <c r="D305" s="1">
        <v>38796</v>
      </c>
      <c r="E305">
        <v>0</v>
      </c>
      <c r="F305" t="s">
        <v>449</v>
      </c>
      <c r="G305">
        <v>-137.53700000000001</v>
      </c>
      <c r="H305">
        <v>-137.33199999999999</v>
      </c>
      <c r="I305">
        <v>0.01</v>
      </c>
      <c r="J305">
        <v>-561.12</v>
      </c>
      <c r="K305">
        <v>177.245</v>
      </c>
      <c r="L305">
        <v>0</v>
      </c>
      <c r="M305">
        <v>253.33500000000001</v>
      </c>
      <c r="N305">
        <v>-76.09</v>
      </c>
      <c r="O305">
        <v>-137.53700000000001</v>
      </c>
      <c r="P305">
        <v>6.867</v>
      </c>
      <c r="Q305">
        <v>491.887</v>
      </c>
      <c r="R305">
        <v>0.20499999999999999</v>
      </c>
      <c r="S305">
        <v>752.91300000000001</v>
      </c>
      <c r="T305">
        <v>745.22199999999998</v>
      </c>
      <c r="U305">
        <v>184.11199999999999</v>
      </c>
      <c r="V305">
        <v>329.33499999999998</v>
      </c>
      <c r="W305">
        <v>517.89400000000001</v>
      </c>
      <c r="X305">
        <v>839.81500000000005</v>
      </c>
      <c r="Y305">
        <v>-3.0477100895107299</v>
      </c>
      <c r="Z305">
        <v>467.78899999999999</v>
      </c>
      <c r="AA305" t="s">
        <v>32</v>
      </c>
      <c r="AB305">
        <v>1</v>
      </c>
      <c r="AC305" t="s">
        <v>33</v>
      </c>
    </row>
    <row r="306" spans="1:29" x14ac:dyDescent="0.3">
      <c r="A306">
        <v>366</v>
      </c>
      <c r="B306" t="s">
        <v>450</v>
      </c>
      <c r="C306" t="s">
        <v>45</v>
      </c>
      <c r="D306" s="1">
        <v>39434</v>
      </c>
      <c r="E306">
        <v>0</v>
      </c>
      <c r="F306" t="s">
        <v>451</v>
      </c>
      <c r="G306">
        <v>11.278</v>
      </c>
      <c r="H306">
        <v>18.577000000000002</v>
      </c>
      <c r="I306">
        <v>1.2250000000000001</v>
      </c>
      <c r="J306">
        <v>-16.611000000000001</v>
      </c>
      <c r="K306">
        <v>126.339</v>
      </c>
      <c r="L306">
        <v>0</v>
      </c>
      <c r="M306">
        <v>198.00399999999999</v>
      </c>
      <c r="N306">
        <v>-71.665000000000006</v>
      </c>
      <c r="O306">
        <v>12.619</v>
      </c>
      <c r="P306">
        <v>55.054000000000002</v>
      </c>
      <c r="Q306">
        <v>0</v>
      </c>
      <c r="R306">
        <v>0</v>
      </c>
      <c r="S306">
        <v>215.77</v>
      </c>
      <c r="T306">
        <v>198.00399999999999</v>
      </c>
      <c r="U306">
        <v>181.393</v>
      </c>
      <c r="V306">
        <v>187.87899999999999</v>
      </c>
      <c r="W306">
        <v>193.71</v>
      </c>
      <c r="X306">
        <v>207.24100000000001</v>
      </c>
      <c r="Y306">
        <v>-9.1574647312740801E-2</v>
      </c>
      <c r="Z306">
        <v>192.55574999999999</v>
      </c>
      <c r="AA306" t="s">
        <v>32</v>
      </c>
      <c r="AB306">
        <v>1</v>
      </c>
      <c r="AC306" t="s">
        <v>33</v>
      </c>
    </row>
    <row r="307" spans="1:29" x14ac:dyDescent="0.3">
      <c r="A307">
        <v>372</v>
      </c>
      <c r="B307" t="s">
        <v>454</v>
      </c>
      <c r="C307" t="s">
        <v>101</v>
      </c>
      <c r="D307" s="1">
        <v>41851</v>
      </c>
      <c r="E307">
        <v>1</v>
      </c>
      <c r="F307" t="s">
        <v>455</v>
      </c>
      <c r="G307">
        <v>-46.720999999999997</v>
      </c>
      <c r="H307">
        <v>-38.899000000000001</v>
      </c>
      <c r="I307">
        <v>262.26900000000001</v>
      </c>
      <c r="J307">
        <v>-148.44900000000001</v>
      </c>
      <c r="K307">
        <v>153.952</v>
      </c>
      <c r="L307">
        <v>0</v>
      </c>
      <c r="M307">
        <v>287.86700000000002</v>
      </c>
      <c r="N307">
        <v>-133.91499999999999</v>
      </c>
      <c r="O307">
        <v>-39.628</v>
      </c>
      <c r="P307">
        <v>10.465999999999999</v>
      </c>
      <c r="Q307">
        <v>25</v>
      </c>
      <c r="R307">
        <v>0.69199999999999995</v>
      </c>
      <c r="S307">
        <v>277.23399999999998</v>
      </c>
      <c r="T307">
        <v>312.86700000000002</v>
      </c>
      <c r="U307">
        <v>164.41800000000001</v>
      </c>
      <c r="V307">
        <v>186.35</v>
      </c>
      <c r="W307">
        <v>393.58800000000002</v>
      </c>
      <c r="X307">
        <v>164.239</v>
      </c>
      <c r="Y307">
        <v>-0.90287559756231095</v>
      </c>
      <c r="Z307">
        <v>227.14875000000001</v>
      </c>
      <c r="AA307" t="s">
        <v>32</v>
      </c>
      <c r="AB307">
        <v>1</v>
      </c>
      <c r="AC307" t="s">
        <v>33</v>
      </c>
    </row>
    <row r="308" spans="1:29" x14ac:dyDescent="0.3">
      <c r="A308">
        <v>377</v>
      </c>
      <c r="B308" t="s">
        <v>460</v>
      </c>
      <c r="C308" t="s">
        <v>58</v>
      </c>
      <c r="D308" s="1">
        <v>38068</v>
      </c>
      <c r="E308">
        <v>3</v>
      </c>
      <c r="F308" t="s">
        <v>461</v>
      </c>
      <c r="G308">
        <v>14.819000000000001</v>
      </c>
      <c r="H308">
        <v>53.723999999999997</v>
      </c>
      <c r="I308">
        <v>295.37700000000001</v>
      </c>
      <c r="J308">
        <v>-162.042</v>
      </c>
      <c r="K308">
        <v>133.93299999999999</v>
      </c>
      <c r="L308">
        <v>27.628</v>
      </c>
      <c r="M308">
        <v>207.89699999999999</v>
      </c>
      <c r="N308">
        <v>-73.963999999999999</v>
      </c>
      <c r="O308">
        <v>15.486000000000001</v>
      </c>
      <c r="P308">
        <v>0.79100000000000004</v>
      </c>
      <c r="Q308">
        <v>0</v>
      </c>
      <c r="R308">
        <v>0</v>
      </c>
      <c r="S308">
        <v>229.08799999999999</v>
      </c>
      <c r="T308">
        <v>207.89699999999999</v>
      </c>
      <c r="U308">
        <v>136.66300000000001</v>
      </c>
      <c r="V308">
        <v>148.24199999999999</v>
      </c>
      <c r="W308">
        <v>202.08099999999999</v>
      </c>
      <c r="X308">
        <v>218.619</v>
      </c>
      <c r="Y308">
        <v>-1.18570498232879</v>
      </c>
      <c r="Z308">
        <v>176.40125</v>
      </c>
      <c r="AA308" t="s">
        <v>32</v>
      </c>
      <c r="AB308">
        <v>1</v>
      </c>
      <c r="AC308" t="s">
        <v>33</v>
      </c>
    </row>
    <row r="309" spans="1:29" x14ac:dyDescent="0.3">
      <c r="A309">
        <v>383</v>
      </c>
      <c r="B309" t="s">
        <v>462</v>
      </c>
      <c r="C309" t="s">
        <v>58</v>
      </c>
      <c r="D309" s="1">
        <v>37179</v>
      </c>
      <c r="E309">
        <v>0</v>
      </c>
      <c r="F309" t="s">
        <v>463</v>
      </c>
      <c r="G309">
        <v>-12.157</v>
      </c>
      <c r="H309">
        <v>-0.40500000000000003</v>
      </c>
      <c r="I309">
        <v>10.583</v>
      </c>
      <c r="J309">
        <v>-1086.5039999999999</v>
      </c>
      <c r="K309">
        <v>106.949</v>
      </c>
      <c r="L309">
        <v>106.313</v>
      </c>
      <c r="M309">
        <v>957.91099999999994</v>
      </c>
      <c r="N309">
        <v>-850.96199999999999</v>
      </c>
      <c r="O309">
        <v>-12.157</v>
      </c>
      <c r="P309">
        <v>3.1219999999999999</v>
      </c>
      <c r="Q309">
        <v>170.38399999999999</v>
      </c>
      <c r="R309">
        <v>11.651</v>
      </c>
      <c r="S309">
        <v>1099.721</v>
      </c>
      <c r="T309">
        <v>1128.2950000000001</v>
      </c>
      <c r="U309">
        <v>110.212</v>
      </c>
      <c r="V309">
        <v>123.396</v>
      </c>
      <c r="W309">
        <v>192.56200000000001</v>
      </c>
      <c r="X309">
        <v>1400.5940000000001</v>
      </c>
      <c r="Y309">
        <v>-9.8583094399883908</v>
      </c>
      <c r="Z309">
        <v>456.69099999999997</v>
      </c>
      <c r="AA309" t="s">
        <v>32</v>
      </c>
      <c r="AB309">
        <v>1</v>
      </c>
      <c r="AC309" t="s">
        <v>33</v>
      </c>
    </row>
    <row r="310" spans="1:29" x14ac:dyDescent="0.3">
      <c r="A310">
        <v>7</v>
      </c>
      <c r="B310" t="s">
        <v>50</v>
      </c>
      <c r="C310" t="s">
        <v>51</v>
      </c>
      <c r="D310" s="1">
        <v>35136</v>
      </c>
      <c r="E310">
        <v>0</v>
      </c>
      <c r="F310" t="s">
        <v>52</v>
      </c>
      <c r="G310">
        <v>-57.978999999999999</v>
      </c>
      <c r="H310">
        <v>-7.95</v>
      </c>
      <c r="I310">
        <v>207.65899999999999</v>
      </c>
      <c r="J310">
        <v>-291.01900000000001</v>
      </c>
      <c r="K310">
        <v>32933.798999999999</v>
      </c>
      <c r="L310">
        <v>29679.904999999999</v>
      </c>
      <c r="M310">
        <v>11826.547</v>
      </c>
      <c r="N310">
        <v>21107.252</v>
      </c>
      <c r="O310">
        <v>-57.679000000000002</v>
      </c>
      <c r="P310">
        <v>0.93100000000000005</v>
      </c>
      <c r="Q310">
        <v>20475.47</v>
      </c>
      <c r="R310">
        <v>49.048999999999999</v>
      </c>
      <c r="S310">
        <v>32174.789000000001</v>
      </c>
      <c r="T310">
        <v>32302.017</v>
      </c>
      <c r="U310">
        <v>32934.730000000003</v>
      </c>
      <c r="V310">
        <v>32865.483999999997</v>
      </c>
      <c r="W310">
        <v>33359.247000000003</v>
      </c>
      <c r="X310">
        <v>32747.284</v>
      </c>
      <c r="Y310">
        <v>-8.8362345766915297E-3</v>
      </c>
      <c r="Z310">
        <v>32976.686249999999</v>
      </c>
      <c r="AA310" t="s">
        <v>53</v>
      </c>
      <c r="AB310">
        <v>4</v>
      </c>
      <c r="AC310" t="s">
        <v>33</v>
      </c>
    </row>
    <row r="311" spans="1:29" x14ac:dyDescent="0.3">
      <c r="A311">
        <v>9</v>
      </c>
      <c r="B311" t="s">
        <v>54</v>
      </c>
      <c r="C311" t="s">
        <v>55</v>
      </c>
      <c r="D311" s="1">
        <v>39401</v>
      </c>
      <c r="E311">
        <v>373</v>
      </c>
      <c r="F311" t="s">
        <v>56</v>
      </c>
      <c r="G311">
        <v>-1802.8130000000001</v>
      </c>
      <c r="H311">
        <v>-1441.1120000000001</v>
      </c>
      <c r="I311">
        <v>17660.198</v>
      </c>
      <c r="J311">
        <v>6991.9620000000004</v>
      </c>
      <c r="K311">
        <v>26438.055</v>
      </c>
      <c r="L311">
        <v>4251.6310000000003</v>
      </c>
      <c r="M311">
        <v>17894.087</v>
      </c>
      <c r="N311">
        <v>8543.9680000000008</v>
      </c>
      <c r="O311">
        <v>-1549.482</v>
      </c>
      <c r="P311">
        <v>1273.665</v>
      </c>
      <c r="Q311">
        <v>2925.6990000000001</v>
      </c>
      <c r="R311">
        <v>108.37</v>
      </c>
      <c r="S311">
        <v>9370.5679999999993</v>
      </c>
      <c r="T311">
        <v>20819.786</v>
      </c>
      <c r="U311">
        <v>28428.225999999999</v>
      </c>
      <c r="V311">
        <v>23474.704000000002</v>
      </c>
      <c r="W311">
        <v>18142.018</v>
      </c>
      <c r="X311">
        <v>22351.746999999999</v>
      </c>
      <c r="Y311">
        <v>0.245951400555209</v>
      </c>
      <c r="Z311">
        <v>23099.173750000002</v>
      </c>
      <c r="AA311" t="s">
        <v>53</v>
      </c>
      <c r="AB311">
        <v>4</v>
      </c>
      <c r="AC311" t="s">
        <v>33</v>
      </c>
    </row>
    <row r="312" spans="1:29" x14ac:dyDescent="0.3">
      <c r="A312">
        <v>14</v>
      </c>
      <c r="B312" t="s">
        <v>63</v>
      </c>
      <c r="C312" t="s">
        <v>55</v>
      </c>
      <c r="D312" s="1">
        <v>41596</v>
      </c>
      <c r="E312">
        <v>0</v>
      </c>
      <c r="F312" t="s">
        <v>64</v>
      </c>
      <c r="G312">
        <v>-42.136000000000003</v>
      </c>
      <c r="H312">
        <v>-42.136000000000003</v>
      </c>
      <c r="I312">
        <v>0.03</v>
      </c>
      <c r="J312">
        <v>1006.471</v>
      </c>
      <c r="K312">
        <v>16049.097</v>
      </c>
      <c r="L312">
        <v>15917.754000000001</v>
      </c>
      <c r="M312">
        <v>15031.808999999999</v>
      </c>
      <c r="N312">
        <v>1017.288</v>
      </c>
      <c r="O312">
        <v>-42.136000000000003</v>
      </c>
      <c r="P312">
        <v>0</v>
      </c>
      <c r="Q312">
        <v>0</v>
      </c>
      <c r="R312">
        <v>0</v>
      </c>
      <c r="S312">
        <v>14992.51</v>
      </c>
      <c r="T312">
        <v>15031.808999999999</v>
      </c>
      <c r="U312">
        <v>16049.097</v>
      </c>
      <c r="V312">
        <v>16051.862999999999</v>
      </c>
      <c r="W312">
        <v>16566.513999999999</v>
      </c>
      <c r="X312">
        <v>16561.155999999999</v>
      </c>
      <c r="Y312">
        <v>6.2712001802967501E-2</v>
      </c>
      <c r="Z312">
        <v>16307.157499999999</v>
      </c>
      <c r="AA312" t="s">
        <v>53</v>
      </c>
      <c r="AB312">
        <v>4</v>
      </c>
      <c r="AC312" t="s">
        <v>33</v>
      </c>
    </row>
    <row r="313" spans="1:29" x14ac:dyDescent="0.3">
      <c r="A313">
        <v>26</v>
      </c>
      <c r="B313" t="s">
        <v>88</v>
      </c>
      <c r="C313" t="s">
        <v>51</v>
      </c>
      <c r="D313" s="1">
        <v>28691</v>
      </c>
      <c r="E313">
        <v>0</v>
      </c>
      <c r="F313" t="s">
        <v>89</v>
      </c>
      <c r="G313">
        <v>-256.13099999999997</v>
      </c>
      <c r="H313">
        <v>-239.19800000000001</v>
      </c>
      <c r="I313">
        <v>794.90700000000004</v>
      </c>
      <c r="J313">
        <v>-19580.669000000002</v>
      </c>
      <c r="K313">
        <v>5452.4210000000003</v>
      </c>
      <c r="L313">
        <v>4491.2889999999998</v>
      </c>
      <c r="M313">
        <v>25830.48</v>
      </c>
      <c r="N313">
        <v>-20378.059000000001</v>
      </c>
      <c r="O313">
        <v>-228.95500000000001</v>
      </c>
      <c r="P313">
        <v>5110.3</v>
      </c>
      <c r="Q313">
        <v>24.881</v>
      </c>
      <c r="R313">
        <v>0.151</v>
      </c>
      <c r="S313">
        <v>25703.576000000001</v>
      </c>
      <c r="T313">
        <v>25855.361000000001</v>
      </c>
      <c r="U313">
        <v>10564.722</v>
      </c>
      <c r="V313">
        <v>11333.353999999999</v>
      </c>
      <c r="W313">
        <v>12612.477999999999</v>
      </c>
      <c r="X313">
        <v>13179.928</v>
      </c>
      <c r="Y313">
        <v>-1.85340125371969</v>
      </c>
      <c r="Z313">
        <v>11922.620500000001</v>
      </c>
      <c r="AA313" t="s">
        <v>53</v>
      </c>
      <c r="AB313">
        <v>4</v>
      </c>
      <c r="AC313" t="s">
        <v>33</v>
      </c>
    </row>
    <row r="314" spans="1:29" x14ac:dyDescent="0.3">
      <c r="A314">
        <v>32</v>
      </c>
      <c r="B314" t="s">
        <v>95</v>
      </c>
      <c r="C314" t="s">
        <v>96</v>
      </c>
      <c r="D314" s="1">
        <v>23770</v>
      </c>
      <c r="E314">
        <v>10</v>
      </c>
      <c r="F314" t="s">
        <v>97</v>
      </c>
      <c r="G314">
        <v>-992.88199999999995</v>
      </c>
      <c r="H314">
        <v>8.4469999999999992</v>
      </c>
      <c r="I314">
        <v>1452.126</v>
      </c>
      <c r="J314">
        <v>-15780.368</v>
      </c>
      <c r="K314">
        <v>7001.7280000000001</v>
      </c>
      <c r="L314">
        <v>1690.299</v>
      </c>
      <c r="M314">
        <v>19418.294000000002</v>
      </c>
      <c r="N314">
        <v>-12416.566000000001</v>
      </c>
      <c r="O314">
        <v>-159.191</v>
      </c>
      <c r="P314">
        <v>1821.471</v>
      </c>
      <c r="Q314">
        <v>3894.77</v>
      </c>
      <c r="R314">
        <v>18.481999999999999</v>
      </c>
      <c r="S314">
        <v>22377.944</v>
      </c>
      <c r="T314">
        <v>23313.063999999998</v>
      </c>
      <c r="U314">
        <v>8853.1489999999994</v>
      </c>
      <c r="V314">
        <v>8797.3520000000008</v>
      </c>
      <c r="W314">
        <v>24636.460999999999</v>
      </c>
      <c r="X314">
        <v>28783.196</v>
      </c>
      <c r="Y314">
        <v>-1.7824581965129001</v>
      </c>
      <c r="Z314">
        <v>17767.539499999999</v>
      </c>
      <c r="AA314" t="s">
        <v>53</v>
      </c>
      <c r="AB314">
        <v>4</v>
      </c>
      <c r="AC314" t="s">
        <v>33</v>
      </c>
    </row>
    <row r="315" spans="1:29" x14ac:dyDescent="0.3">
      <c r="A315">
        <v>39</v>
      </c>
      <c r="B315" t="s">
        <v>105</v>
      </c>
      <c r="C315" t="s">
        <v>96</v>
      </c>
      <c r="D315" s="1">
        <v>38967</v>
      </c>
      <c r="E315">
        <v>7</v>
      </c>
      <c r="F315" t="s">
        <v>106</v>
      </c>
      <c r="G315">
        <v>-6.38</v>
      </c>
      <c r="H315">
        <v>101.72799999999999</v>
      </c>
      <c r="I315">
        <v>516.404</v>
      </c>
      <c r="J315">
        <v>2440.8159999999998</v>
      </c>
      <c r="K315">
        <v>6431.7389999999996</v>
      </c>
      <c r="L315">
        <v>313.79399999999998</v>
      </c>
      <c r="M315">
        <v>4138.3180000000002</v>
      </c>
      <c r="N315">
        <v>2293.4209999999998</v>
      </c>
      <c r="O315">
        <v>70.174000000000007</v>
      </c>
      <c r="P315">
        <v>1193.4570000000001</v>
      </c>
      <c r="Q315">
        <v>980.94899999999996</v>
      </c>
      <c r="R315">
        <v>56.996000000000002</v>
      </c>
      <c r="S315">
        <v>5129.3140000000003</v>
      </c>
      <c r="T315">
        <v>5119.2669999999998</v>
      </c>
      <c r="U315">
        <v>7705.2579999999998</v>
      </c>
      <c r="V315">
        <v>7717.9219999999996</v>
      </c>
      <c r="W315">
        <v>7831.5609999999997</v>
      </c>
      <c r="X315">
        <v>7789.5050000000001</v>
      </c>
      <c r="Y315">
        <v>0.31677278035336398</v>
      </c>
      <c r="Z315">
        <v>7761.0614999999998</v>
      </c>
      <c r="AA315" t="s">
        <v>53</v>
      </c>
      <c r="AB315">
        <v>4</v>
      </c>
      <c r="AC315" t="s">
        <v>33</v>
      </c>
    </row>
    <row r="316" spans="1:29" x14ac:dyDescent="0.3">
      <c r="A316">
        <v>64</v>
      </c>
      <c r="B316" t="s">
        <v>138</v>
      </c>
      <c r="C316" t="s">
        <v>55</v>
      </c>
      <c r="D316" s="1">
        <v>33254</v>
      </c>
      <c r="E316">
        <v>7</v>
      </c>
      <c r="F316" t="s">
        <v>139</v>
      </c>
      <c r="G316">
        <v>-3477.4560000000001</v>
      </c>
      <c r="H316">
        <v>-3247.7809999999999</v>
      </c>
      <c r="I316">
        <v>1655.25</v>
      </c>
      <c r="J316">
        <v>-2706.3530000000001</v>
      </c>
      <c r="K316">
        <v>4311.6080000000002</v>
      </c>
      <c r="L316">
        <v>2028.4870000000001</v>
      </c>
      <c r="M316">
        <v>4065.2689999999998</v>
      </c>
      <c r="N316">
        <v>246.339</v>
      </c>
      <c r="O316">
        <v>-3460.9279999999999</v>
      </c>
      <c r="P316">
        <v>1001.741</v>
      </c>
      <c r="Q316">
        <v>0</v>
      </c>
      <c r="R316">
        <v>245.126</v>
      </c>
      <c r="S316">
        <v>4986.8940000000002</v>
      </c>
      <c r="T316">
        <v>4065.2689999999998</v>
      </c>
      <c r="U316">
        <v>5328.1329999999998</v>
      </c>
      <c r="V316">
        <v>9859.9</v>
      </c>
      <c r="W316">
        <v>9101.9449999999997</v>
      </c>
      <c r="X316">
        <v>9162.8140000000003</v>
      </c>
      <c r="Y316">
        <v>-0.50793645729188797</v>
      </c>
      <c r="Z316">
        <v>8363.1980000000003</v>
      </c>
      <c r="AA316" t="s">
        <v>53</v>
      </c>
      <c r="AB316">
        <v>4</v>
      </c>
      <c r="AC316" t="s">
        <v>33</v>
      </c>
    </row>
    <row r="317" spans="1:29" x14ac:dyDescent="0.3">
      <c r="A317">
        <v>78</v>
      </c>
      <c r="B317" t="s">
        <v>155</v>
      </c>
      <c r="C317" t="s">
        <v>55</v>
      </c>
      <c r="D317" s="1">
        <v>41939</v>
      </c>
      <c r="E317">
        <v>27</v>
      </c>
      <c r="F317" t="s">
        <v>156</v>
      </c>
      <c r="G317">
        <v>-14891.603999999999</v>
      </c>
      <c r="H317">
        <v>-14861.633</v>
      </c>
      <c r="I317">
        <v>7729.5010000000002</v>
      </c>
      <c r="J317">
        <v>-12232.853999999999</v>
      </c>
      <c r="K317">
        <v>3900.7750000000001</v>
      </c>
      <c r="L317">
        <v>0</v>
      </c>
      <c r="M317">
        <v>16311.161</v>
      </c>
      <c r="N317">
        <v>-12410.386</v>
      </c>
      <c r="O317">
        <v>-14891.603999999999</v>
      </c>
      <c r="P317">
        <v>318.18799999999999</v>
      </c>
      <c r="Q317">
        <v>0</v>
      </c>
      <c r="R317">
        <v>29.972000000000001</v>
      </c>
      <c r="S317">
        <v>19093.264999999999</v>
      </c>
      <c r="T317">
        <v>16311.161</v>
      </c>
      <c r="U317">
        <v>4218.9629999999997</v>
      </c>
      <c r="V317">
        <v>24099.435000000001</v>
      </c>
      <c r="W317">
        <v>16824.851999999999</v>
      </c>
      <c r="X317">
        <v>11284.146000000001</v>
      </c>
      <c r="Y317">
        <v>-2.8994930744829901</v>
      </c>
      <c r="Z317">
        <v>14106.849</v>
      </c>
      <c r="AA317" t="s">
        <v>53</v>
      </c>
      <c r="AB317">
        <v>4</v>
      </c>
      <c r="AC317" t="s">
        <v>33</v>
      </c>
    </row>
    <row r="318" spans="1:29" x14ac:dyDescent="0.3">
      <c r="A318">
        <v>79</v>
      </c>
      <c r="B318" t="s">
        <v>157</v>
      </c>
      <c r="C318" t="s">
        <v>96</v>
      </c>
      <c r="D318" s="1">
        <v>38267</v>
      </c>
      <c r="E318">
        <v>0</v>
      </c>
      <c r="F318" t="s">
        <v>158</v>
      </c>
      <c r="G318">
        <v>-579.59699999999998</v>
      </c>
      <c r="H318">
        <v>-578.69600000000003</v>
      </c>
      <c r="I318">
        <v>2893.498</v>
      </c>
      <c r="J318">
        <v>-4774.9319999999998</v>
      </c>
      <c r="K318">
        <v>4162.8440000000001</v>
      </c>
      <c r="L318">
        <v>4060.3119999999999</v>
      </c>
      <c r="M318">
        <v>8941.9240000000009</v>
      </c>
      <c r="N318">
        <v>-4779.08</v>
      </c>
      <c r="O318">
        <v>-579.59699999999998</v>
      </c>
      <c r="P318">
        <v>5.0000000000000001E-3</v>
      </c>
      <c r="Q318">
        <v>0</v>
      </c>
      <c r="R318">
        <v>0.90100000000000002</v>
      </c>
      <c r="S318">
        <v>11345.478999999999</v>
      </c>
      <c r="T318">
        <v>8941.9240000000009</v>
      </c>
      <c r="U318">
        <v>4166.9920000000002</v>
      </c>
      <c r="V318">
        <v>7150.1419999999998</v>
      </c>
      <c r="W318">
        <v>7351.4849999999997</v>
      </c>
      <c r="X318">
        <v>7920.9889999999996</v>
      </c>
      <c r="Y318">
        <v>-1.14589420858019</v>
      </c>
      <c r="Z318">
        <v>6647.402</v>
      </c>
      <c r="AA318" t="s">
        <v>53</v>
      </c>
      <c r="AB318">
        <v>4</v>
      </c>
      <c r="AC318" t="s">
        <v>33</v>
      </c>
    </row>
    <row r="319" spans="1:29" x14ac:dyDescent="0.3">
      <c r="A319">
        <v>83</v>
      </c>
      <c r="B319" t="s">
        <v>166</v>
      </c>
      <c r="C319" t="s">
        <v>55</v>
      </c>
      <c r="D319" s="1">
        <v>31769</v>
      </c>
      <c r="E319">
        <v>18</v>
      </c>
      <c r="F319" t="s">
        <v>167</v>
      </c>
      <c r="G319">
        <v>-1714.5150000000001</v>
      </c>
      <c r="H319">
        <v>-1570.7639999999999</v>
      </c>
      <c r="I319">
        <v>1199.05</v>
      </c>
      <c r="J319">
        <v>-3560.377</v>
      </c>
      <c r="K319">
        <v>2941.547</v>
      </c>
      <c r="L319">
        <v>734.68499999999995</v>
      </c>
      <c r="M319">
        <v>4559.05</v>
      </c>
      <c r="N319">
        <v>-1617.5029999999999</v>
      </c>
      <c r="O319">
        <v>-1691.5640000000001</v>
      </c>
      <c r="P319">
        <v>1047.336</v>
      </c>
      <c r="Q319">
        <v>2590.538</v>
      </c>
      <c r="R319">
        <v>120.816</v>
      </c>
      <c r="S319">
        <v>6792.9629999999997</v>
      </c>
      <c r="T319">
        <v>7149.5879999999997</v>
      </c>
      <c r="U319">
        <v>3995.152</v>
      </c>
      <c r="V319">
        <v>5325.3370000000004</v>
      </c>
      <c r="W319">
        <v>5154.2749999999996</v>
      </c>
      <c r="X319">
        <v>6909.7290000000003</v>
      </c>
      <c r="Y319">
        <v>-0.89117435331621897</v>
      </c>
      <c r="Z319">
        <v>5346.1232499999996</v>
      </c>
      <c r="AA319" t="s">
        <v>53</v>
      </c>
      <c r="AB319">
        <v>4</v>
      </c>
      <c r="AC319" t="s">
        <v>33</v>
      </c>
    </row>
    <row r="320" spans="1:29" x14ac:dyDescent="0.3">
      <c r="A320">
        <v>74</v>
      </c>
      <c r="B320" t="s">
        <v>149</v>
      </c>
      <c r="C320" t="s">
        <v>96</v>
      </c>
      <c r="D320" s="1">
        <v>33729</v>
      </c>
      <c r="E320">
        <v>0</v>
      </c>
      <c r="F320" t="s">
        <v>150</v>
      </c>
      <c r="G320">
        <v>-46.716000000000001</v>
      </c>
      <c r="H320">
        <v>-34.901000000000003</v>
      </c>
      <c r="I320">
        <v>112.29</v>
      </c>
      <c r="J320">
        <v>-741.89</v>
      </c>
      <c r="K320">
        <v>4177.0420000000004</v>
      </c>
      <c r="L320">
        <v>3679.8180000000002</v>
      </c>
      <c r="M320">
        <v>4700.6139999999996</v>
      </c>
      <c r="N320">
        <v>-523.572</v>
      </c>
      <c r="O320">
        <v>-35.036999999999999</v>
      </c>
      <c r="P320">
        <v>297.07600000000002</v>
      </c>
      <c r="Q320">
        <v>514.66600000000005</v>
      </c>
      <c r="R320">
        <v>0.13600000000000001</v>
      </c>
      <c r="S320">
        <v>5043.223</v>
      </c>
      <c r="T320">
        <v>5215.28</v>
      </c>
      <c r="U320">
        <v>4474.3969999999999</v>
      </c>
      <c r="V320">
        <v>4349.3919999999998</v>
      </c>
      <c r="W320">
        <v>4222.9610000000002</v>
      </c>
      <c r="X320">
        <v>4452.5870000000004</v>
      </c>
      <c r="Y320">
        <v>-0.165807817232132</v>
      </c>
      <c r="Z320">
        <v>4374.8342499999999</v>
      </c>
      <c r="AA320" t="s">
        <v>53</v>
      </c>
      <c r="AB320">
        <v>3</v>
      </c>
      <c r="AC320" t="s">
        <v>33</v>
      </c>
    </row>
    <row r="321" spans="1:29" x14ac:dyDescent="0.3">
      <c r="A321">
        <v>81</v>
      </c>
      <c r="B321" t="s">
        <v>161</v>
      </c>
      <c r="C321" t="s">
        <v>162</v>
      </c>
      <c r="D321" s="1">
        <v>30116</v>
      </c>
      <c r="E321">
        <v>0</v>
      </c>
      <c r="F321" t="s">
        <v>163</v>
      </c>
      <c r="G321">
        <v>15.74</v>
      </c>
      <c r="H321">
        <v>34.25</v>
      </c>
      <c r="I321">
        <v>38.448</v>
      </c>
      <c r="J321">
        <v>130.273</v>
      </c>
      <c r="K321">
        <v>3276.857</v>
      </c>
      <c r="L321">
        <v>1675.1479999999999</v>
      </c>
      <c r="M321">
        <v>805.48699999999997</v>
      </c>
      <c r="N321">
        <v>2471.37</v>
      </c>
      <c r="O321">
        <v>33.851999999999997</v>
      </c>
      <c r="P321">
        <v>769.94</v>
      </c>
      <c r="Q321">
        <v>3055.1060000000002</v>
      </c>
      <c r="R321">
        <v>3.0000000000000001E-3</v>
      </c>
      <c r="S321">
        <v>3859.7669999999998</v>
      </c>
      <c r="T321">
        <v>3860.5929999999998</v>
      </c>
      <c r="U321">
        <v>4062.9169999999999</v>
      </c>
      <c r="V321">
        <v>4058.3530000000001</v>
      </c>
      <c r="W321">
        <v>5295.86</v>
      </c>
      <c r="X321">
        <v>6601.6139999999996</v>
      </c>
      <c r="Y321">
        <v>3.2063908763088199E-2</v>
      </c>
      <c r="Z321">
        <v>5004.6859999999997</v>
      </c>
      <c r="AA321" t="s">
        <v>53</v>
      </c>
      <c r="AB321">
        <v>3</v>
      </c>
      <c r="AC321" t="s">
        <v>33</v>
      </c>
    </row>
    <row r="322" spans="1:29" x14ac:dyDescent="0.3">
      <c r="A322">
        <v>88</v>
      </c>
      <c r="B322" t="s">
        <v>170</v>
      </c>
      <c r="C322" t="s">
        <v>96</v>
      </c>
      <c r="D322" s="1">
        <v>33974</v>
      </c>
      <c r="E322">
        <v>0</v>
      </c>
      <c r="F322" t="s">
        <v>171</v>
      </c>
      <c r="G322">
        <v>-359.84899999999999</v>
      </c>
      <c r="H322">
        <v>-217.78</v>
      </c>
      <c r="I322">
        <v>77.709999999999994</v>
      </c>
      <c r="J322">
        <v>-1294.2429999999999</v>
      </c>
      <c r="K322">
        <v>1650.4159999999999</v>
      </c>
      <c r="L322">
        <v>1593.2439999999999</v>
      </c>
      <c r="M322">
        <v>4946.509</v>
      </c>
      <c r="N322">
        <v>-3296.0929999999998</v>
      </c>
      <c r="O322">
        <v>-261.19200000000001</v>
      </c>
      <c r="P322">
        <v>2159.0439999999999</v>
      </c>
      <c r="Q322">
        <v>90.415000000000006</v>
      </c>
      <c r="R322">
        <v>43.411999999999999</v>
      </c>
      <c r="S322">
        <v>4888.0050000000001</v>
      </c>
      <c r="T322">
        <v>5036.924</v>
      </c>
      <c r="U322">
        <v>3817.681</v>
      </c>
      <c r="V322">
        <v>4028.6120000000001</v>
      </c>
      <c r="W322">
        <v>4621.9859999999999</v>
      </c>
      <c r="X322">
        <v>4677.3919999999998</v>
      </c>
      <c r="Y322">
        <v>-0.33901287195027602</v>
      </c>
      <c r="Z322">
        <v>4286.4177499999996</v>
      </c>
      <c r="AA322" t="s">
        <v>53</v>
      </c>
      <c r="AB322">
        <v>3</v>
      </c>
      <c r="AC322" t="s">
        <v>33</v>
      </c>
    </row>
    <row r="323" spans="1:29" x14ac:dyDescent="0.3">
      <c r="A323">
        <v>115</v>
      </c>
      <c r="B323" t="s">
        <v>202</v>
      </c>
      <c r="C323" t="s">
        <v>96</v>
      </c>
      <c r="D323" s="1">
        <v>39987</v>
      </c>
      <c r="E323">
        <v>0</v>
      </c>
      <c r="F323" t="s">
        <v>203</v>
      </c>
      <c r="G323">
        <v>-24.303000000000001</v>
      </c>
      <c r="H323">
        <v>-16.134</v>
      </c>
      <c r="I323">
        <v>2</v>
      </c>
      <c r="J323">
        <v>107.608</v>
      </c>
      <c r="K323">
        <v>2815.748</v>
      </c>
      <c r="L323">
        <v>2049.1880000000001</v>
      </c>
      <c r="M323">
        <v>224.41399999999999</v>
      </c>
      <c r="N323">
        <v>2591.3339999999998</v>
      </c>
      <c r="O323">
        <v>-17.462</v>
      </c>
      <c r="P323">
        <v>22.035</v>
      </c>
      <c r="Q323">
        <v>2410.1610000000001</v>
      </c>
      <c r="R323">
        <v>1.3280000000000001</v>
      </c>
      <c r="S323">
        <v>2617.1289999999999</v>
      </c>
      <c r="T323">
        <v>2634.5749999999998</v>
      </c>
      <c r="U323">
        <v>2841.779</v>
      </c>
      <c r="V323">
        <v>2848.9070000000002</v>
      </c>
      <c r="W323">
        <v>2851.3150000000001</v>
      </c>
      <c r="X323">
        <v>3054.607</v>
      </c>
      <c r="Y323">
        <v>3.7866420998958802E-2</v>
      </c>
      <c r="Z323">
        <v>2899.152</v>
      </c>
      <c r="AA323" t="s">
        <v>53</v>
      </c>
      <c r="AB323">
        <v>3</v>
      </c>
      <c r="AC323" t="s">
        <v>33</v>
      </c>
    </row>
    <row r="324" spans="1:29" x14ac:dyDescent="0.3">
      <c r="A324">
        <v>117</v>
      </c>
      <c r="B324" t="s">
        <v>204</v>
      </c>
      <c r="C324" t="s">
        <v>51</v>
      </c>
      <c r="D324" s="1">
        <v>42020</v>
      </c>
      <c r="E324">
        <v>0</v>
      </c>
      <c r="F324" t="s">
        <v>205</v>
      </c>
      <c r="G324">
        <v>-102.13</v>
      </c>
      <c r="H324">
        <v>13.249000000000001</v>
      </c>
      <c r="I324">
        <v>29.428000000000001</v>
      </c>
      <c r="J324">
        <v>81.552999999999997</v>
      </c>
      <c r="K324">
        <v>2809.6239999999998</v>
      </c>
      <c r="L324">
        <v>2807.6979999999999</v>
      </c>
      <c r="M324">
        <v>72.775999999999996</v>
      </c>
      <c r="N324">
        <v>2736.848</v>
      </c>
      <c r="O324">
        <v>-97.304000000000002</v>
      </c>
      <c r="P324">
        <v>6.9509999999999996</v>
      </c>
      <c r="Q324">
        <v>2662.2440000000001</v>
      </c>
      <c r="R324">
        <v>110.42700000000001</v>
      </c>
      <c r="S324">
        <v>2636.9549999999999</v>
      </c>
      <c r="T324">
        <v>2735.02</v>
      </c>
      <c r="U324">
        <v>2816.5749999999998</v>
      </c>
      <c r="V324">
        <v>2820.6370000000002</v>
      </c>
      <c r="W324">
        <v>2816.4940000000001</v>
      </c>
      <c r="X324">
        <v>2822.26</v>
      </c>
      <c r="Y324">
        <v>2.8954670122400401E-2</v>
      </c>
      <c r="Z324">
        <v>2818.9915000000001</v>
      </c>
      <c r="AA324" t="s">
        <v>53</v>
      </c>
      <c r="AB324">
        <v>3</v>
      </c>
      <c r="AC324" t="s">
        <v>33</v>
      </c>
    </row>
    <row r="325" spans="1:29" x14ac:dyDescent="0.3">
      <c r="A325">
        <v>125</v>
      </c>
      <c r="B325" t="s">
        <v>212</v>
      </c>
      <c r="C325" t="s">
        <v>96</v>
      </c>
      <c r="D325" s="1">
        <v>40248</v>
      </c>
      <c r="E325">
        <v>1</v>
      </c>
      <c r="F325" t="s">
        <v>213</v>
      </c>
      <c r="G325">
        <v>-375.61599999999999</v>
      </c>
      <c r="H325">
        <v>-324.21499999999997</v>
      </c>
      <c r="I325">
        <v>308.80799999999999</v>
      </c>
      <c r="J325">
        <v>-251.54599999999999</v>
      </c>
      <c r="K325">
        <v>2603.6379999999999</v>
      </c>
      <c r="L325">
        <v>2484.4059999999999</v>
      </c>
      <c r="M325">
        <v>2042.819</v>
      </c>
      <c r="N325">
        <v>560.81899999999996</v>
      </c>
      <c r="O325">
        <v>-375.61599999999999</v>
      </c>
      <c r="P325">
        <v>1.0780000000000001</v>
      </c>
      <c r="Q325">
        <v>801.14400000000001</v>
      </c>
      <c r="R325">
        <v>51.433</v>
      </c>
      <c r="S325">
        <v>1752.653</v>
      </c>
      <c r="T325">
        <v>2843.9630000000002</v>
      </c>
      <c r="U325">
        <v>2604.7159999999999</v>
      </c>
      <c r="V325">
        <v>1883.9449999999999</v>
      </c>
      <c r="W325">
        <v>2613.8850000000002</v>
      </c>
      <c r="X325">
        <v>2481.4470000000001</v>
      </c>
      <c r="Y325">
        <v>-9.6573292443398795E-2</v>
      </c>
      <c r="Z325">
        <v>2395.9982500000001</v>
      </c>
      <c r="AA325" t="s">
        <v>53</v>
      </c>
      <c r="AB325">
        <v>3</v>
      </c>
      <c r="AC325" t="s">
        <v>33</v>
      </c>
    </row>
    <row r="326" spans="1:29" x14ac:dyDescent="0.3">
      <c r="A326">
        <v>130</v>
      </c>
      <c r="B326" t="s">
        <v>218</v>
      </c>
      <c r="C326" t="s">
        <v>51</v>
      </c>
      <c r="D326" s="1">
        <v>37552</v>
      </c>
      <c r="E326">
        <v>0</v>
      </c>
      <c r="F326" t="s">
        <v>219</v>
      </c>
      <c r="G326">
        <v>662.43299999999999</v>
      </c>
      <c r="H326">
        <v>718.29</v>
      </c>
      <c r="I326">
        <v>4061.288</v>
      </c>
      <c r="J326">
        <v>-98.445999999999998</v>
      </c>
      <c r="K326">
        <v>2491.9389999999999</v>
      </c>
      <c r="L326">
        <v>2427.4259999999999</v>
      </c>
      <c r="M326">
        <v>545.59900000000005</v>
      </c>
      <c r="N326">
        <v>1946.34</v>
      </c>
      <c r="O326">
        <v>662.43299999999999</v>
      </c>
      <c r="P326">
        <v>0</v>
      </c>
      <c r="Q326">
        <v>2000.883</v>
      </c>
      <c r="R326">
        <v>55.832999999999998</v>
      </c>
      <c r="S326">
        <v>6379.1589999999997</v>
      </c>
      <c r="T326">
        <v>2546.482</v>
      </c>
      <c r="U326">
        <v>2494.0360000000001</v>
      </c>
      <c r="V326">
        <v>5634.9780000000001</v>
      </c>
      <c r="W326">
        <v>5638.3980000000001</v>
      </c>
      <c r="X326">
        <v>5677.2370000000001</v>
      </c>
      <c r="Y326">
        <v>-3.9472565752859998E-2</v>
      </c>
      <c r="Z326">
        <v>4861.1622500000003</v>
      </c>
      <c r="AA326" t="s">
        <v>53</v>
      </c>
      <c r="AB326">
        <v>3</v>
      </c>
      <c r="AC326" t="s">
        <v>33</v>
      </c>
    </row>
    <row r="327" spans="1:29" x14ac:dyDescent="0.3">
      <c r="A327">
        <v>139</v>
      </c>
      <c r="B327" t="s">
        <v>226</v>
      </c>
      <c r="C327" t="s">
        <v>51</v>
      </c>
      <c r="D327" s="1">
        <v>29853</v>
      </c>
      <c r="E327">
        <v>0</v>
      </c>
      <c r="F327" t="s">
        <v>227</v>
      </c>
      <c r="G327">
        <v>-100.149</v>
      </c>
      <c r="H327">
        <v>-100.149</v>
      </c>
      <c r="I327">
        <v>124.23</v>
      </c>
      <c r="J327">
        <v>-1140.4110000000001</v>
      </c>
      <c r="K327">
        <v>2023.405</v>
      </c>
      <c r="L327">
        <v>1681.893</v>
      </c>
      <c r="M327">
        <v>3499.0070000000001</v>
      </c>
      <c r="N327">
        <v>-1475.6020000000001</v>
      </c>
      <c r="O327">
        <v>-100.149</v>
      </c>
      <c r="P327">
        <v>333.04899999999998</v>
      </c>
      <c r="Q327">
        <v>0</v>
      </c>
      <c r="R327">
        <v>0</v>
      </c>
      <c r="S327">
        <v>3492.0189999999998</v>
      </c>
      <c r="T327">
        <v>3499.0070000000001</v>
      </c>
      <c r="U327">
        <v>2358.69</v>
      </c>
      <c r="V327">
        <v>2451.7800000000002</v>
      </c>
      <c r="W327">
        <v>2467.3029999999999</v>
      </c>
      <c r="X327">
        <v>2476.2399999999998</v>
      </c>
      <c r="Y327">
        <v>-0.483493379799804</v>
      </c>
      <c r="Z327">
        <v>2438.5032500000002</v>
      </c>
      <c r="AA327" t="s">
        <v>53</v>
      </c>
      <c r="AB327">
        <v>3</v>
      </c>
      <c r="AC327" t="s">
        <v>33</v>
      </c>
    </row>
    <row r="328" spans="1:29" x14ac:dyDescent="0.3">
      <c r="A328">
        <v>412</v>
      </c>
      <c r="B328" t="s">
        <v>464</v>
      </c>
      <c r="C328" t="s">
        <v>96</v>
      </c>
      <c r="D328" s="1">
        <v>37299</v>
      </c>
      <c r="E328">
        <v>1</v>
      </c>
      <c r="F328" t="s">
        <v>465</v>
      </c>
      <c r="G328">
        <v>-953.37099999999998</v>
      </c>
      <c r="H328">
        <v>-953.101</v>
      </c>
      <c r="I328">
        <v>1610.154</v>
      </c>
      <c r="J328">
        <v>-5090.7550000000001</v>
      </c>
      <c r="K328">
        <v>7.9409999999999998</v>
      </c>
      <c r="L328">
        <v>0</v>
      </c>
      <c r="M328">
        <v>486.904</v>
      </c>
      <c r="N328">
        <v>-478.96300000000002</v>
      </c>
      <c r="O328">
        <v>-953.35900000000004</v>
      </c>
      <c r="P328">
        <v>0</v>
      </c>
      <c r="Q328">
        <v>4611.7920000000004</v>
      </c>
      <c r="R328">
        <v>0.25800000000000001</v>
      </c>
      <c r="S328">
        <v>6709.5730000000003</v>
      </c>
      <c r="T328">
        <v>5098.6959999999999</v>
      </c>
      <c r="U328">
        <v>7.9409999999999998</v>
      </c>
      <c r="V328">
        <v>2586.346</v>
      </c>
      <c r="W328">
        <v>6944.893</v>
      </c>
      <c r="X328">
        <v>7779.4930000000004</v>
      </c>
      <c r="Y328">
        <v>-641.07228308777201</v>
      </c>
      <c r="Z328">
        <v>4329.6682499999997</v>
      </c>
      <c r="AA328" t="s">
        <v>53</v>
      </c>
      <c r="AB328">
        <v>3</v>
      </c>
      <c r="AC328" t="s">
        <v>33</v>
      </c>
    </row>
    <row r="329" spans="1:29" x14ac:dyDescent="0.3">
      <c r="A329">
        <v>149</v>
      </c>
      <c r="B329" t="s">
        <v>232</v>
      </c>
      <c r="C329" t="s">
        <v>55</v>
      </c>
      <c r="D329" s="1">
        <v>40302</v>
      </c>
      <c r="E329">
        <v>0</v>
      </c>
      <c r="F329" t="s">
        <v>233</v>
      </c>
      <c r="G329">
        <v>262.50700000000001</v>
      </c>
      <c r="H329">
        <v>462.101</v>
      </c>
      <c r="I329">
        <v>536.19000000000005</v>
      </c>
      <c r="J329">
        <v>353.17399999999998</v>
      </c>
      <c r="K329">
        <v>1787.452</v>
      </c>
      <c r="L329">
        <v>0</v>
      </c>
      <c r="M329">
        <v>1490.6690000000001</v>
      </c>
      <c r="N329">
        <v>296.78300000000002</v>
      </c>
      <c r="O329">
        <v>362.50099999999998</v>
      </c>
      <c r="P329">
        <v>426.17</v>
      </c>
      <c r="Q329">
        <v>369.779</v>
      </c>
      <c r="R329">
        <v>0.03</v>
      </c>
      <c r="S329">
        <v>1731.7</v>
      </c>
      <c r="T329">
        <v>1860.4480000000001</v>
      </c>
      <c r="U329">
        <v>2213.6219999999998</v>
      </c>
      <c r="V329">
        <v>1845.21</v>
      </c>
      <c r="W329">
        <v>1740.88</v>
      </c>
      <c r="X329">
        <v>1591.838</v>
      </c>
      <c r="Y329">
        <v>0.15954575803818399</v>
      </c>
      <c r="Z329">
        <v>1847.8875</v>
      </c>
      <c r="AA329" t="s">
        <v>53</v>
      </c>
      <c r="AB329">
        <v>2</v>
      </c>
      <c r="AC329" t="s">
        <v>33</v>
      </c>
    </row>
    <row r="330" spans="1:29" x14ac:dyDescent="0.3">
      <c r="A330">
        <v>156</v>
      </c>
      <c r="B330" t="s">
        <v>236</v>
      </c>
      <c r="C330" t="s">
        <v>51</v>
      </c>
      <c r="D330" s="1">
        <v>39206</v>
      </c>
      <c r="E330">
        <v>15</v>
      </c>
      <c r="F330" t="s">
        <v>237</v>
      </c>
      <c r="G330">
        <v>13.667999999999999</v>
      </c>
      <c r="H330">
        <v>115.798</v>
      </c>
      <c r="I330">
        <v>1724.0060000000001</v>
      </c>
      <c r="J330">
        <v>102.965</v>
      </c>
      <c r="K330">
        <v>1410.4559999999999</v>
      </c>
      <c r="L330">
        <v>692.9</v>
      </c>
      <c r="M330">
        <v>1244.2940000000001</v>
      </c>
      <c r="N330">
        <v>166.16200000000001</v>
      </c>
      <c r="O330">
        <v>79.091999999999999</v>
      </c>
      <c r="P330">
        <v>559.86</v>
      </c>
      <c r="Q330">
        <v>551.40300000000002</v>
      </c>
      <c r="R330">
        <v>24.515999999999998</v>
      </c>
      <c r="S330">
        <v>1683.4929999999999</v>
      </c>
      <c r="T330">
        <v>1795.6969999999999</v>
      </c>
      <c r="U330">
        <v>1982.9739999999999</v>
      </c>
      <c r="V330">
        <v>1839.0709999999999</v>
      </c>
      <c r="W330">
        <v>1633.874</v>
      </c>
      <c r="X330">
        <v>1252.4169999999999</v>
      </c>
      <c r="Y330">
        <v>5.1924533554146501E-2</v>
      </c>
      <c r="Z330">
        <v>1677.0840000000001</v>
      </c>
      <c r="AA330" t="s">
        <v>53</v>
      </c>
      <c r="AB330">
        <v>2</v>
      </c>
      <c r="AC330" t="s">
        <v>33</v>
      </c>
    </row>
    <row r="331" spans="1:29" x14ac:dyDescent="0.3">
      <c r="A331">
        <v>161</v>
      </c>
      <c r="B331" t="s">
        <v>238</v>
      </c>
      <c r="C331" t="s">
        <v>162</v>
      </c>
      <c r="D331" s="1">
        <v>41072</v>
      </c>
      <c r="E331">
        <v>3</v>
      </c>
      <c r="F331" t="s">
        <v>239</v>
      </c>
      <c r="G331">
        <v>0.33900000000000002</v>
      </c>
      <c r="H331">
        <v>2.4039999999999999</v>
      </c>
      <c r="I331">
        <v>47.302</v>
      </c>
      <c r="J331">
        <v>4.68</v>
      </c>
      <c r="K331">
        <v>1808.6279999999999</v>
      </c>
      <c r="L331">
        <v>582.65</v>
      </c>
      <c r="M331">
        <v>1844.8810000000001</v>
      </c>
      <c r="N331">
        <v>-36.253</v>
      </c>
      <c r="O331">
        <v>0.36499999999999999</v>
      </c>
      <c r="P331">
        <v>13.102</v>
      </c>
      <c r="Q331">
        <v>0</v>
      </c>
      <c r="R331">
        <v>1.4999999999999999E-2</v>
      </c>
      <c r="S331">
        <v>1822.6569999999999</v>
      </c>
      <c r="T331">
        <v>1844.8810000000001</v>
      </c>
      <c r="U331">
        <v>1861.6669999999999</v>
      </c>
      <c r="V331">
        <v>1838.097</v>
      </c>
      <c r="W331">
        <v>1837.2550000000001</v>
      </c>
      <c r="X331">
        <v>1674.653</v>
      </c>
      <c r="Y331">
        <v>2.51387600467753E-3</v>
      </c>
      <c r="Z331">
        <v>1802.9179999999999</v>
      </c>
      <c r="AA331" t="s">
        <v>53</v>
      </c>
      <c r="AB331">
        <v>2</v>
      </c>
      <c r="AC331" t="s">
        <v>33</v>
      </c>
    </row>
    <row r="332" spans="1:29" x14ac:dyDescent="0.3">
      <c r="A332">
        <v>180</v>
      </c>
      <c r="B332" t="s">
        <v>257</v>
      </c>
      <c r="C332" t="s">
        <v>96</v>
      </c>
      <c r="D332" s="1">
        <v>37158</v>
      </c>
      <c r="E332">
        <v>8</v>
      </c>
      <c r="F332" t="s">
        <v>258</v>
      </c>
      <c r="G332">
        <v>-352.58600000000001</v>
      </c>
      <c r="H332">
        <v>-280.34500000000003</v>
      </c>
      <c r="I332">
        <v>491.76299999999998</v>
      </c>
      <c r="J332">
        <v>-336.767</v>
      </c>
      <c r="K332">
        <v>1303.1659999999999</v>
      </c>
      <c r="L332">
        <v>611.04700000000003</v>
      </c>
      <c r="M332">
        <v>816.1</v>
      </c>
      <c r="N332">
        <v>487.06599999999997</v>
      </c>
      <c r="O332">
        <v>-328.995</v>
      </c>
      <c r="P332">
        <v>254.79400000000001</v>
      </c>
      <c r="Q332">
        <v>1056.037</v>
      </c>
      <c r="R332">
        <v>58.802</v>
      </c>
      <c r="S332">
        <v>1704.721</v>
      </c>
      <c r="T332">
        <v>1872.1369999999999</v>
      </c>
      <c r="U332">
        <v>1596.1130000000001</v>
      </c>
      <c r="V332">
        <v>1776.48</v>
      </c>
      <c r="W332">
        <v>1560.095</v>
      </c>
      <c r="X332">
        <v>1506.412</v>
      </c>
      <c r="Y332">
        <v>-0.210991953577222</v>
      </c>
      <c r="Z332">
        <v>1609.7750000000001</v>
      </c>
      <c r="AA332" t="s">
        <v>53</v>
      </c>
      <c r="AB332">
        <v>2</v>
      </c>
      <c r="AC332" t="s">
        <v>33</v>
      </c>
    </row>
    <row r="333" spans="1:29" x14ac:dyDescent="0.3">
      <c r="A333">
        <v>186</v>
      </c>
      <c r="B333" t="s">
        <v>265</v>
      </c>
      <c r="C333" t="s">
        <v>55</v>
      </c>
      <c r="D333" s="1">
        <v>41345</v>
      </c>
      <c r="E333">
        <v>16</v>
      </c>
      <c r="F333" t="s">
        <v>266</v>
      </c>
      <c r="G333">
        <v>4.7489999999999997</v>
      </c>
      <c r="H333">
        <v>102.815</v>
      </c>
      <c r="I333">
        <v>1660.867</v>
      </c>
      <c r="J333">
        <v>141.27799999999999</v>
      </c>
      <c r="K333">
        <v>1376.01</v>
      </c>
      <c r="L333">
        <v>8.0589999999999993</v>
      </c>
      <c r="M333">
        <v>1203.548</v>
      </c>
      <c r="N333">
        <v>172.46199999999999</v>
      </c>
      <c r="O333">
        <v>37.625999999999998</v>
      </c>
      <c r="P333">
        <v>92.424000000000007</v>
      </c>
      <c r="Q333">
        <v>74.399000000000001</v>
      </c>
      <c r="R333">
        <v>27.922000000000001</v>
      </c>
      <c r="S333">
        <v>836.11300000000006</v>
      </c>
      <c r="T333">
        <v>1277.9469999999999</v>
      </c>
      <c r="U333">
        <v>1497.9570000000001</v>
      </c>
      <c r="V333">
        <v>1028.3489999999999</v>
      </c>
      <c r="W333">
        <v>764.79700000000003</v>
      </c>
      <c r="X333">
        <v>645.78499999999997</v>
      </c>
      <c r="Y333">
        <v>9.4313788713561206E-2</v>
      </c>
      <c r="Z333">
        <v>984.22199999999998</v>
      </c>
      <c r="AA333" t="s">
        <v>53</v>
      </c>
      <c r="AB333">
        <v>2</v>
      </c>
      <c r="AC333" t="s">
        <v>33</v>
      </c>
    </row>
    <row r="334" spans="1:29" x14ac:dyDescent="0.3">
      <c r="A334">
        <v>193</v>
      </c>
      <c r="B334" t="s">
        <v>271</v>
      </c>
      <c r="C334" t="s">
        <v>55</v>
      </c>
      <c r="D334" s="1">
        <v>37287</v>
      </c>
      <c r="E334">
        <v>0</v>
      </c>
      <c r="F334" t="s">
        <v>272</v>
      </c>
      <c r="G334">
        <v>-22.126000000000001</v>
      </c>
      <c r="H334">
        <v>-5.2960000000000003</v>
      </c>
      <c r="I334">
        <v>12.462</v>
      </c>
      <c r="J334">
        <v>37.482999999999997</v>
      </c>
      <c r="K334">
        <v>620.89599999999996</v>
      </c>
      <c r="L334">
        <v>554.34500000000003</v>
      </c>
      <c r="M334">
        <v>1324.796</v>
      </c>
      <c r="N334">
        <v>-703.9</v>
      </c>
      <c r="O334">
        <v>-19.628</v>
      </c>
      <c r="P334">
        <v>741.38300000000004</v>
      </c>
      <c r="Q334">
        <v>0</v>
      </c>
      <c r="R334">
        <v>12.202</v>
      </c>
      <c r="S334">
        <v>1350.396</v>
      </c>
      <c r="T334">
        <v>1324.796</v>
      </c>
      <c r="U334">
        <v>1362.279</v>
      </c>
      <c r="V334">
        <v>1410.0039999999999</v>
      </c>
      <c r="W334">
        <v>1252.442</v>
      </c>
      <c r="X334">
        <v>1257.0619999999999</v>
      </c>
      <c r="Y334">
        <v>2.7514921686379999E-2</v>
      </c>
      <c r="Z334">
        <v>1320.4467500000001</v>
      </c>
      <c r="AA334" t="s">
        <v>53</v>
      </c>
      <c r="AB334">
        <v>2</v>
      </c>
      <c r="AC334" t="s">
        <v>33</v>
      </c>
    </row>
    <row r="335" spans="1:29" x14ac:dyDescent="0.3">
      <c r="A335">
        <v>197</v>
      </c>
      <c r="B335" t="s">
        <v>275</v>
      </c>
      <c r="C335" t="s">
        <v>96</v>
      </c>
      <c r="D335" s="1">
        <v>41466</v>
      </c>
      <c r="E335">
        <v>5</v>
      </c>
      <c r="F335" t="s">
        <v>276</v>
      </c>
      <c r="G335">
        <v>-60.985999999999997</v>
      </c>
      <c r="H335">
        <v>-30.757000000000001</v>
      </c>
      <c r="I335">
        <v>1594.944</v>
      </c>
      <c r="J335">
        <v>64.727000000000004</v>
      </c>
      <c r="K335">
        <v>953.75900000000001</v>
      </c>
      <c r="L335">
        <v>0</v>
      </c>
      <c r="M335">
        <v>1226.3979999999999</v>
      </c>
      <c r="N335">
        <v>-272.63900000000001</v>
      </c>
      <c r="O335">
        <v>-44.093000000000004</v>
      </c>
      <c r="P335">
        <v>355.33699999999999</v>
      </c>
      <c r="Q335">
        <v>0</v>
      </c>
      <c r="R335">
        <v>13.336</v>
      </c>
      <c r="S335">
        <v>1165.7380000000001</v>
      </c>
      <c r="T335">
        <v>1226.3979999999999</v>
      </c>
      <c r="U335">
        <v>1317.5719999999999</v>
      </c>
      <c r="V335">
        <v>1309.335</v>
      </c>
      <c r="W335">
        <v>88.281999999999996</v>
      </c>
      <c r="X335">
        <v>87.069000000000003</v>
      </c>
      <c r="Y335">
        <v>4.9125968068538202E-2</v>
      </c>
      <c r="Z335">
        <v>700.56449999999995</v>
      </c>
      <c r="AA335" t="s">
        <v>53</v>
      </c>
      <c r="AB335">
        <v>2</v>
      </c>
      <c r="AC335" t="s">
        <v>33</v>
      </c>
    </row>
    <row r="336" spans="1:29" x14ac:dyDescent="0.3">
      <c r="A336">
        <v>210</v>
      </c>
      <c r="B336" t="s">
        <v>289</v>
      </c>
      <c r="C336" t="s">
        <v>96</v>
      </c>
      <c r="D336" s="1">
        <v>40568</v>
      </c>
      <c r="E336">
        <v>13</v>
      </c>
      <c r="F336" t="s">
        <v>290</v>
      </c>
      <c r="G336">
        <v>-1426.98</v>
      </c>
      <c r="H336">
        <v>-1362.713</v>
      </c>
      <c r="I336">
        <v>3025.5479999999998</v>
      </c>
      <c r="J336">
        <v>-1320.308</v>
      </c>
      <c r="K336">
        <v>1073.9580000000001</v>
      </c>
      <c r="L336">
        <v>0</v>
      </c>
      <c r="M336">
        <v>2209.1309999999999</v>
      </c>
      <c r="N336">
        <v>-1135.173</v>
      </c>
      <c r="O336">
        <v>-1410.633</v>
      </c>
      <c r="P336">
        <v>59.917999999999999</v>
      </c>
      <c r="Q336">
        <v>189.08099999999999</v>
      </c>
      <c r="R336">
        <v>47.923000000000002</v>
      </c>
      <c r="S336">
        <v>1366.2560000000001</v>
      </c>
      <c r="T336">
        <v>2398.212</v>
      </c>
      <c r="U336">
        <v>1152.576</v>
      </c>
      <c r="V336">
        <v>1558.1869999999999</v>
      </c>
      <c r="W336">
        <v>950.28700000000003</v>
      </c>
      <c r="X336">
        <v>477.00200000000001</v>
      </c>
      <c r="Y336">
        <v>-1.1455279304792001</v>
      </c>
      <c r="Z336">
        <v>1034.5129999999999</v>
      </c>
      <c r="AA336" t="s">
        <v>53</v>
      </c>
      <c r="AB336">
        <v>2</v>
      </c>
      <c r="AC336" t="s">
        <v>33</v>
      </c>
    </row>
    <row r="337" spans="1:29" x14ac:dyDescent="0.3">
      <c r="A337">
        <v>216</v>
      </c>
      <c r="B337" t="s">
        <v>297</v>
      </c>
      <c r="C337" t="s">
        <v>55</v>
      </c>
      <c r="D337" s="1">
        <v>36279</v>
      </c>
      <c r="E337">
        <v>0</v>
      </c>
      <c r="F337" t="s">
        <v>298</v>
      </c>
      <c r="G337">
        <v>0</v>
      </c>
      <c r="H337">
        <v>0</v>
      </c>
      <c r="I337">
        <v>12</v>
      </c>
      <c r="J337">
        <v>-1328.489</v>
      </c>
      <c r="K337">
        <v>1131.394</v>
      </c>
      <c r="L337">
        <v>564.79999999999995</v>
      </c>
      <c r="M337">
        <v>2459.8829999999998</v>
      </c>
      <c r="N337">
        <v>-1328.489</v>
      </c>
      <c r="O337">
        <v>0</v>
      </c>
      <c r="P337">
        <v>0</v>
      </c>
      <c r="Q337">
        <v>0</v>
      </c>
      <c r="R337">
        <v>0</v>
      </c>
      <c r="S337">
        <v>2459.8829999999998</v>
      </c>
      <c r="T337">
        <v>2459.8829999999998</v>
      </c>
      <c r="U337">
        <v>1131.394</v>
      </c>
      <c r="V337">
        <v>1131.232</v>
      </c>
      <c r="W337">
        <v>2769.473</v>
      </c>
      <c r="X337">
        <v>2769.0250000000001</v>
      </c>
      <c r="Y337">
        <v>-1.1742054492069101</v>
      </c>
      <c r="Z337">
        <v>1950.2809999999999</v>
      </c>
      <c r="AA337" t="s">
        <v>53</v>
      </c>
      <c r="AB337">
        <v>2</v>
      </c>
      <c r="AC337" t="s">
        <v>33</v>
      </c>
    </row>
    <row r="338" spans="1:29" x14ac:dyDescent="0.3">
      <c r="A338">
        <v>226</v>
      </c>
      <c r="B338" t="s">
        <v>311</v>
      </c>
      <c r="C338" t="s">
        <v>96</v>
      </c>
      <c r="D338" s="1">
        <v>34281</v>
      </c>
      <c r="E338">
        <v>3</v>
      </c>
      <c r="F338" t="s">
        <v>312</v>
      </c>
      <c r="G338">
        <v>-1436.17</v>
      </c>
      <c r="H338">
        <v>-1426.203</v>
      </c>
      <c r="I338">
        <v>184.285</v>
      </c>
      <c r="J338">
        <v>-488.96499999999997</v>
      </c>
      <c r="K338">
        <v>995.82</v>
      </c>
      <c r="L338">
        <v>758.346</v>
      </c>
      <c r="M338">
        <v>641.55100000000004</v>
      </c>
      <c r="N338">
        <v>354.26900000000001</v>
      </c>
      <c r="O338">
        <v>-1434.4929999999999</v>
      </c>
      <c r="P338">
        <v>17.86</v>
      </c>
      <c r="Q338">
        <v>0</v>
      </c>
      <c r="R338">
        <v>8.2899999999999991</v>
      </c>
      <c r="S338">
        <v>540.83199999999999</v>
      </c>
      <c r="T338">
        <v>641.55100000000004</v>
      </c>
      <c r="U338">
        <v>1014.436</v>
      </c>
      <c r="V338">
        <v>1474.3019999999999</v>
      </c>
      <c r="W338">
        <v>1750.6210000000001</v>
      </c>
      <c r="X338">
        <v>1902.338</v>
      </c>
      <c r="Y338">
        <v>-0.48200675054907399</v>
      </c>
      <c r="Z338">
        <v>1535.42425</v>
      </c>
      <c r="AA338" t="s">
        <v>53</v>
      </c>
      <c r="AB338">
        <v>2</v>
      </c>
      <c r="AC338" t="s">
        <v>33</v>
      </c>
    </row>
    <row r="339" spans="1:29" x14ac:dyDescent="0.3">
      <c r="A339">
        <v>243</v>
      </c>
      <c r="B339" t="s">
        <v>329</v>
      </c>
      <c r="C339" t="s">
        <v>162</v>
      </c>
      <c r="D339" s="1">
        <v>41887</v>
      </c>
      <c r="E339">
        <v>10</v>
      </c>
      <c r="F339" t="s">
        <v>330</v>
      </c>
      <c r="G339">
        <v>-526.81200000000001</v>
      </c>
      <c r="H339">
        <v>-516.03599999999994</v>
      </c>
      <c r="I339">
        <v>413.56400000000002</v>
      </c>
      <c r="J339">
        <v>-525.77700000000004</v>
      </c>
      <c r="K339">
        <v>785.95899999999995</v>
      </c>
      <c r="L339">
        <v>0</v>
      </c>
      <c r="M339">
        <v>1231.33</v>
      </c>
      <c r="N339">
        <v>-445.37099999999998</v>
      </c>
      <c r="O339">
        <v>-520.63</v>
      </c>
      <c r="P339">
        <v>41.874000000000002</v>
      </c>
      <c r="Q339">
        <v>79.525000000000006</v>
      </c>
      <c r="R339">
        <v>4.6139999999999999</v>
      </c>
      <c r="S339">
        <v>1107.703</v>
      </c>
      <c r="T339">
        <v>1310.855</v>
      </c>
      <c r="U339">
        <v>828.80799999999999</v>
      </c>
      <c r="V339">
        <v>1151.3409999999999</v>
      </c>
      <c r="W339">
        <v>744.41300000000001</v>
      </c>
      <c r="X339">
        <v>700.75599999999997</v>
      </c>
      <c r="Y339">
        <v>-0.63437732261271595</v>
      </c>
      <c r="Z339">
        <v>856.32950000000005</v>
      </c>
      <c r="AA339" t="s">
        <v>53</v>
      </c>
      <c r="AB339">
        <v>2</v>
      </c>
      <c r="AC339" t="s">
        <v>33</v>
      </c>
    </row>
    <row r="340" spans="1:29" x14ac:dyDescent="0.3">
      <c r="A340">
        <v>257</v>
      </c>
      <c r="B340" t="s">
        <v>343</v>
      </c>
      <c r="C340" t="s">
        <v>55</v>
      </c>
      <c r="D340" s="1">
        <v>29759</v>
      </c>
      <c r="E340">
        <v>1</v>
      </c>
      <c r="F340" t="s">
        <v>344</v>
      </c>
      <c r="G340">
        <v>-10.145</v>
      </c>
      <c r="H340">
        <v>9.5370000000000008</v>
      </c>
      <c r="I340">
        <v>54.496000000000002</v>
      </c>
      <c r="J340">
        <v>77.120999999999995</v>
      </c>
      <c r="K340">
        <v>159.40700000000001</v>
      </c>
      <c r="L340">
        <v>53.804000000000002</v>
      </c>
      <c r="M340">
        <v>463.89800000000002</v>
      </c>
      <c r="N340">
        <v>-304.49099999999999</v>
      </c>
      <c r="O340">
        <v>1.353</v>
      </c>
      <c r="P340">
        <v>560.22699999999998</v>
      </c>
      <c r="Q340">
        <v>0</v>
      </c>
      <c r="R340">
        <v>8.1839999999999993</v>
      </c>
      <c r="S340">
        <v>502.76</v>
      </c>
      <c r="T340">
        <v>463.89800000000002</v>
      </c>
      <c r="U340">
        <v>719.86199999999997</v>
      </c>
      <c r="V340">
        <v>766.27300000000002</v>
      </c>
      <c r="W340">
        <v>917.34699999999998</v>
      </c>
      <c r="X340">
        <v>988.54399999999998</v>
      </c>
      <c r="Y340">
        <v>0.107133033831484</v>
      </c>
      <c r="Z340">
        <v>848.00649999999996</v>
      </c>
      <c r="AA340" t="s">
        <v>53</v>
      </c>
      <c r="AB340">
        <v>2</v>
      </c>
      <c r="AC340" t="s">
        <v>33</v>
      </c>
    </row>
    <row r="341" spans="1:29" x14ac:dyDescent="0.3">
      <c r="A341">
        <v>261</v>
      </c>
      <c r="B341" t="s">
        <v>347</v>
      </c>
      <c r="C341" t="s">
        <v>96</v>
      </c>
      <c r="D341" s="1">
        <v>30942</v>
      </c>
      <c r="E341">
        <v>0</v>
      </c>
      <c r="F341" t="s">
        <v>348</v>
      </c>
      <c r="G341">
        <v>-44.140999999999998</v>
      </c>
      <c r="H341">
        <v>-23.82</v>
      </c>
      <c r="I341">
        <v>110.5</v>
      </c>
      <c r="J341">
        <v>-2454.415</v>
      </c>
      <c r="K341">
        <v>659.00800000000004</v>
      </c>
      <c r="L341">
        <v>552.35</v>
      </c>
      <c r="M341">
        <v>3142.6410000000001</v>
      </c>
      <c r="N341">
        <v>-2483.6329999999998</v>
      </c>
      <c r="O341">
        <v>-44.140999999999998</v>
      </c>
      <c r="P341">
        <v>29.218</v>
      </c>
      <c r="Q341">
        <v>0</v>
      </c>
      <c r="R341">
        <v>20.321000000000002</v>
      </c>
      <c r="S341">
        <v>3088.944</v>
      </c>
      <c r="T341">
        <v>3142.6410000000001</v>
      </c>
      <c r="U341">
        <v>688.226</v>
      </c>
      <c r="V341">
        <v>767.93600000000004</v>
      </c>
      <c r="W341">
        <v>773.21400000000006</v>
      </c>
      <c r="X341">
        <v>2004.481</v>
      </c>
      <c r="Y341">
        <v>-3.5662921772789802</v>
      </c>
      <c r="Z341">
        <v>1058.46425</v>
      </c>
      <c r="AA341" t="s">
        <v>53</v>
      </c>
      <c r="AB341">
        <v>2</v>
      </c>
      <c r="AC341" t="s">
        <v>33</v>
      </c>
    </row>
    <row r="342" spans="1:29" x14ac:dyDescent="0.3">
      <c r="A342">
        <v>270</v>
      </c>
      <c r="B342" t="s">
        <v>358</v>
      </c>
      <c r="C342" t="s">
        <v>55</v>
      </c>
      <c r="D342" s="1">
        <v>24759</v>
      </c>
      <c r="E342">
        <v>0</v>
      </c>
      <c r="F342" t="s">
        <v>359</v>
      </c>
      <c r="G342">
        <v>-38.613</v>
      </c>
      <c r="H342">
        <v>-36.377000000000002</v>
      </c>
      <c r="I342">
        <v>182.86</v>
      </c>
      <c r="J342">
        <v>-1867.8810000000001</v>
      </c>
      <c r="K342">
        <v>618.82000000000005</v>
      </c>
      <c r="L342">
        <v>396.30500000000001</v>
      </c>
      <c r="M342">
        <v>1941.8240000000001</v>
      </c>
      <c r="N342">
        <v>-1323.0039999999999</v>
      </c>
      <c r="O342">
        <v>-38.613</v>
      </c>
      <c r="P342">
        <v>1E-3</v>
      </c>
      <c r="Q342">
        <v>544.87800000000004</v>
      </c>
      <c r="R342">
        <v>1.597</v>
      </c>
      <c r="S342">
        <v>2445.13</v>
      </c>
      <c r="T342">
        <v>2486.7020000000002</v>
      </c>
      <c r="U342">
        <v>618.82100000000003</v>
      </c>
      <c r="V342">
        <v>615.86300000000006</v>
      </c>
      <c r="W342">
        <v>2242.2240000000002</v>
      </c>
      <c r="X342">
        <v>2629.4340000000002</v>
      </c>
      <c r="Y342">
        <v>-3.0184512161028798</v>
      </c>
      <c r="Z342">
        <v>1526.5854999999999</v>
      </c>
      <c r="AA342" t="s">
        <v>53</v>
      </c>
      <c r="AB342">
        <v>2</v>
      </c>
      <c r="AC342" t="s">
        <v>33</v>
      </c>
    </row>
    <row r="343" spans="1:29" x14ac:dyDescent="0.3">
      <c r="A343">
        <v>281</v>
      </c>
      <c r="B343" t="s">
        <v>368</v>
      </c>
      <c r="C343" t="s">
        <v>96</v>
      </c>
      <c r="D343" s="1">
        <v>40263</v>
      </c>
      <c r="E343">
        <v>6</v>
      </c>
      <c r="F343" t="s">
        <v>369</v>
      </c>
      <c r="G343">
        <v>-1913.894</v>
      </c>
      <c r="H343">
        <v>-1713.3679999999999</v>
      </c>
      <c r="I343">
        <v>399.5</v>
      </c>
      <c r="J343">
        <v>-1898.694</v>
      </c>
      <c r="K343">
        <v>86.046999999999997</v>
      </c>
      <c r="L343">
        <v>26.116</v>
      </c>
      <c r="M343">
        <v>1868.0619999999999</v>
      </c>
      <c r="N343">
        <v>-1782.0150000000001</v>
      </c>
      <c r="O343">
        <v>-1772.86</v>
      </c>
      <c r="P343">
        <v>446.74599999999998</v>
      </c>
      <c r="Q343">
        <v>467.03300000000002</v>
      </c>
      <c r="R343">
        <v>59.491999999999997</v>
      </c>
      <c r="S343">
        <v>2022.694</v>
      </c>
      <c r="T343">
        <v>2335.0949999999998</v>
      </c>
      <c r="U343">
        <v>532.79300000000001</v>
      </c>
      <c r="V343">
        <v>2131.7649999999999</v>
      </c>
      <c r="W343">
        <v>2057.616</v>
      </c>
      <c r="X343">
        <v>1768.415</v>
      </c>
      <c r="Y343">
        <v>-3.5636616847443601</v>
      </c>
      <c r="Z343">
        <v>1622.64725</v>
      </c>
      <c r="AA343" t="s">
        <v>53</v>
      </c>
      <c r="AB343">
        <v>2</v>
      </c>
      <c r="AC343" t="s">
        <v>33</v>
      </c>
    </row>
    <row r="344" spans="1:29" x14ac:dyDescent="0.3">
      <c r="A344">
        <v>277</v>
      </c>
      <c r="B344" t="s">
        <v>364</v>
      </c>
      <c r="C344" t="s">
        <v>96</v>
      </c>
      <c r="D344" s="1">
        <v>40886</v>
      </c>
      <c r="E344">
        <v>15</v>
      </c>
      <c r="F344" t="s">
        <v>365</v>
      </c>
      <c r="G344">
        <v>-385.44</v>
      </c>
      <c r="H344">
        <v>-376.34899999999999</v>
      </c>
      <c r="I344">
        <v>655.57399999999996</v>
      </c>
      <c r="J344">
        <v>-288.59399999999999</v>
      </c>
      <c r="K344">
        <v>561.21299999999997</v>
      </c>
      <c r="L344">
        <v>28.285</v>
      </c>
      <c r="M344">
        <v>834.50699999999995</v>
      </c>
      <c r="N344">
        <v>-273.29399999999998</v>
      </c>
      <c r="O344">
        <v>-383.23200000000003</v>
      </c>
      <c r="P344">
        <v>10.458</v>
      </c>
      <c r="Q344">
        <v>0</v>
      </c>
      <c r="R344">
        <v>7.4909999999999997</v>
      </c>
      <c r="S344">
        <v>328.37799999999999</v>
      </c>
      <c r="T344">
        <v>834.50699999999995</v>
      </c>
      <c r="U344">
        <v>572.31200000000001</v>
      </c>
      <c r="V344">
        <v>384.05700000000002</v>
      </c>
      <c r="W344">
        <v>87.463999999999999</v>
      </c>
      <c r="X344">
        <v>47.250999999999998</v>
      </c>
      <c r="Y344">
        <v>-0.50425991417268901</v>
      </c>
      <c r="Z344">
        <v>272.77100000000002</v>
      </c>
      <c r="AA344" t="s">
        <v>53</v>
      </c>
      <c r="AB344">
        <v>1</v>
      </c>
      <c r="AC344" t="s">
        <v>33</v>
      </c>
    </row>
    <row r="345" spans="1:29" x14ac:dyDescent="0.3">
      <c r="A345">
        <v>285</v>
      </c>
      <c r="B345" t="s">
        <v>372</v>
      </c>
      <c r="C345" t="s">
        <v>96</v>
      </c>
      <c r="D345" s="1">
        <v>42412</v>
      </c>
      <c r="E345">
        <v>4</v>
      </c>
      <c r="F345" t="s">
        <v>373</v>
      </c>
      <c r="G345">
        <v>-228.06700000000001</v>
      </c>
      <c r="H345">
        <v>-214.42599999999999</v>
      </c>
      <c r="I345">
        <v>692.88400000000001</v>
      </c>
      <c r="J345">
        <v>-173.47800000000001</v>
      </c>
      <c r="K345">
        <v>491.65199999999999</v>
      </c>
      <c r="L345">
        <v>133.19999999999999</v>
      </c>
      <c r="M345">
        <v>667.41800000000001</v>
      </c>
      <c r="N345">
        <v>-175.76599999999999</v>
      </c>
      <c r="O345">
        <v>-226.31100000000001</v>
      </c>
      <c r="P345">
        <v>2.585</v>
      </c>
      <c r="Q345">
        <v>0</v>
      </c>
      <c r="R345">
        <v>11.885</v>
      </c>
      <c r="S345">
        <v>692.76700000000005</v>
      </c>
      <c r="T345">
        <v>667.41800000000001</v>
      </c>
      <c r="U345">
        <v>494.23700000000002</v>
      </c>
      <c r="V345">
        <v>764.423</v>
      </c>
      <c r="W345">
        <v>906.65200000000004</v>
      </c>
      <c r="X345">
        <v>632.26099999999997</v>
      </c>
      <c r="Y345">
        <v>-0.35100164495980701</v>
      </c>
      <c r="Z345">
        <v>699.39324999999997</v>
      </c>
      <c r="AA345" t="s">
        <v>53</v>
      </c>
      <c r="AB345">
        <v>1</v>
      </c>
      <c r="AC345" t="s">
        <v>33</v>
      </c>
    </row>
    <row r="346" spans="1:29" x14ac:dyDescent="0.3">
      <c r="A346">
        <v>292</v>
      </c>
      <c r="B346" t="s">
        <v>376</v>
      </c>
      <c r="C346" t="s">
        <v>51</v>
      </c>
      <c r="D346" s="1">
        <v>38122</v>
      </c>
      <c r="E346">
        <v>0</v>
      </c>
      <c r="F346" t="s">
        <v>377</v>
      </c>
      <c r="G346">
        <v>5.9669999999999996</v>
      </c>
      <c r="H346">
        <v>6.3959999999999999</v>
      </c>
      <c r="I346">
        <v>7.1360000000000001</v>
      </c>
      <c r="J346">
        <v>-63.435000000000002</v>
      </c>
      <c r="K346">
        <v>462.20100000000002</v>
      </c>
      <c r="L346">
        <v>399</v>
      </c>
      <c r="M346">
        <v>362.35399999999998</v>
      </c>
      <c r="N346">
        <v>99.846999999999994</v>
      </c>
      <c r="O346">
        <v>6.0949999999999998</v>
      </c>
      <c r="P346">
        <v>0.95599999999999996</v>
      </c>
      <c r="Q346">
        <v>164.00399999999999</v>
      </c>
      <c r="R346">
        <v>0</v>
      </c>
      <c r="S346">
        <v>524.35299999999995</v>
      </c>
      <c r="T346">
        <v>526.35799999999995</v>
      </c>
      <c r="U346">
        <v>463.15699999999998</v>
      </c>
      <c r="V346">
        <v>454.95100000000002</v>
      </c>
      <c r="W346">
        <v>453.26</v>
      </c>
      <c r="X346">
        <v>443.476</v>
      </c>
      <c r="Y346">
        <v>-0.13696219640424301</v>
      </c>
      <c r="Z346">
        <v>453.71100000000001</v>
      </c>
      <c r="AA346" t="s">
        <v>53</v>
      </c>
      <c r="AB346">
        <v>1</v>
      </c>
      <c r="AC346" t="s">
        <v>33</v>
      </c>
    </row>
    <row r="347" spans="1:29" x14ac:dyDescent="0.3">
      <c r="A347">
        <v>296</v>
      </c>
      <c r="B347" t="s">
        <v>380</v>
      </c>
      <c r="C347" t="s">
        <v>55</v>
      </c>
      <c r="D347" s="1">
        <v>41326</v>
      </c>
      <c r="E347">
        <v>6</v>
      </c>
      <c r="F347" t="s">
        <v>381</v>
      </c>
      <c r="G347">
        <v>-24.734999999999999</v>
      </c>
      <c r="H347">
        <v>-10.111000000000001</v>
      </c>
      <c r="I347">
        <v>261.84399999999999</v>
      </c>
      <c r="J347">
        <v>15.379</v>
      </c>
      <c r="K347">
        <v>363.286</v>
      </c>
      <c r="L347">
        <v>158.05699999999999</v>
      </c>
      <c r="M347">
        <v>341.334</v>
      </c>
      <c r="N347">
        <v>21.952000000000002</v>
      </c>
      <c r="O347">
        <v>-17.239999999999998</v>
      </c>
      <c r="P347">
        <v>93.028000000000006</v>
      </c>
      <c r="Q347">
        <v>84.533000000000001</v>
      </c>
      <c r="R347">
        <v>7.1289999999999996</v>
      </c>
      <c r="S347">
        <v>305.995</v>
      </c>
      <c r="T347">
        <v>425.86700000000002</v>
      </c>
      <c r="U347">
        <v>456.31400000000002</v>
      </c>
      <c r="V347">
        <v>364.44499999999999</v>
      </c>
      <c r="W347">
        <v>263.596</v>
      </c>
      <c r="X347">
        <v>288.286</v>
      </c>
      <c r="Y347">
        <v>3.3702669652914401E-2</v>
      </c>
      <c r="Z347">
        <v>343.16025000000002</v>
      </c>
      <c r="AA347" t="s">
        <v>53</v>
      </c>
      <c r="AB347">
        <v>1</v>
      </c>
      <c r="AC347" t="s">
        <v>33</v>
      </c>
    </row>
    <row r="348" spans="1:29" x14ac:dyDescent="0.3">
      <c r="A348">
        <v>307</v>
      </c>
      <c r="B348" t="s">
        <v>394</v>
      </c>
      <c r="C348" t="s">
        <v>55</v>
      </c>
      <c r="D348" s="1">
        <v>39226</v>
      </c>
      <c r="E348">
        <v>2</v>
      </c>
      <c r="F348" t="s">
        <v>395</v>
      </c>
      <c r="G348">
        <v>-16.167999999999999</v>
      </c>
      <c r="H348">
        <v>1.853</v>
      </c>
      <c r="I348">
        <v>86.823999999999998</v>
      </c>
      <c r="J348">
        <v>-14.778</v>
      </c>
      <c r="K348">
        <v>392.26</v>
      </c>
      <c r="L348">
        <v>0</v>
      </c>
      <c r="M348">
        <v>389.55200000000002</v>
      </c>
      <c r="N348">
        <v>2.7080000000000002</v>
      </c>
      <c r="O348">
        <v>-13.694000000000001</v>
      </c>
      <c r="P348">
        <v>6.9539999999999997</v>
      </c>
      <c r="Q348">
        <v>17.09</v>
      </c>
      <c r="R348">
        <v>15.547000000000001</v>
      </c>
      <c r="S348">
        <v>367.95299999999997</v>
      </c>
      <c r="T348">
        <v>406.642</v>
      </c>
      <c r="U348">
        <v>400.11799999999999</v>
      </c>
      <c r="V348">
        <v>393.74900000000002</v>
      </c>
      <c r="W348">
        <v>420.39499999999998</v>
      </c>
      <c r="X348">
        <v>393.49900000000002</v>
      </c>
      <c r="Y348">
        <v>-3.6934104439190402E-2</v>
      </c>
      <c r="Z348">
        <v>401.94024999999999</v>
      </c>
      <c r="AA348" t="s">
        <v>53</v>
      </c>
      <c r="AB348">
        <v>1</v>
      </c>
      <c r="AC348" t="s">
        <v>33</v>
      </c>
    </row>
    <row r="349" spans="1:29" x14ac:dyDescent="0.3">
      <c r="A349">
        <v>321</v>
      </c>
      <c r="B349" t="s">
        <v>408</v>
      </c>
      <c r="C349" t="s">
        <v>96</v>
      </c>
      <c r="D349" s="1">
        <v>39749</v>
      </c>
      <c r="E349">
        <v>3</v>
      </c>
      <c r="F349" t="s">
        <v>409</v>
      </c>
      <c r="G349">
        <v>-42.612000000000002</v>
      </c>
      <c r="H349">
        <v>-42.521000000000001</v>
      </c>
      <c r="I349">
        <v>25.055</v>
      </c>
      <c r="J349">
        <v>-45.941000000000003</v>
      </c>
      <c r="K349">
        <v>229.261</v>
      </c>
      <c r="L349">
        <v>128.99600000000001</v>
      </c>
      <c r="M349">
        <v>395.19900000000001</v>
      </c>
      <c r="N349">
        <v>-165.93799999999999</v>
      </c>
      <c r="O349">
        <v>-42.612000000000002</v>
      </c>
      <c r="P349">
        <v>120</v>
      </c>
      <c r="Q349">
        <v>0</v>
      </c>
      <c r="R349">
        <v>9.0999999999999998E-2</v>
      </c>
      <c r="S349">
        <v>407.43900000000002</v>
      </c>
      <c r="T349">
        <v>395.19900000000001</v>
      </c>
      <c r="U349">
        <v>349.26100000000002</v>
      </c>
      <c r="V349">
        <v>404.22500000000002</v>
      </c>
      <c r="W349">
        <v>302.38600000000002</v>
      </c>
      <c r="X349">
        <v>51.731000000000002</v>
      </c>
      <c r="Y349">
        <v>-0.131537732526678</v>
      </c>
      <c r="Z349">
        <v>276.90075000000002</v>
      </c>
      <c r="AA349" t="s">
        <v>53</v>
      </c>
      <c r="AB349">
        <v>1</v>
      </c>
      <c r="AC349" t="s">
        <v>33</v>
      </c>
    </row>
    <row r="350" spans="1:29" x14ac:dyDescent="0.3">
      <c r="A350">
        <v>326</v>
      </c>
      <c r="B350" t="s">
        <v>412</v>
      </c>
      <c r="C350" t="s">
        <v>96</v>
      </c>
      <c r="D350" s="1">
        <v>40150</v>
      </c>
      <c r="E350">
        <v>1</v>
      </c>
      <c r="F350" t="s">
        <v>413</v>
      </c>
      <c r="G350">
        <v>-240.31</v>
      </c>
      <c r="H350">
        <v>-228.15</v>
      </c>
      <c r="I350">
        <v>158.69399999999999</v>
      </c>
      <c r="J350">
        <v>-163.82300000000001</v>
      </c>
      <c r="K350">
        <v>106.217</v>
      </c>
      <c r="L350">
        <v>19.864999999999998</v>
      </c>
      <c r="M350">
        <v>295.34500000000003</v>
      </c>
      <c r="N350">
        <v>-189.12799999999999</v>
      </c>
      <c r="O350">
        <v>-234.80199999999999</v>
      </c>
      <c r="P350">
        <v>216.23500000000001</v>
      </c>
      <c r="Q350">
        <v>190.65</v>
      </c>
      <c r="R350">
        <v>6.6520000000000001</v>
      </c>
      <c r="S350">
        <v>431.19799999999998</v>
      </c>
      <c r="T350">
        <v>485.995</v>
      </c>
      <c r="U350">
        <v>322.452</v>
      </c>
      <c r="V350">
        <v>533.66700000000003</v>
      </c>
      <c r="W350">
        <v>528.11900000000003</v>
      </c>
      <c r="X350">
        <v>515.822</v>
      </c>
      <c r="Y350">
        <v>-0.50805391190006599</v>
      </c>
      <c r="Z350">
        <v>475.01499999999999</v>
      </c>
      <c r="AA350" t="s">
        <v>53</v>
      </c>
      <c r="AB350">
        <v>1</v>
      </c>
      <c r="AC350" t="s">
        <v>33</v>
      </c>
    </row>
    <row r="351" spans="1:29" x14ac:dyDescent="0.3">
      <c r="A351">
        <v>332</v>
      </c>
      <c r="B351" t="s">
        <v>420</v>
      </c>
      <c r="C351" t="s">
        <v>55</v>
      </c>
      <c r="D351" s="1">
        <v>41435</v>
      </c>
      <c r="E351">
        <v>8</v>
      </c>
      <c r="F351" t="s">
        <v>421</v>
      </c>
      <c r="G351">
        <v>-247.48</v>
      </c>
      <c r="H351">
        <v>-247.09100000000001</v>
      </c>
      <c r="I351">
        <v>262.30200000000002</v>
      </c>
      <c r="J351">
        <v>-192.07499999999999</v>
      </c>
      <c r="K351">
        <v>278.29500000000002</v>
      </c>
      <c r="L351">
        <v>135.53299999999999</v>
      </c>
      <c r="M351">
        <v>482.05</v>
      </c>
      <c r="N351">
        <v>-203.755</v>
      </c>
      <c r="O351">
        <v>-247.48</v>
      </c>
      <c r="P351">
        <v>17.414999999999999</v>
      </c>
      <c r="Q351">
        <v>0</v>
      </c>
      <c r="R351">
        <v>0.38900000000000001</v>
      </c>
      <c r="S351">
        <v>444.61099999999999</v>
      </c>
      <c r="T351">
        <v>482.05</v>
      </c>
      <c r="U351">
        <v>295.70999999999998</v>
      </c>
      <c r="V351">
        <v>554.78099999999995</v>
      </c>
      <c r="W351">
        <v>271.12</v>
      </c>
      <c r="X351">
        <v>446.63200000000001</v>
      </c>
      <c r="Y351">
        <v>-0.64953839910723299</v>
      </c>
      <c r="Z351">
        <v>392.06074999999998</v>
      </c>
      <c r="AA351" t="s">
        <v>53</v>
      </c>
      <c r="AB351">
        <v>1</v>
      </c>
      <c r="AC351" t="s">
        <v>33</v>
      </c>
    </row>
    <row r="352" spans="1:29" x14ac:dyDescent="0.3">
      <c r="A352">
        <v>338</v>
      </c>
      <c r="B352" t="s">
        <v>426</v>
      </c>
      <c r="C352" t="s">
        <v>55</v>
      </c>
      <c r="D352" s="1">
        <v>41718</v>
      </c>
      <c r="E352">
        <v>0</v>
      </c>
      <c r="F352" t="s">
        <v>427</v>
      </c>
      <c r="G352">
        <v>29.86</v>
      </c>
      <c r="H352">
        <v>51.057000000000002</v>
      </c>
      <c r="I352">
        <v>350</v>
      </c>
      <c r="J352">
        <v>57.048000000000002</v>
      </c>
      <c r="K352">
        <v>273.63099999999997</v>
      </c>
      <c r="L352">
        <v>0</v>
      </c>
      <c r="M352">
        <v>219.42599999999999</v>
      </c>
      <c r="N352">
        <v>54.204999999999998</v>
      </c>
      <c r="O352">
        <v>31.831</v>
      </c>
      <c r="P352">
        <v>2.839</v>
      </c>
      <c r="Q352">
        <v>0</v>
      </c>
      <c r="R352">
        <v>0</v>
      </c>
      <c r="S352">
        <v>221.69200000000001</v>
      </c>
      <c r="T352">
        <v>219.42599999999999</v>
      </c>
      <c r="U352">
        <v>276.47399999999999</v>
      </c>
      <c r="V352">
        <v>348.87900000000002</v>
      </c>
      <c r="W352">
        <v>209.10300000000001</v>
      </c>
      <c r="X352">
        <v>183.25399999999999</v>
      </c>
      <c r="Y352">
        <v>0.20634128344799199</v>
      </c>
      <c r="Z352">
        <v>254.42750000000001</v>
      </c>
      <c r="AA352" t="s">
        <v>53</v>
      </c>
      <c r="AB352">
        <v>1</v>
      </c>
      <c r="AC352" t="s">
        <v>33</v>
      </c>
    </row>
    <row r="353" spans="1:29" x14ac:dyDescent="0.3">
      <c r="A353">
        <v>349</v>
      </c>
      <c r="B353" t="s">
        <v>430</v>
      </c>
      <c r="C353" t="s">
        <v>55</v>
      </c>
      <c r="D353" s="1">
        <v>42334</v>
      </c>
      <c r="E353">
        <v>2</v>
      </c>
      <c r="F353" t="s">
        <v>431</v>
      </c>
      <c r="G353">
        <v>0.40799999999999997</v>
      </c>
      <c r="H353">
        <v>15.496</v>
      </c>
      <c r="I353">
        <v>348.86900000000003</v>
      </c>
      <c r="J353">
        <v>57.368000000000002</v>
      </c>
      <c r="K353">
        <v>235.07499999999999</v>
      </c>
      <c r="L353">
        <v>78.403999999999996</v>
      </c>
      <c r="M353">
        <v>184.51900000000001</v>
      </c>
      <c r="N353">
        <v>50.555999999999997</v>
      </c>
      <c r="O353">
        <v>6.9539999999999997</v>
      </c>
      <c r="P353">
        <v>6.8120000000000003</v>
      </c>
      <c r="Q353">
        <v>0</v>
      </c>
      <c r="R353">
        <v>0.81699999999999995</v>
      </c>
      <c r="S353">
        <v>56.877000000000002</v>
      </c>
      <c r="T353">
        <v>184.51900000000001</v>
      </c>
      <c r="U353">
        <v>241.887</v>
      </c>
      <c r="V353">
        <v>113.83499999999999</v>
      </c>
      <c r="W353">
        <v>92.227999999999994</v>
      </c>
      <c r="X353">
        <v>40.502000000000002</v>
      </c>
      <c r="Y353">
        <v>0.23716859525315501</v>
      </c>
      <c r="Z353">
        <v>122.113</v>
      </c>
      <c r="AA353" t="s">
        <v>53</v>
      </c>
      <c r="AB353">
        <v>1</v>
      </c>
      <c r="AC353" t="s">
        <v>33</v>
      </c>
    </row>
    <row r="354" spans="1:29" x14ac:dyDescent="0.3">
      <c r="A354">
        <v>356</v>
      </c>
      <c r="B354" t="s">
        <v>436</v>
      </c>
      <c r="C354" t="s">
        <v>162</v>
      </c>
      <c r="D354" s="1">
        <v>41571</v>
      </c>
      <c r="E354">
        <v>4</v>
      </c>
      <c r="F354" t="s">
        <v>437</v>
      </c>
      <c r="G354">
        <v>-47.18</v>
      </c>
      <c r="H354">
        <v>-45.036999999999999</v>
      </c>
      <c r="I354">
        <v>24.533999999999999</v>
      </c>
      <c r="J354">
        <v>-127.699</v>
      </c>
      <c r="K354">
        <v>215.501</v>
      </c>
      <c r="L354">
        <v>165.136</v>
      </c>
      <c r="M354">
        <v>331.53800000000001</v>
      </c>
      <c r="N354">
        <v>-116.03700000000001</v>
      </c>
      <c r="O354">
        <v>-47.18</v>
      </c>
      <c r="P354">
        <v>0.58799999999999997</v>
      </c>
      <c r="Q354">
        <v>0</v>
      </c>
      <c r="R354">
        <v>2.1429999999999998</v>
      </c>
      <c r="S354">
        <v>275.17099999999999</v>
      </c>
      <c r="T354">
        <v>331.53800000000001</v>
      </c>
      <c r="U354">
        <v>216.46700000000001</v>
      </c>
      <c r="V354">
        <v>240.655</v>
      </c>
      <c r="W354">
        <v>376.81900000000002</v>
      </c>
      <c r="X354">
        <v>276.23200000000003</v>
      </c>
      <c r="Y354">
        <v>-0.58992363732116204</v>
      </c>
      <c r="Z354">
        <v>277.54325</v>
      </c>
      <c r="AA354" t="s">
        <v>53</v>
      </c>
      <c r="AB354">
        <v>1</v>
      </c>
      <c r="AC354" t="s">
        <v>33</v>
      </c>
    </row>
    <row r="355" spans="1:29" x14ac:dyDescent="0.3">
      <c r="A355">
        <v>359</v>
      </c>
      <c r="B355" t="s">
        <v>440</v>
      </c>
      <c r="C355" t="s">
        <v>51</v>
      </c>
      <c r="D355" s="1">
        <v>33791</v>
      </c>
      <c r="E355">
        <v>12</v>
      </c>
      <c r="F355" t="s">
        <v>441</v>
      </c>
      <c r="G355">
        <v>-34.405000000000001</v>
      </c>
      <c r="H355">
        <v>-26.962</v>
      </c>
      <c r="I355">
        <v>13.074</v>
      </c>
      <c r="J355">
        <v>-349.65</v>
      </c>
      <c r="K355">
        <v>178.73599999999999</v>
      </c>
      <c r="L355">
        <v>8</v>
      </c>
      <c r="M355">
        <v>299.55500000000001</v>
      </c>
      <c r="N355">
        <v>-120.819</v>
      </c>
      <c r="O355">
        <v>-24.335999999999999</v>
      </c>
      <c r="P355">
        <v>26.41</v>
      </c>
      <c r="Q355">
        <v>252.47300000000001</v>
      </c>
      <c r="R355">
        <v>2.91</v>
      </c>
      <c r="S355">
        <v>671.28099999999995</v>
      </c>
      <c r="T355">
        <v>552.02800000000002</v>
      </c>
      <c r="U355">
        <v>205.14599999999999</v>
      </c>
      <c r="V355">
        <v>360.86200000000002</v>
      </c>
      <c r="W355">
        <v>920.25199999999995</v>
      </c>
      <c r="X355">
        <v>1015.654</v>
      </c>
      <c r="Y355">
        <v>-1.70439589365623</v>
      </c>
      <c r="Z355">
        <v>625.47850000000005</v>
      </c>
      <c r="AA355" t="s">
        <v>53</v>
      </c>
      <c r="AB355">
        <v>1</v>
      </c>
      <c r="AC355" t="s">
        <v>33</v>
      </c>
    </row>
    <row r="356" spans="1:29" x14ac:dyDescent="0.3">
      <c r="A356">
        <v>361</v>
      </c>
      <c r="B356" t="s">
        <v>442</v>
      </c>
      <c r="C356" t="s">
        <v>162</v>
      </c>
      <c r="D356" s="1">
        <v>38568</v>
      </c>
      <c r="E356">
        <v>7</v>
      </c>
      <c r="F356" t="s">
        <v>443</v>
      </c>
      <c r="G356">
        <v>-83.495000000000005</v>
      </c>
      <c r="H356">
        <v>61.091000000000001</v>
      </c>
      <c r="I356">
        <v>450.77699999999999</v>
      </c>
      <c r="J356">
        <v>7.5960000000000001</v>
      </c>
      <c r="K356">
        <v>199.13499999999999</v>
      </c>
      <c r="L356">
        <v>38.299999999999997</v>
      </c>
      <c r="M356">
        <v>82.332999999999998</v>
      </c>
      <c r="N356">
        <v>116.80200000000001</v>
      </c>
      <c r="O356">
        <v>58.593000000000004</v>
      </c>
      <c r="P356">
        <v>2.4340000000000002</v>
      </c>
      <c r="Q356">
        <v>0</v>
      </c>
      <c r="R356">
        <v>0</v>
      </c>
      <c r="S356">
        <v>167.73699999999999</v>
      </c>
      <c r="T356">
        <v>82.332999999999998</v>
      </c>
      <c r="U356">
        <v>201.56899999999999</v>
      </c>
      <c r="V356">
        <v>357.952</v>
      </c>
      <c r="W356">
        <v>349.03300000000002</v>
      </c>
      <c r="X356">
        <v>336.15699999999998</v>
      </c>
      <c r="Y356">
        <v>3.7684366147572299E-2</v>
      </c>
      <c r="Z356">
        <v>311.17775</v>
      </c>
      <c r="AA356" t="s">
        <v>53</v>
      </c>
      <c r="AB356">
        <v>1</v>
      </c>
      <c r="AC356" t="s">
        <v>33</v>
      </c>
    </row>
    <row r="357" spans="1:29" x14ac:dyDescent="0.3">
      <c r="A357">
        <v>363</v>
      </c>
      <c r="B357" t="s">
        <v>444</v>
      </c>
      <c r="C357" t="s">
        <v>55</v>
      </c>
      <c r="D357" s="1">
        <v>41081</v>
      </c>
      <c r="E357">
        <v>6</v>
      </c>
      <c r="F357" t="s">
        <v>445</v>
      </c>
      <c r="G357">
        <v>-310.14299999999997</v>
      </c>
      <c r="H357">
        <v>-310.14299999999997</v>
      </c>
      <c r="I357">
        <v>147.38999999999999</v>
      </c>
      <c r="J357">
        <v>-231.036</v>
      </c>
      <c r="K357">
        <v>190.88499999999999</v>
      </c>
      <c r="L357">
        <v>0</v>
      </c>
      <c r="M357">
        <v>401.45800000000003</v>
      </c>
      <c r="N357">
        <v>-210.57300000000001</v>
      </c>
      <c r="O357">
        <v>-310.14299999999997</v>
      </c>
      <c r="P357">
        <v>1</v>
      </c>
      <c r="Q357">
        <v>0</v>
      </c>
      <c r="R357">
        <v>0</v>
      </c>
      <c r="S357">
        <v>142.125</v>
      </c>
      <c r="T357">
        <v>401.45800000000003</v>
      </c>
      <c r="U357">
        <v>191.88499999999999</v>
      </c>
      <c r="V357">
        <v>232.76400000000001</v>
      </c>
      <c r="W357">
        <v>178.42400000000001</v>
      </c>
      <c r="X357">
        <v>151.756</v>
      </c>
      <c r="Y357">
        <v>-1.2040336659978601</v>
      </c>
      <c r="Z357">
        <v>188.70724999999999</v>
      </c>
      <c r="AA357" t="s">
        <v>53</v>
      </c>
      <c r="AB357">
        <v>1</v>
      </c>
      <c r="AC357" t="s">
        <v>33</v>
      </c>
    </row>
    <row r="358" spans="1:29" x14ac:dyDescent="0.3">
      <c r="A358">
        <v>371</v>
      </c>
      <c r="B358" t="s">
        <v>452</v>
      </c>
      <c r="C358" t="s">
        <v>55</v>
      </c>
      <c r="D358" s="1">
        <v>42731</v>
      </c>
      <c r="E358">
        <v>3</v>
      </c>
      <c r="F358" t="s">
        <v>453</v>
      </c>
      <c r="G358">
        <v>3.5449999999999999</v>
      </c>
      <c r="H358">
        <v>8.359</v>
      </c>
      <c r="I358">
        <v>150.69300000000001</v>
      </c>
      <c r="J358">
        <v>-117.352</v>
      </c>
      <c r="K358">
        <v>107.584</v>
      </c>
      <c r="L358">
        <v>64</v>
      </c>
      <c r="M358">
        <v>279.78199999999998</v>
      </c>
      <c r="N358">
        <v>-172.19800000000001</v>
      </c>
      <c r="O358">
        <v>7.4630000000000001</v>
      </c>
      <c r="P358">
        <v>59.417999999999999</v>
      </c>
      <c r="Q358">
        <v>0.1</v>
      </c>
      <c r="R358">
        <v>0.89600000000000002</v>
      </c>
      <c r="S358">
        <v>338.97699999999998</v>
      </c>
      <c r="T358">
        <v>279.88200000000001</v>
      </c>
      <c r="U358">
        <v>167.00200000000001</v>
      </c>
      <c r="V358">
        <v>222.57599999999999</v>
      </c>
      <c r="W358">
        <v>229.024</v>
      </c>
      <c r="X358">
        <v>81.88</v>
      </c>
      <c r="Y358">
        <v>-0.70269817127938605</v>
      </c>
      <c r="Z358">
        <v>175.12049999999999</v>
      </c>
      <c r="AA358" t="s">
        <v>53</v>
      </c>
      <c r="AB358">
        <v>1</v>
      </c>
      <c r="AC358" t="s">
        <v>33</v>
      </c>
    </row>
    <row r="359" spans="1:29" x14ac:dyDescent="0.3">
      <c r="A359">
        <v>374</v>
      </c>
      <c r="B359" t="s">
        <v>456</v>
      </c>
      <c r="C359" t="s">
        <v>55</v>
      </c>
      <c r="D359" s="1">
        <v>41254</v>
      </c>
      <c r="E359">
        <v>0</v>
      </c>
      <c r="F359" t="s">
        <v>457</v>
      </c>
      <c r="G359">
        <v>170.79</v>
      </c>
      <c r="H359">
        <v>170.846</v>
      </c>
      <c r="I359">
        <v>152</v>
      </c>
      <c r="J359">
        <v>-315.01799999999997</v>
      </c>
      <c r="K359">
        <v>148.07400000000001</v>
      </c>
      <c r="L359">
        <v>0</v>
      </c>
      <c r="M359">
        <v>295.10199999999998</v>
      </c>
      <c r="N359">
        <v>-147.02799999999999</v>
      </c>
      <c r="O359">
        <v>170.79</v>
      </c>
      <c r="P359">
        <v>6.5389999999999997</v>
      </c>
      <c r="Q359">
        <v>73.912999999999997</v>
      </c>
      <c r="R359">
        <v>5.6000000000000001E-2</v>
      </c>
      <c r="S359">
        <v>552.79700000000003</v>
      </c>
      <c r="T359">
        <v>369.01499999999999</v>
      </c>
      <c r="U359">
        <v>154.613</v>
      </c>
      <c r="V359">
        <v>161.20500000000001</v>
      </c>
      <c r="W359">
        <v>258.315</v>
      </c>
      <c r="X359">
        <v>677.68200000000002</v>
      </c>
      <c r="Y359">
        <v>-2.03746127427836</v>
      </c>
      <c r="Z359">
        <v>312.95375000000001</v>
      </c>
      <c r="AA359" t="s">
        <v>53</v>
      </c>
      <c r="AB359">
        <v>1</v>
      </c>
      <c r="AC359" t="s">
        <v>33</v>
      </c>
    </row>
    <row r="360" spans="1:29" x14ac:dyDescent="0.3">
      <c r="A360">
        <v>3</v>
      </c>
      <c r="B360" t="s">
        <v>37</v>
      </c>
      <c r="C360" t="s">
        <v>38</v>
      </c>
      <c r="D360" s="1">
        <v>35578</v>
      </c>
      <c r="E360">
        <v>15</v>
      </c>
      <c r="F360" t="s">
        <v>39</v>
      </c>
      <c r="G360">
        <v>-4767.3710000000001</v>
      </c>
      <c r="H360">
        <v>-3169.288</v>
      </c>
      <c r="I360">
        <v>39723.186000000002</v>
      </c>
      <c r="J360">
        <v>-1417.58</v>
      </c>
      <c r="K360">
        <v>136791.39799999999</v>
      </c>
      <c r="L360">
        <v>126484.94100000001</v>
      </c>
      <c r="M360">
        <v>124928.925</v>
      </c>
      <c r="N360">
        <v>11862.473</v>
      </c>
      <c r="O360">
        <v>-3622.7890000000002</v>
      </c>
      <c r="P360">
        <v>123.107</v>
      </c>
      <c r="Q360">
        <v>480.88200000000001</v>
      </c>
      <c r="R360">
        <v>39.42</v>
      </c>
      <c r="S360">
        <v>165005.391</v>
      </c>
      <c r="T360">
        <v>125409.807</v>
      </c>
      <c r="U360">
        <v>136941.50399999999</v>
      </c>
      <c r="V360">
        <v>181300.894</v>
      </c>
      <c r="W360">
        <v>184123.47500000001</v>
      </c>
      <c r="X360">
        <v>210583.40700000001</v>
      </c>
      <c r="Y360">
        <v>-1.0351719227503201E-2</v>
      </c>
      <c r="Z360">
        <v>178237.32</v>
      </c>
      <c r="AA360" t="s">
        <v>40</v>
      </c>
      <c r="AB360">
        <v>4</v>
      </c>
      <c r="AC360" t="s">
        <v>33</v>
      </c>
    </row>
    <row r="361" spans="1:29" x14ac:dyDescent="0.3">
      <c r="A361">
        <v>6</v>
      </c>
      <c r="B361" t="s">
        <v>47</v>
      </c>
      <c r="C361" t="s">
        <v>48</v>
      </c>
      <c r="D361" s="1">
        <v>37609</v>
      </c>
      <c r="E361">
        <v>0</v>
      </c>
      <c r="F361" t="s">
        <v>49</v>
      </c>
      <c r="G361">
        <v>-749.40499999999997</v>
      </c>
      <c r="H361">
        <v>1255.075</v>
      </c>
      <c r="I361">
        <v>1618.5360000000001</v>
      </c>
      <c r="J361">
        <v>2559.2730000000001</v>
      </c>
      <c r="K361">
        <v>5687.7839999999997</v>
      </c>
      <c r="L361">
        <v>0</v>
      </c>
      <c r="M361">
        <v>37884.817000000003</v>
      </c>
      <c r="N361">
        <v>-32197.032999999999</v>
      </c>
      <c r="O361">
        <v>304.41699999999997</v>
      </c>
      <c r="P361">
        <v>38763.578000000001</v>
      </c>
      <c r="Q361">
        <v>0</v>
      </c>
      <c r="R361">
        <v>942.43100000000004</v>
      </c>
      <c r="S361">
        <v>37366.163999999997</v>
      </c>
      <c r="T361">
        <v>37884.817000000003</v>
      </c>
      <c r="U361">
        <v>44451.362000000001</v>
      </c>
      <c r="V361">
        <v>44918.307999999997</v>
      </c>
      <c r="W361">
        <v>45910.989000000001</v>
      </c>
      <c r="X361">
        <v>46122.690999999999</v>
      </c>
      <c r="Y361">
        <v>5.7574681288730799E-2</v>
      </c>
      <c r="Z361">
        <v>45350.837500000001</v>
      </c>
      <c r="AA361" t="s">
        <v>40</v>
      </c>
      <c r="AB361">
        <v>4</v>
      </c>
      <c r="AC361" t="s">
        <v>33</v>
      </c>
    </row>
    <row r="362" spans="1:29" x14ac:dyDescent="0.3">
      <c r="A362">
        <v>13</v>
      </c>
      <c r="B362" t="s">
        <v>60</v>
      </c>
      <c r="C362" t="s">
        <v>61</v>
      </c>
      <c r="D362" s="1">
        <v>29741</v>
      </c>
      <c r="E362">
        <v>24</v>
      </c>
      <c r="F362" t="s">
        <v>62</v>
      </c>
      <c r="G362">
        <v>-12599.476000000001</v>
      </c>
      <c r="H362">
        <v>-12578.370999999999</v>
      </c>
      <c r="I362">
        <v>520.24</v>
      </c>
      <c r="J362">
        <v>-14103.718999999999</v>
      </c>
      <c r="K362">
        <v>16541.526000000002</v>
      </c>
      <c r="L362">
        <v>10079.579</v>
      </c>
      <c r="M362">
        <v>645.50400000000002</v>
      </c>
      <c r="N362">
        <v>15896.022000000001</v>
      </c>
      <c r="O362">
        <v>-12598.866</v>
      </c>
      <c r="P362">
        <v>2714.86</v>
      </c>
      <c r="Q362">
        <v>26877.263999999999</v>
      </c>
      <c r="R362">
        <v>20.518000000000001</v>
      </c>
      <c r="S362">
        <v>26613.53</v>
      </c>
      <c r="T362">
        <v>27522.768</v>
      </c>
      <c r="U362">
        <v>19256.417000000001</v>
      </c>
      <c r="V362">
        <v>26752.236000000001</v>
      </c>
      <c r="W362">
        <v>27314.885999999999</v>
      </c>
      <c r="X362">
        <v>29534.960999999999</v>
      </c>
      <c r="Y362">
        <v>-0.73241657573161201</v>
      </c>
      <c r="Z362">
        <v>25714.625</v>
      </c>
      <c r="AA362" t="s">
        <v>40</v>
      </c>
      <c r="AB362">
        <v>4</v>
      </c>
      <c r="AC362" t="s">
        <v>33</v>
      </c>
    </row>
    <row r="363" spans="1:29" x14ac:dyDescent="0.3">
      <c r="A363">
        <v>17</v>
      </c>
      <c r="B363" t="s">
        <v>69</v>
      </c>
      <c r="C363" t="s">
        <v>70</v>
      </c>
      <c r="D363" s="1">
        <v>34331</v>
      </c>
      <c r="E363">
        <v>1</v>
      </c>
      <c r="F363" t="s">
        <v>71</v>
      </c>
      <c r="G363">
        <v>-159.66</v>
      </c>
      <c r="H363">
        <v>-159.62299999999999</v>
      </c>
      <c r="I363">
        <v>38.694000000000003</v>
      </c>
      <c r="J363">
        <v>-2825.194</v>
      </c>
      <c r="K363">
        <v>14555.231</v>
      </c>
      <c r="L363">
        <v>13219.989</v>
      </c>
      <c r="M363">
        <v>16287.768</v>
      </c>
      <c r="N363">
        <v>-1732.537</v>
      </c>
      <c r="O363">
        <v>-159.66</v>
      </c>
      <c r="P363">
        <v>75.882000000000005</v>
      </c>
      <c r="Q363">
        <v>0</v>
      </c>
      <c r="R363">
        <v>3.6999999999999998E-2</v>
      </c>
      <c r="S363">
        <v>15962.958000000001</v>
      </c>
      <c r="T363">
        <v>16287.768</v>
      </c>
      <c r="U363">
        <v>14632.540999999999</v>
      </c>
      <c r="V363">
        <v>14606.913</v>
      </c>
      <c r="W363">
        <v>14573.352000000001</v>
      </c>
      <c r="X363">
        <v>13461.163</v>
      </c>
      <c r="Y363">
        <v>-0.19307610346008899</v>
      </c>
      <c r="Z363">
        <v>14318.492249999999</v>
      </c>
      <c r="AA363" t="s">
        <v>40</v>
      </c>
      <c r="AB363">
        <v>4</v>
      </c>
      <c r="AC363" t="s">
        <v>33</v>
      </c>
    </row>
    <row r="364" spans="1:29" x14ac:dyDescent="0.3">
      <c r="A364">
        <v>24</v>
      </c>
      <c r="B364" t="s">
        <v>84</v>
      </c>
      <c r="C364" t="s">
        <v>70</v>
      </c>
      <c r="D364" s="1">
        <v>30809</v>
      </c>
      <c r="E364">
        <v>73</v>
      </c>
      <c r="F364" t="s">
        <v>85</v>
      </c>
      <c r="G364">
        <v>-902.86599999999999</v>
      </c>
      <c r="H364">
        <v>-140.57</v>
      </c>
      <c r="I364">
        <v>3170.9679999999998</v>
      </c>
      <c r="J364">
        <v>-3983.5140000000001</v>
      </c>
      <c r="K364">
        <v>1850.8440000000001</v>
      </c>
      <c r="L364">
        <v>483.53500000000003</v>
      </c>
      <c r="M364">
        <v>8172.0039999999999</v>
      </c>
      <c r="N364">
        <v>-6321.16</v>
      </c>
      <c r="O364">
        <v>-706.33500000000004</v>
      </c>
      <c r="P364">
        <v>8944.1260000000002</v>
      </c>
      <c r="Q364">
        <v>4225.7860000000001</v>
      </c>
      <c r="R364">
        <v>559.29600000000005</v>
      </c>
      <c r="S364">
        <v>13142.663</v>
      </c>
      <c r="T364">
        <v>12397.79</v>
      </c>
      <c r="U364">
        <v>10795.619000000001</v>
      </c>
      <c r="V364">
        <v>12491.539000000001</v>
      </c>
      <c r="W364">
        <v>13362.334000000001</v>
      </c>
      <c r="X364">
        <v>13754.403</v>
      </c>
      <c r="Y364">
        <v>-0.36899357044741898</v>
      </c>
      <c r="Z364">
        <v>12600.973749999999</v>
      </c>
      <c r="AA364" t="s">
        <v>40</v>
      </c>
      <c r="AB364">
        <v>4</v>
      </c>
      <c r="AC364" t="s">
        <v>33</v>
      </c>
    </row>
    <row r="365" spans="1:29" x14ac:dyDescent="0.3">
      <c r="A365">
        <v>25</v>
      </c>
      <c r="B365" t="s">
        <v>86</v>
      </c>
      <c r="C365" t="s">
        <v>38</v>
      </c>
      <c r="D365" s="1">
        <v>38483</v>
      </c>
      <c r="E365">
        <v>0</v>
      </c>
      <c r="F365" t="s">
        <v>87</v>
      </c>
      <c r="G365">
        <v>-633.31200000000001</v>
      </c>
      <c r="H365">
        <v>-621.18499999999995</v>
      </c>
      <c r="I365">
        <v>64.8</v>
      </c>
      <c r="J365">
        <v>4294.3050000000003</v>
      </c>
      <c r="K365">
        <v>6022.38</v>
      </c>
      <c r="L365">
        <v>5816.5420000000004</v>
      </c>
      <c r="M365">
        <v>5172.8609999999999</v>
      </c>
      <c r="N365">
        <v>849.51900000000001</v>
      </c>
      <c r="O365">
        <v>-625.89</v>
      </c>
      <c r="P365">
        <v>4571.5780000000004</v>
      </c>
      <c r="Q365">
        <v>0</v>
      </c>
      <c r="R365">
        <v>4.7050000000000001</v>
      </c>
      <c r="S365">
        <v>4548.9229999999998</v>
      </c>
      <c r="T365">
        <v>5172.8609999999999</v>
      </c>
      <c r="U365">
        <v>10593.958000000001</v>
      </c>
      <c r="V365">
        <v>10603.284</v>
      </c>
      <c r="W365">
        <v>10648.295</v>
      </c>
      <c r="X365">
        <v>6580.143</v>
      </c>
      <c r="Y365">
        <v>0.40535416508164401</v>
      </c>
      <c r="Z365">
        <v>9606.42</v>
      </c>
      <c r="AA365" t="s">
        <v>40</v>
      </c>
      <c r="AB365">
        <v>4</v>
      </c>
      <c r="AC365" t="s">
        <v>33</v>
      </c>
    </row>
    <row r="366" spans="1:29" x14ac:dyDescent="0.3">
      <c r="A366">
        <v>28</v>
      </c>
      <c r="B366" t="s">
        <v>90</v>
      </c>
      <c r="C366" t="s">
        <v>61</v>
      </c>
      <c r="D366" s="1">
        <v>39763</v>
      </c>
      <c r="E366">
        <v>0</v>
      </c>
      <c r="F366" t="s">
        <v>91</v>
      </c>
      <c r="G366">
        <v>-267.01600000000002</v>
      </c>
      <c r="H366">
        <v>-172.17</v>
      </c>
      <c r="I366">
        <v>391.22699999999998</v>
      </c>
      <c r="J366">
        <v>-3439.384</v>
      </c>
      <c r="K366">
        <v>8037.3990000000003</v>
      </c>
      <c r="L366">
        <v>3919.8009999999999</v>
      </c>
      <c r="M366">
        <v>12893.856</v>
      </c>
      <c r="N366">
        <v>-4856.4570000000003</v>
      </c>
      <c r="O366">
        <v>-251.82300000000001</v>
      </c>
      <c r="P366">
        <v>2468.7890000000002</v>
      </c>
      <c r="Q366">
        <v>864.62599999999998</v>
      </c>
      <c r="R366">
        <v>79.653000000000006</v>
      </c>
      <c r="S366">
        <v>13865.423000000001</v>
      </c>
      <c r="T366">
        <v>13758.482</v>
      </c>
      <c r="U366">
        <v>10506.188</v>
      </c>
      <c r="V366">
        <v>10815.145</v>
      </c>
      <c r="W366">
        <v>17237.419999999998</v>
      </c>
      <c r="X366">
        <v>23506.118999999999</v>
      </c>
      <c r="Y366">
        <v>-0.32736745240043302</v>
      </c>
      <c r="Z366">
        <v>15516.218000000001</v>
      </c>
      <c r="AA366" t="s">
        <v>40</v>
      </c>
      <c r="AB366">
        <v>4</v>
      </c>
      <c r="AC366" t="s">
        <v>33</v>
      </c>
    </row>
    <row r="367" spans="1:29" x14ac:dyDescent="0.3">
      <c r="A367">
        <v>30</v>
      </c>
      <c r="B367" t="s">
        <v>92</v>
      </c>
      <c r="C367" t="s">
        <v>93</v>
      </c>
      <c r="D367" s="1">
        <v>29619</v>
      </c>
      <c r="E367">
        <v>1</v>
      </c>
      <c r="F367" t="s">
        <v>94</v>
      </c>
      <c r="G367">
        <v>-2938.5720000000001</v>
      </c>
      <c r="H367">
        <v>-1882.1320000000001</v>
      </c>
      <c r="I367">
        <v>111.839</v>
      </c>
      <c r="J367">
        <v>-321.90699999999998</v>
      </c>
      <c r="K367">
        <v>6010.6549999999997</v>
      </c>
      <c r="L367">
        <v>3708.6390000000001</v>
      </c>
      <c r="M367">
        <v>9580.2369999999992</v>
      </c>
      <c r="N367">
        <v>-3569.5819999999999</v>
      </c>
      <c r="O367">
        <v>-2037.5640000000001</v>
      </c>
      <c r="P367">
        <v>3257.24</v>
      </c>
      <c r="Q367">
        <v>0</v>
      </c>
      <c r="R367">
        <v>248.011</v>
      </c>
      <c r="S367">
        <v>7873.7219999999998</v>
      </c>
      <c r="T367">
        <v>9580.2369999999992</v>
      </c>
      <c r="U367">
        <v>9267.8950000000004</v>
      </c>
      <c r="V367">
        <v>11442.925999999999</v>
      </c>
      <c r="W367">
        <v>11449.35</v>
      </c>
      <c r="X367">
        <v>11059.173000000001</v>
      </c>
      <c r="Y367">
        <v>-3.4733561396627803E-2</v>
      </c>
      <c r="Z367">
        <v>10804.835999999999</v>
      </c>
      <c r="AA367" t="s">
        <v>40</v>
      </c>
      <c r="AB367">
        <v>4</v>
      </c>
      <c r="AC367" t="s">
        <v>33</v>
      </c>
    </row>
    <row r="368" spans="1:29" x14ac:dyDescent="0.3">
      <c r="A368">
        <v>34</v>
      </c>
      <c r="B368" t="s">
        <v>98</v>
      </c>
      <c r="C368" t="s">
        <v>70</v>
      </c>
      <c r="D368" s="1">
        <v>33869</v>
      </c>
      <c r="E368">
        <v>0</v>
      </c>
      <c r="F368" t="s">
        <v>99</v>
      </c>
      <c r="G368">
        <v>-832.29</v>
      </c>
      <c r="H368">
        <v>-228.416</v>
      </c>
      <c r="I368">
        <v>114</v>
      </c>
      <c r="J368">
        <v>655.93899999999996</v>
      </c>
      <c r="K368">
        <v>488.90600000000001</v>
      </c>
      <c r="L368">
        <v>0</v>
      </c>
      <c r="M368">
        <v>934.59199999999998</v>
      </c>
      <c r="N368">
        <v>-445.68599999999998</v>
      </c>
      <c r="O368">
        <v>-832.29</v>
      </c>
      <c r="P368">
        <v>7833.1750000000002</v>
      </c>
      <c r="Q368">
        <v>6206.4870000000001</v>
      </c>
      <c r="R368">
        <v>572.846</v>
      </c>
      <c r="S368">
        <v>5691.1530000000002</v>
      </c>
      <c r="T368">
        <v>7141.0789999999997</v>
      </c>
      <c r="U368">
        <v>8322.0810000000001</v>
      </c>
      <c r="V368">
        <v>7694.4769999999999</v>
      </c>
      <c r="W368">
        <v>7425.4639999999999</v>
      </c>
      <c r="X368">
        <v>8203.2579999999998</v>
      </c>
      <c r="Y368">
        <v>7.8819107864967902E-2</v>
      </c>
      <c r="Z368">
        <v>7911.32</v>
      </c>
      <c r="AA368" t="s">
        <v>40</v>
      </c>
      <c r="AB368">
        <v>4</v>
      </c>
      <c r="AC368" t="s">
        <v>33</v>
      </c>
    </row>
    <row r="369" spans="1:29" x14ac:dyDescent="0.3">
      <c r="A369">
        <v>43</v>
      </c>
      <c r="B369" t="s">
        <v>109</v>
      </c>
      <c r="C369" t="s">
        <v>93</v>
      </c>
      <c r="D369" s="1">
        <v>29568</v>
      </c>
      <c r="E369">
        <v>0</v>
      </c>
      <c r="F369" t="s">
        <v>110</v>
      </c>
      <c r="G369">
        <v>-762.12900000000002</v>
      </c>
      <c r="H369">
        <v>-675.76</v>
      </c>
      <c r="I369">
        <v>50.351999999999997</v>
      </c>
      <c r="J369">
        <v>-14064.576999999999</v>
      </c>
      <c r="K369">
        <v>5474.5050000000001</v>
      </c>
      <c r="L369">
        <v>0</v>
      </c>
      <c r="M369">
        <v>17336.481</v>
      </c>
      <c r="N369">
        <v>-11861.976000000001</v>
      </c>
      <c r="O369">
        <v>-762.12900000000002</v>
      </c>
      <c r="P369">
        <v>1600.962</v>
      </c>
      <c r="Q369">
        <v>3302.4380000000001</v>
      </c>
      <c r="R369">
        <v>8.4920000000000009</v>
      </c>
      <c r="S369">
        <v>16781.534</v>
      </c>
      <c r="T369">
        <v>20638.919000000002</v>
      </c>
      <c r="U369">
        <v>7092.4610000000002</v>
      </c>
      <c r="V369">
        <v>7466.4409999999998</v>
      </c>
      <c r="W369">
        <v>8022.2929999999997</v>
      </c>
      <c r="X369">
        <v>22484.335999999999</v>
      </c>
      <c r="Y369">
        <v>-1.9830319828336</v>
      </c>
      <c r="Z369">
        <v>11266.382750000001</v>
      </c>
      <c r="AA369" t="s">
        <v>40</v>
      </c>
      <c r="AB369">
        <v>4</v>
      </c>
      <c r="AC369" t="s">
        <v>33</v>
      </c>
    </row>
    <row r="370" spans="1:29" x14ac:dyDescent="0.3">
      <c r="A370">
        <v>56</v>
      </c>
      <c r="B370" t="s">
        <v>125</v>
      </c>
      <c r="C370" t="s">
        <v>126</v>
      </c>
      <c r="D370" s="1">
        <v>37712</v>
      </c>
      <c r="E370">
        <v>390</v>
      </c>
      <c r="F370" t="s">
        <v>127</v>
      </c>
      <c r="G370">
        <v>41.813000000000002</v>
      </c>
      <c r="H370">
        <v>120.976</v>
      </c>
      <c r="I370">
        <v>3963.83</v>
      </c>
      <c r="J370">
        <v>-1034.761</v>
      </c>
      <c r="K370">
        <v>5454.3639999999996</v>
      </c>
      <c r="L370">
        <v>11.773</v>
      </c>
      <c r="M370">
        <v>5540.8320000000003</v>
      </c>
      <c r="N370">
        <v>-86.468000000000004</v>
      </c>
      <c r="O370">
        <v>106.02200000000001</v>
      </c>
      <c r="P370">
        <v>550.32799999999997</v>
      </c>
      <c r="Q370">
        <v>417.435</v>
      </c>
      <c r="R370">
        <v>4.9649999999999999</v>
      </c>
      <c r="S370">
        <v>4579.8590000000004</v>
      </c>
      <c r="T370">
        <v>5958.2669999999998</v>
      </c>
      <c r="U370">
        <v>6005.2359999999999</v>
      </c>
      <c r="V370">
        <v>4564.6710000000003</v>
      </c>
      <c r="W370">
        <v>6868.5619999999999</v>
      </c>
      <c r="X370">
        <v>6208.9170000000004</v>
      </c>
      <c r="Y370">
        <v>-0.172309797649917</v>
      </c>
      <c r="Z370">
        <v>5911.8464999999997</v>
      </c>
      <c r="AA370" t="s">
        <v>40</v>
      </c>
      <c r="AB370">
        <v>4</v>
      </c>
      <c r="AC370" t="s">
        <v>33</v>
      </c>
    </row>
    <row r="371" spans="1:29" x14ac:dyDescent="0.3">
      <c r="A371">
        <v>57</v>
      </c>
      <c r="B371" t="s">
        <v>128</v>
      </c>
      <c r="C371" t="s">
        <v>70</v>
      </c>
      <c r="D371" s="1">
        <v>38693</v>
      </c>
      <c r="E371">
        <v>26</v>
      </c>
      <c r="F371" t="s">
        <v>129</v>
      </c>
      <c r="G371">
        <v>-1796.5319999999999</v>
      </c>
      <c r="H371">
        <v>-981.59100000000001</v>
      </c>
      <c r="I371">
        <v>1781.712</v>
      </c>
      <c r="J371">
        <v>149.29499999999999</v>
      </c>
      <c r="K371">
        <v>5098.6859999999997</v>
      </c>
      <c r="L371">
        <v>2852.8420000000001</v>
      </c>
      <c r="M371">
        <v>2905.16</v>
      </c>
      <c r="N371">
        <v>2193.5259999999998</v>
      </c>
      <c r="O371">
        <v>-1046.5319999999999</v>
      </c>
      <c r="P371">
        <v>876.82500000000005</v>
      </c>
      <c r="Q371">
        <v>2149.1680000000001</v>
      </c>
      <c r="R371">
        <v>64.941000000000003</v>
      </c>
      <c r="S371">
        <v>4601.5330000000004</v>
      </c>
      <c r="T371">
        <v>5054.3280000000004</v>
      </c>
      <c r="U371">
        <v>5986.866</v>
      </c>
      <c r="V371">
        <v>6594.3779999999997</v>
      </c>
      <c r="W371">
        <v>5660.2439999999997</v>
      </c>
      <c r="X371">
        <v>5617.5709999999999</v>
      </c>
      <c r="Y371">
        <v>2.49370872840648E-2</v>
      </c>
      <c r="Z371">
        <v>5964.7647500000003</v>
      </c>
      <c r="AA371" t="s">
        <v>40</v>
      </c>
      <c r="AB371">
        <v>4</v>
      </c>
      <c r="AC371" t="s">
        <v>33</v>
      </c>
    </row>
    <row r="372" spans="1:29" x14ac:dyDescent="0.3">
      <c r="A372">
        <v>69</v>
      </c>
      <c r="B372" t="s">
        <v>140</v>
      </c>
      <c r="C372" t="s">
        <v>70</v>
      </c>
      <c r="D372" s="1">
        <v>40694</v>
      </c>
      <c r="E372">
        <v>18</v>
      </c>
      <c r="F372" t="s">
        <v>141</v>
      </c>
      <c r="G372">
        <v>184.279</v>
      </c>
      <c r="H372">
        <v>286.60700000000003</v>
      </c>
      <c r="I372">
        <v>577.33699999999999</v>
      </c>
      <c r="J372">
        <v>548.00699999999995</v>
      </c>
      <c r="K372">
        <v>4186.0140000000001</v>
      </c>
      <c r="L372">
        <v>2016.806</v>
      </c>
      <c r="M372">
        <v>4106.3130000000001</v>
      </c>
      <c r="N372">
        <v>79.700999999999993</v>
      </c>
      <c r="O372">
        <v>266.80200000000002</v>
      </c>
      <c r="P372">
        <v>672.99900000000002</v>
      </c>
      <c r="Q372">
        <v>25</v>
      </c>
      <c r="R372">
        <v>1.829</v>
      </c>
      <c r="S372">
        <v>3834.4290000000001</v>
      </c>
      <c r="T372">
        <v>4131.3130000000001</v>
      </c>
      <c r="U372">
        <v>4859.0129999999999</v>
      </c>
      <c r="V372">
        <v>4321.0619999999999</v>
      </c>
      <c r="W372">
        <v>4043.3510000000001</v>
      </c>
      <c r="X372">
        <v>3575.761</v>
      </c>
      <c r="Y372">
        <v>0.112781546375776</v>
      </c>
      <c r="Z372">
        <v>4199.7967500000004</v>
      </c>
      <c r="AA372" t="s">
        <v>40</v>
      </c>
      <c r="AB372">
        <v>3</v>
      </c>
      <c r="AC372" t="s">
        <v>33</v>
      </c>
    </row>
    <row r="373" spans="1:29" x14ac:dyDescent="0.3">
      <c r="A373">
        <v>72</v>
      </c>
      <c r="B373" t="s">
        <v>145</v>
      </c>
      <c r="C373" t="s">
        <v>61</v>
      </c>
      <c r="D373" s="1">
        <v>32671</v>
      </c>
      <c r="E373">
        <v>3</v>
      </c>
      <c r="F373" t="s">
        <v>146</v>
      </c>
      <c r="G373">
        <v>-543.74099999999999</v>
      </c>
      <c r="H373">
        <v>-522.22699999999998</v>
      </c>
      <c r="I373">
        <v>13.462</v>
      </c>
      <c r="J373">
        <v>-408.98899999999998</v>
      </c>
      <c r="K373">
        <v>4590.7460000000001</v>
      </c>
      <c r="L373">
        <v>4025.2669999999998</v>
      </c>
      <c r="M373">
        <v>3793.2469999999998</v>
      </c>
      <c r="N373">
        <v>797.49900000000002</v>
      </c>
      <c r="O373">
        <v>-543.74</v>
      </c>
      <c r="P373">
        <v>23.58</v>
      </c>
      <c r="Q373">
        <v>1232.143</v>
      </c>
      <c r="R373">
        <v>21.513000000000002</v>
      </c>
      <c r="S373">
        <v>4294.8379999999997</v>
      </c>
      <c r="T373">
        <v>5025.3900000000003</v>
      </c>
      <c r="U373">
        <v>4616.4009999999998</v>
      </c>
      <c r="V373">
        <v>4567.6450000000004</v>
      </c>
      <c r="W373">
        <v>3655.971</v>
      </c>
      <c r="X373">
        <v>4458.6639999999998</v>
      </c>
      <c r="Y373">
        <v>-8.8594773287675802E-2</v>
      </c>
      <c r="Z373">
        <v>4324.6702500000001</v>
      </c>
      <c r="AA373" t="s">
        <v>40</v>
      </c>
      <c r="AB373">
        <v>3</v>
      </c>
      <c r="AC373" t="s">
        <v>33</v>
      </c>
    </row>
    <row r="374" spans="1:29" x14ac:dyDescent="0.3">
      <c r="A374">
        <v>73</v>
      </c>
      <c r="B374" t="s">
        <v>147</v>
      </c>
      <c r="C374" t="s">
        <v>93</v>
      </c>
      <c r="D374" s="1">
        <v>40373</v>
      </c>
      <c r="E374">
        <v>6</v>
      </c>
      <c r="F374" t="s">
        <v>148</v>
      </c>
      <c r="G374">
        <v>-599.93200000000002</v>
      </c>
      <c r="H374">
        <v>-524.61500000000001</v>
      </c>
      <c r="I374">
        <v>2061.5239999999999</v>
      </c>
      <c r="J374">
        <v>-942.04600000000005</v>
      </c>
      <c r="K374">
        <v>4340.4080000000004</v>
      </c>
      <c r="L374">
        <v>3599.9749999999999</v>
      </c>
      <c r="M374">
        <v>5259.5119999999997</v>
      </c>
      <c r="N374">
        <v>-919.10400000000004</v>
      </c>
      <c r="O374">
        <v>-562.19299999999998</v>
      </c>
      <c r="P374">
        <v>141.405</v>
      </c>
      <c r="Q374">
        <v>18.949000000000002</v>
      </c>
      <c r="R374">
        <v>30.4</v>
      </c>
      <c r="S374">
        <v>6652.4359999999997</v>
      </c>
      <c r="T374">
        <v>5278.4610000000002</v>
      </c>
      <c r="U374">
        <v>4505.7520000000004</v>
      </c>
      <c r="V374">
        <v>6528.6049999999996</v>
      </c>
      <c r="W374">
        <v>5004.1220000000003</v>
      </c>
      <c r="X374">
        <v>3097.7249999999999</v>
      </c>
      <c r="Y374">
        <v>-0.20907630957052201</v>
      </c>
      <c r="Z374">
        <v>4784.0510000000004</v>
      </c>
      <c r="AA374" t="s">
        <v>40</v>
      </c>
      <c r="AB374">
        <v>3</v>
      </c>
      <c r="AC374" t="s">
        <v>33</v>
      </c>
    </row>
    <row r="375" spans="1:29" x14ac:dyDescent="0.3">
      <c r="A375">
        <v>76</v>
      </c>
      <c r="B375" t="s">
        <v>153</v>
      </c>
      <c r="C375" t="s">
        <v>126</v>
      </c>
      <c r="D375" s="1">
        <v>37568</v>
      </c>
      <c r="E375">
        <v>0</v>
      </c>
      <c r="F375" t="s">
        <v>154</v>
      </c>
      <c r="G375">
        <v>14.396000000000001</v>
      </c>
      <c r="H375">
        <v>14.731</v>
      </c>
      <c r="I375">
        <v>20.184000000000001</v>
      </c>
      <c r="J375">
        <v>679.23400000000004</v>
      </c>
      <c r="K375">
        <v>524.79700000000003</v>
      </c>
      <c r="L375">
        <v>0</v>
      </c>
      <c r="M375">
        <v>3580.527</v>
      </c>
      <c r="N375">
        <v>-3055.73</v>
      </c>
      <c r="O375">
        <v>14.396000000000001</v>
      </c>
      <c r="P375">
        <v>3735.6469999999999</v>
      </c>
      <c r="Q375">
        <v>0</v>
      </c>
      <c r="R375">
        <v>0.33500000000000002</v>
      </c>
      <c r="S375">
        <v>3558.355</v>
      </c>
      <c r="T375">
        <v>3580.527</v>
      </c>
      <c r="U375">
        <v>4260.4440000000004</v>
      </c>
      <c r="V375">
        <v>4223.3029999999999</v>
      </c>
      <c r="W375">
        <v>4171.8069999999998</v>
      </c>
      <c r="X375">
        <v>3995.2130000000002</v>
      </c>
      <c r="Y375">
        <v>0.15942798450114601</v>
      </c>
      <c r="Z375">
        <v>4162.69175</v>
      </c>
      <c r="AA375" t="s">
        <v>40</v>
      </c>
      <c r="AB375">
        <v>3</v>
      </c>
      <c r="AC375" t="s">
        <v>33</v>
      </c>
    </row>
    <row r="376" spans="1:29" x14ac:dyDescent="0.3">
      <c r="A376">
        <v>90</v>
      </c>
      <c r="B376" t="s">
        <v>174</v>
      </c>
      <c r="C376" t="s">
        <v>93</v>
      </c>
      <c r="D376" s="1">
        <v>34022</v>
      </c>
      <c r="E376">
        <v>0</v>
      </c>
      <c r="F376" t="s">
        <v>175</v>
      </c>
      <c r="G376">
        <v>0.35199999999999998</v>
      </c>
      <c r="H376">
        <v>0.36899999999999999</v>
      </c>
      <c r="I376">
        <v>2.2789999999999999</v>
      </c>
      <c r="J376">
        <v>493.36799999999999</v>
      </c>
      <c r="K376">
        <v>1174.55</v>
      </c>
      <c r="L376">
        <v>1139.5740000000001</v>
      </c>
      <c r="M376">
        <v>763.697</v>
      </c>
      <c r="N376">
        <v>410.85300000000001</v>
      </c>
      <c r="O376">
        <v>0.35199999999999998</v>
      </c>
      <c r="P376">
        <v>2609.806</v>
      </c>
      <c r="Q376">
        <v>2541.9319999999998</v>
      </c>
      <c r="R376">
        <v>0</v>
      </c>
      <c r="S376">
        <v>3438.6610000000001</v>
      </c>
      <c r="T376">
        <v>3305.6289999999999</v>
      </c>
      <c r="U376">
        <v>3798.9969999999998</v>
      </c>
      <c r="V376">
        <v>3931.6790000000001</v>
      </c>
      <c r="W376">
        <v>4116.7929999999997</v>
      </c>
      <c r="X376">
        <v>4481.8220000000001</v>
      </c>
      <c r="Y376">
        <v>0.12986796251747501</v>
      </c>
      <c r="Z376">
        <v>4082.3227499999998</v>
      </c>
      <c r="AA376" t="s">
        <v>40</v>
      </c>
      <c r="AB376">
        <v>3</v>
      </c>
      <c r="AC376" t="s">
        <v>33</v>
      </c>
    </row>
    <row r="377" spans="1:29" x14ac:dyDescent="0.3">
      <c r="A377">
        <v>105</v>
      </c>
      <c r="B377" t="s">
        <v>190</v>
      </c>
      <c r="C377" t="s">
        <v>48</v>
      </c>
      <c r="D377" s="1">
        <v>42254</v>
      </c>
      <c r="E377">
        <v>26</v>
      </c>
      <c r="F377" t="s">
        <v>191</v>
      </c>
      <c r="G377">
        <v>18.928000000000001</v>
      </c>
      <c r="H377">
        <v>89.516000000000005</v>
      </c>
      <c r="I377">
        <v>3294.498</v>
      </c>
      <c r="J377">
        <v>1069.499</v>
      </c>
      <c r="K377">
        <v>2771.6080000000002</v>
      </c>
      <c r="L377">
        <v>903.80700000000002</v>
      </c>
      <c r="M377">
        <v>1186.367</v>
      </c>
      <c r="N377">
        <v>1585.241</v>
      </c>
      <c r="O377">
        <v>55.930999999999997</v>
      </c>
      <c r="P377">
        <v>453.56400000000002</v>
      </c>
      <c r="Q377">
        <v>867.96</v>
      </c>
      <c r="R377">
        <v>25.920999999999999</v>
      </c>
      <c r="S377">
        <v>1173.3699999999999</v>
      </c>
      <c r="T377">
        <v>2054.3270000000002</v>
      </c>
      <c r="U377">
        <v>3225.172</v>
      </c>
      <c r="V377">
        <v>2359.5340000000001</v>
      </c>
      <c r="W377">
        <v>1973.415</v>
      </c>
      <c r="X377">
        <v>1258.374</v>
      </c>
      <c r="Y377">
        <v>0.33160991103730297</v>
      </c>
      <c r="Z377">
        <v>2204.1237500000002</v>
      </c>
      <c r="AA377" t="s">
        <v>40</v>
      </c>
      <c r="AB377">
        <v>3</v>
      </c>
      <c r="AC377" t="s">
        <v>33</v>
      </c>
    </row>
    <row r="378" spans="1:29" x14ac:dyDescent="0.3">
      <c r="A378">
        <v>106</v>
      </c>
      <c r="B378" t="s">
        <v>192</v>
      </c>
      <c r="C378" t="s">
        <v>38</v>
      </c>
      <c r="D378" s="1">
        <v>39659</v>
      </c>
      <c r="E378">
        <v>0</v>
      </c>
      <c r="F378" t="s">
        <v>193</v>
      </c>
      <c r="G378">
        <v>-162.12100000000001</v>
      </c>
      <c r="H378">
        <v>-107.021</v>
      </c>
      <c r="I378">
        <v>89.34</v>
      </c>
      <c r="J378">
        <v>-118.374</v>
      </c>
      <c r="K378">
        <v>3219.931</v>
      </c>
      <c r="L378">
        <v>3071</v>
      </c>
      <c r="M378">
        <v>3338.134</v>
      </c>
      <c r="N378">
        <v>-118.203</v>
      </c>
      <c r="O378">
        <v>-162.12100000000001</v>
      </c>
      <c r="P378">
        <v>0</v>
      </c>
      <c r="Q378">
        <v>0</v>
      </c>
      <c r="R378">
        <v>55.1</v>
      </c>
      <c r="S378">
        <v>3212.8339999999998</v>
      </c>
      <c r="T378">
        <v>3338.134</v>
      </c>
      <c r="U378">
        <v>3220.4229999999998</v>
      </c>
      <c r="V378">
        <v>3357.8359999999998</v>
      </c>
      <c r="W378">
        <v>3190.35</v>
      </c>
      <c r="X378">
        <v>3286.1979999999999</v>
      </c>
      <c r="Y378">
        <v>-3.6757283127092297E-2</v>
      </c>
      <c r="Z378">
        <v>3263.7017500000002</v>
      </c>
      <c r="AA378" t="s">
        <v>40</v>
      </c>
      <c r="AB378">
        <v>3</v>
      </c>
      <c r="AC378" t="s">
        <v>33</v>
      </c>
    </row>
    <row r="379" spans="1:29" x14ac:dyDescent="0.3">
      <c r="A379">
        <v>119</v>
      </c>
      <c r="B379" t="s">
        <v>206</v>
      </c>
      <c r="C379" t="s">
        <v>93</v>
      </c>
      <c r="D379" s="1">
        <v>41274</v>
      </c>
      <c r="E379">
        <v>35</v>
      </c>
      <c r="F379" t="s">
        <v>207</v>
      </c>
      <c r="G379">
        <v>-551.30600000000004</v>
      </c>
      <c r="H379">
        <v>-451.60199999999998</v>
      </c>
      <c r="I379">
        <v>1417.4480000000001</v>
      </c>
      <c r="J379">
        <v>-260.09500000000003</v>
      </c>
      <c r="K379">
        <v>1127.5930000000001</v>
      </c>
      <c r="L379">
        <v>59.997</v>
      </c>
      <c r="M379">
        <v>2276.7350000000001</v>
      </c>
      <c r="N379">
        <v>-1149.1420000000001</v>
      </c>
      <c r="O379">
        <v>-475.20299999999997</v>
      </c>
      <c r="P379">
        <v>1603.4659999999999</v>
      </c>
      <c r="Q379">
        <v>514.68700000000001</v>
      </c>
      <c r="R379">
        <v>23.600999999999999</v>
      </c>
      <c r="S379">
        <v>2686.6289999999999</v>
      </c>
      <c r="T379">
        <v>2791.422</v>
      </c>
      <c r="U379">
        <v>2731.0590000000002</v>
      </c>
      <c r="V379">
        <v>3082.1039999999998</v>
      </c>
      <c r="W379">
        <v>2537.0920000000001</v>
      </c>
      <c r="X379">
        <v>2468.3380000000002</v>
      </c>
      <c r="Y379">
        <v>-9.5235950596453595E-2</v>
      </c>
      <c r="Z379">
        <v>2704.6482500000002</v>
      </c>
      <c r="AA379" t="s">
        <v>40</v>
      </c>
      <c r="AB379">
        <v>3</v>
      </c>
      <c r="AC379" t="s">
        <v>33</v>
      </c>
    </row>
    <row r="380" spans="1:29" x14ac:dyDescent="0.3">
      <c r="A380">
        <v>123</v>
      </c>
      <c r="B380" t="s">
        <v>210</v>
      </c>
      <c r="C380" t="s">
        <v>70</v>
      </c>
      <c r="D380" s="1">
        <v>33308</v>
      </c>
      <c r="E380">
        <v>0</v>
      </c>
      <c r="F380" t="s">
        <v>211</v>
      </c>
      <c r="G380">
        <v>-12.105</v>
      </c>
      <c r="H380">
        <v>-10.363</v>
      </c>
      <c r="I380">
        <v>49</v>
      </c>
      <c r="J380">
        <v>74.427000000000007</v>
      </c>
      <c r="K380">
        <v>2629.4520000000002</v>
      </c>
      <c r="L380">
        <v>2345.36</v>
      </c>
      <c r="M380">
        <v>733.24900000000002</v>
      </c>
      <c r="N380">
        <v>1896.203</v>
      </c>
      <c r="O380">
        <v>-11.795</v>
      </c>
      <c r="P380">
        <v>7.3810000000000002</v>
      </c>
      <c r="Q380">
        <v>1802.89</v>
      </c>
      <c r="R380">
        <v>0</v>
      </c>
      <c r="S380">
        <v>2497.8519999999999</v>
      </c>
      <c r="T380">
        <v>2536.1390000000001</v>
      </c>
      <c r="U380">
        <v>2636.8330000000001</v>
      </c>
      <c r="V380">
        <v>2607.5309999999999</v>
      </c>
      <c r="W380">
        <v>2525.7269999999999</v>
      </c>
      <c r="X380">
        <v>2521.6489999999999</v>
      </c>
      <c r="Y380">
        <v>2.82259058499344E-2</v>
      </c>
      <c r="Z380">
        <v>2572.9349999999999</v>
      </c>
      <c r="AA380" t="s">
        <v>40</v>
      </c>
      <c r="AB380">
        <v>3</v>
      </c>
      <c r="AC380" t="s">
        <v>33</v>
      </c>
    </row>
    <row r="381" spans="1:29" x14ac:dyDescent="0.3">
      <c r="A381">
        <v>129</v>
      </c>
      <c r="B381" t="s">
        <v>216</v>
      </c>
      <c r="C381" t="s">
        <v>126</v>
      </c>
      <c r="D381" s="1">
        <v>42788</v>
      </c>
      <c r="E381">
        <v>50</v>
      </c>
      <c r="F381" t="s">
        <v>217</v>
      </c>
      <c r="G381">
        <v>-133.571</v>
      </c>
      <c r="H381">
        <v>-62.167000000000002</v>
      </c>
      <c r="I381">
        <v>287.90899999999999</v>
      </c>
      <c r="J381">
        <v>-132.34800000000001</v>
      </c>
      <c r="K381">
        <v>1369.241</v>
      </c>
      <c r="L381">
        <v>0</v>
      </c>
      <c r="M381">
        <v>2447.23</v>
      </c>
      <c r="N381">
        <v>-1077.989</v>
      </c>
      <c r="O381">
        <v>-93.198999999999998</v>
      </c>
      <c r="P381">
        <v>1131.5260000000001</v>
      </c>
      <c r="Q381">
        <v>0</v>
      </c>
      <c r="R381">
        <v>31.033999999999999</v>
      </c>
      <c r="S381">
        <v>2657.9070000000002</v>
      </c>
      <c r="T381">
        <v>2447.23</v>
      </c>
      <c r="U381">
        <v>2505.2249999999999</v>
      </c>
      <c r="V381">
        <v>2954.7089999999998</v>
      </c>
      <c r="W381">
        <v>2185.8409999999999</v>
      </c>
      <c r="X381">
        <v>2168.6610000000001</v>
      </c>
      <c r="Y381">
        <v>-5.2828787833428099E-2</v>
      </c>
      <c r="Z381">
        <v>2453.6089999999999</v>
      </c>
      <c r="AA381" t="s">
        <v>40</v>
      </c>
      <c r="AB381">
        <v>3</v>
      </c>
      <c r="AC381" t="s">
        <v>33</v>
      </c>
    </row>
    <row r="382" spans="1:29" x14ac:dyDescent="0.3">
      <c r="A382">
        <v>138</v>
      </c>
      <c r="B382" t="s">
        <v>224</v>
      </c>
      <c r="C382" t="s">
        <v>70</v>
      </c>
      <c r="D382" s="1">
        <v>38463</v>
      </c>
      <c r="E382">
        <v>0</v>
      </c>
      <c r="F382" t="s">
        <v>225</v>
      </c>
      <c r="G382">
        <v>-3039.78</v>
      </c>
      <c r="H382">
        <v>-1872.229</v>
      </c>
      <c r="I382">
        <v>16.510999999999999</v>
      </c>
      <c r="J382">
        <v>-3244.5349999999999</v>
      </c>
      <c r="K382">
        <v>1901.7750000000001</v>
      </c>
      <c r="L382">
        <v>86.25</v>
      </c>
      <c r="M382">
        <v>611.68499999999995</v>
      </c>
      <c r="N382">
        <v>1290.0899999999999</v>
      </c>
      <c r="O382">
        <v>-3012.05</v>
      </c>
      <c r="P382">
        <v>493.762</v>
      </c>
      <c r="Q382">
        <v>5003.7879999999996</v>
      </c>
      <c r="R382">
        <v>3.5999999999999997E-2</v>
      </c>
      <c r="S382">
        <v>2993.8820000000001</v>
      </c>
      <c r="T382">
        <v>5615.473</v>
      </c>
      <c r="U382">
        <v>2395.9380000000001</v>
      </c>
      <c r="V382">
        <v>2940.1590000000001</v>
      </c>
      <c r="W382">
        <v>3820.076</v>
      </c>
      <c r="X382">
        <v>3873.26</v>
      </c>
      <c r="Y382">
        <v>-1.3541815355823099</v>
      </c>
      <c r="Z382">
        <v>3257.3582500000002</v>
      </c>
      <c r="AA382" t="s">
        <v>40</v>
      </c>
      <c r="AB382">
        <v>3</v>
      </c>
      <c r="AC382" t="s">
        <v>33</v>
      </c>
    </row>
    <row r="383" spans="1:29" x14ac:dyDescent="0.3">
      <c r="A383">
        <v>239</v>
      </c>
      <c r="B383" t="s">
        <v>327</v>
      </c>
      <c r="C383" t="s">
        <v>38</v>
      </c>
      <c r="D383" s="1">
        <v>37762</v>
      </c>
      <c r="E383">
        <v>0</v>
      </c>
      <c r="F383" t="s">
        <v>328</v>
      </c>
      <c r="G383">
        <v>-9.8859999999999992</v>
      </c>
      <c r="H383">
        <v>-9.516</v>
      </c>
      <c r="I383">
        <v>847.43299999999999</v>
      </c>
      <c r="J383">
        <v>223.42699999999999</v>
      </c>
      <c r="K383">
        <v>852.35400000000004</v>
      </c>
      <c r="L383">
        <v>540.22500000000002</v>
      </c>
      <c r="M383">
        <v>595.447</v>
      </c>
      <c r="N383">
        <v>256.90699999999998</v>
      </c>
      <c r="O383">
        <v>-9.8859999999999992</v>
      </c>
      <c r="P383">
        <v>9.0890000000000004</v>
      </c>
      <c r="Q383">
        <v>41.933</v>
      </c>
      <c r="R383">
        <v>0.37</v>
      </c>
      <c r="S383">
        <v>1495.502</v>
      </c>
      <c r="T383">
        <v>637.38</v>
      </c>
      <c r="U383">
        <v>861.44299999999998</v>
      </c>
      <c r="V383">
        <v>1729.45</v>
      </c>
      <c r="W383">
        <v>2394.576</v>
      </c>
      <c r="X383">
        <v>3446.4070000000002</v>
      </c>
      <c r="Y383">
        <v>0.25936364913290799</v>
      </c>
      <c r="Z383">
        <v>2107.9690000000001</v>
      </c>
      <c r="AA383" t="s">
        <v>40</v>
      </c>
      <c r="AB383">
        <v>3</v>
      </c>
      <c r="AC383" t="s">
        <v>33</v>
      </c>
    </row>
    <row r="384" spans="1:29" x14ac:dyDescent="0.3">
      <c r="A384">
        <v>245</v>
      </c>
      <c r="B384" t="s">
        <v>333</v>
      </c>
      <c r="C384" t="s">
        <v>38</v>
      </c>
      <c r="D384" s="1">
        <v>34732</v>
      </c>
      <c r="E384">
        <v>5</v>
      </c>
      <c r="F384" t="s">
        <v>334</v>
      </c>
      <c r="G384">
        <v>-461.98099999999999</v>
      </c>
      <c r="H384">
        <v>-391.23200000000003</v>
      </c>
      <c r="I384">
        <v>162.41300000000001</v>
      </c>
      <c r="J384">
        <v>-1003.394</v>
      </c>
      <c r="K384">
        <v>733.53200000000004</v>
      </c>
      <c r="L384">
        <v>0</v>
      </c>
      <c r="M384">
        <v>1822.1379999999999</v>
      </c>
      <c r="N384">
        <v>-1088.606</v>
      </c>
      <c r="O384">
        <v>-395.18900000000002</v>
      </c>
      <c r="P384">
        <v>8.7859999999999996</v>
      </c>
      <c r="Q384">
        <v>0</v>
      </c>
      <c r="R384">
        <v>3.9569999999999999</v>
      </c>
      <c r="S384">
        <v>2273.9299999999998</v>
      </c>
      <c r="T384">
        <v>1822.1379999999999</v>
      </c>
      <c r="U384">
        <v>818.74400000000003</v>
      </c>
      <c r="V384">
        <v>1965.1690000000001</v>
      </c>
      <c r="W384">
        <v>3712.9789999999998</v>
      </c>
      <c r="X384">
        <v>3532.875</v>
      </c>
      <c r="Y384">
        <v>-1.2255283702842401</v>
      </c>
      <c r="Z384">
        <v>2507.44175</v>
      </c>
      <c r="AA384" t="s">
        <v>40</v>
      </c>
      <c r="AB384">
        <v>3</v>
      </c>
      <c r="AC384" t="s">
        <v>33</v>
      </c>
    </row>
    <row r="385" spans="1:29" x14ac:dyDescent="0.3">
      <c r="A385">
        <v>107</v>
      </c>
      <c r="B385" t="s">
        <v>194</v>
      </c>
      <c r="C385" t="s">
        <v>70</v>
      </c>
      <c r="D385" s="1">
        <v>42548</v>
      </c>
      <c r="E385">
        <v>33</v>
      </c>
      <c r="F385" t="s">
        <v>195</v>
      </c>
      <c r="G385">
        <v>51.825000000000003</v>
      </c>
      <c r="H385">
        <v>172.489</v>
      </c>
      <c r="I385">
        <v>3595.9940000000001</v>
      </c>
      <c r="J385">
        <v>101.825</v>
      </c>
      <c r="K385">
        <v>2832.9479999999999</v>
      </c>
      <c r="L385">
        <v>0</v>
      </c>
      <c r="M385">
        <v>2541.7750000000001</v>
      </c>
      <c r="N385">
        <v>291.173</v>
      </c>
      <c r="O385">
        <v>93.361000000000004</v>
      </c>
      <c r="P385">
        <v>376.89400000000001</v>
      </c>
      <c r="Q385">
        <v>452.01600000000002</v>
      </c>
      <c r="R385">
        <v>0.38</v>
      </c>
      <c r="S385">
        <v>351.60899999999998</v>
      </c>
      <c r="T385">
        <v>2993.7910000000002</v>
      </c>
      <c r="U385">
        <v>3212.326</v>
      </c>
      <c r="V385">
        <v>401.60899999999998</v>
      </c>
      <c r="W385">
        <v>137.262</v>
      </c>
      <c r="X385">
        <v>126.696</v>
      </c>
      <c r="Y385">
        <v>3.1698214938334399E-2</v>
      </c>
      <c r="Z385">
        <v>969.47325000000001</v>
      </c>
      <c r="AA385" t="s">
        <v>40</v>
      </c>
      <c r="AB385">
        <v>2</v>
      </c>
      <c r="AC385" t="s">
        <v>33</v>
      </c>
    </row>
    <row r="386" spans="1:29" x14ac:dyDescent="0.3">
      <c r="A386">
        <v>168</v>
      </c>
      <c r="B386" t="s">
        <v>244</v>
      </c>
      <c r="C386" t="s">
        <v>245</v>
      </c>
      <c r="D386" s="1">
        <v>36418</v>
      </c>
      <c r="E386">
        <v>0</v>
      </c>
      <c r="F386" t="s">
        <v>246</v>
      </c>
      <c r="G386">
        <v>30.457999999999998</v>
      </c>
      <c r="H386">
        <v>30.478999999999999</v>
      </c>
      <c r="I386">
        <v>207.691</v>
      </c>
      <c r="J386">
        <v>65.543000000000006</v>
      </c>
      <c r="K386">
        <v>706.04</v>
      </c>
      <c r="L386">
        <v>150</v>
      </c>
      <c r="M386">
        <v>354.19900000000001</v>
      </c>
      <c r="N386">
        <v>351.84100000000001</v>
      </c>
      <c r="O386">
        <v>30.457999999999998</v>
      </c>
      <c r="P386">
        <v>1038.4079999999999</v>
      </c>
      <c r="Q386">
        <v>1313.539</v>
      </c>
      <c r="R386">
        <v>2.1000000000000001E-2</v>
      </c>
      <c r="S386">
        <v>1702.7170000000001</v>
      </c>
      <c r="T386">
        <v>1667.7380000000001</v>
      </c>
      <c r="U386">
        <v>1744.4480000000001</v>
      </c>
      <c r="V386">
        <v>1749.299</v>
      </c>
      <c r="W386">
        <v>1722.7249999999999</v>
      </c>
      <c r="X386">
        <v>1578.961</v>
      </c>
      <c r="Y386">
        <v>3.7572343801592301E-2</v>
      </c>
      <c r="Z386">
        <v>1698.85825</v>
      </c>
      <c r="AA386" t="s">
        <v>40</v>
      </c>
      <c r="AB386">
        <v>2</v>
      </c>
      <c r="AC386" t="s">
        <v>33</v>
      </c>
    </row>
    <row r="387" spans="1:29" x14ac:dyDescent="0.3">
      <c r="A387">
        <v>175</v>
      </c>
      <c r="B387" t="s">
        <v>253</v>
      </c>
      <c r="C387" t="s">
        <v>93</v>
      </c>
      <c r="D387" s="1">
        <v>42626</v>
      </c>
      <c r="E387">
        <v>1</v>
      </c>
      <c r="F387" t="s">
        <v>254</v>
      </c>
      <c r="G387">
        <v>-46.947000000000003</v>
      </c>
      <c r="H387">
        <v>-25.396999999999998</v>
      </c>
      <c r="I387">
        <v>120.565</v>
      </c>
      <c r="J387">
        <v>-19.759</v>
      </c>
      <c r="K387">
        <v>1602.3910000000001</v>
      </c>
      <c r="L387">
        <v>1279.981</v>
      </c>
      <c r="M387">
        <v>1668.377</v>
      </c>
      <c r="N387">
        <v>-65.986000000000004</v>
      </c>
      <c r="O387">
        <v>-29.704999999999998</v>
      </c>
      <c r="P387">
        <v>47.087000000000003</v>
      </c>
      <c r="Q387">
        <v>0</v>
      </c>
      <c r="R387">
        <v>4.3129999999999997</v>
      </c>
      <c r="S387">
        <v>1371.7439999999999</v>
      </c>
      <c r="T387">
        <v>1668.377</v>
      </c>
      <c r="U387">
        <v>1649.4780000000001</v>
      </c>
      <c r="V387">
        <v>1402.7650000000001</v>
      </c>
      <c r="W387">
        <v>1040.2650000000001</v>
      </c>
      <c r="X387">
        <v>243.447</v>
      </c>
      <c r="Y387">
        <v>-1.1978941216554601E-2</v>
      </c>
      <c r="Z387">
        <v>1083.98875</v>
      </c>
      <c r="AA387" t="s">
        <v>40</v>
      </c>
      <c r="AB387">
        <v>2</v>
      </c>
      <c r="AC387" t="s">
        <v>33</v>
      </c>
    </row>
    <row r="388" spans="1:29" x14ac:dyDescent="0.3">
      <c r="A388">
        <v>185</v>
      </c>
      <c r="B388" t="s">
        <v>263</v>
      </c>
      <c r="C388" t="s">
        <v>38</v>
      </c>
      <c r="D388" s="1">
        <v>39167</v>
      </c>
      <c r="E388">
        <v>10</v>
      </c>
      <c r="F388" t="s">
        <v>264</v>
      </c>
      <c r="G388">
        <v>-333.322</v>
      </c>
      <c r="H388">
        <v>-302.06400000000002</v>
      </c>
      <c r="I388">
        <v>193.82499999999999</v>
      </c>
      <c r="J388">
        <v>-307.87599999999998</v>
      </c>
      <c r="K388">
        <v>1279.059</v>
      </c>
      <c r="L388">
        <v>254.32400000000001</v>
      </c>
      <c r="M388">
        <v>1755.2670000000001</v>
      </c>
      <c r="N388">
        <v>-476.20800000000003</v>
      </c>
      <c r="O388">
        <v>-302.06599999999997</v>
      </c>
      <c r="P388">
        <v>226.76499999999999</v>
      </c>
      <c r="Q388">
        <v>0</v>
      </c>
      <c r="R388">
        <v>2E-3</v>
      </c>
      <c r="S388">
        <v>1678.0550000000001</v>
      </c>
      <c r="T388">
        <v>1755.2670000000001</v>
      </c>
      <c r="U388">
        <v>1507.2149999999999</v>
      </c>
      <c r="V388">
        <v>1792.489</v>
      </c>
      <c r="W388">
        <v>2094.279</v>
      </c>
      <c r="X388">
        <v>2179.4540000000002</v>
      </c>
      <c r="Y388">
        <v>-0.20426813692804299</v>
      </c>
      <c r="Z388">
        <v>1893.35925</v>
      </c>
      <c r="AA388" t="s">
        <v>40</v>
      </c>
      <c r="AB388">
        <v>2</v>
      </c>
      <c r="AC388" t="s">
        <v>33</v>
      </c>
    </row>
    <row r="389" spans="1:29" x14ac:dyDescent="0.3">
      <c r="A389">
        <v>187</v>
      </c>
      <c r="B389" t="s">
        <v>267</v>
      </c>
      <c r="C389" t="s">
        <v>70</v>
      </c>
      <c r="D389" s="1">
        <v>40247</v>
      </c>
      <c r="E389">
        <v>11</v>
      </c>
      <c r="F389" t="s">
        <v>268</v>
      </c>
      <c r="G389">
        <v>-316.55799999999999</v>
      </c>
      <c r="H389">
        <v>-301.31900000000002</v>
      </c>
      <c r="I389">
        <v>613.38800000000003</v>
      </c>
      <c r="J389">
        <v>-103.245</v>
      </c>
      <c r="K389">
        <v>648.72400000000005</v>
      </c>
      <c r="L389">
        <v>14.526999999999999</v>
      </c>
      <c r="M389">
        <v>978.35199999999998</v>
      </c>
      <c r="N389">
        <v>-329.62799999999999</v>
      </c>
      <c r="O389">
        <v>-316.55799999999999</v>
      </c>
      <c r="P389">
        <v>765.69299999999998</v>
      </c>
      <c r="Q389">
        <v>513.73099999999999</v>
      </c>
      <c r="R389">
        <v>15.239000000000001</v>
      </c>
      <c r="S389">
        <v>1738.31</v>
      </c>
      <c r="T389">
        <v>1492.0830000000001</v>
      </c>
      <c r="U389">
        <v>1442.4190000000001</v>
      </c>
      <c r="V389">
        <v>1969.201</v>
      </c>
      <c r="W389">
        <v>2048.578</v>
      </c>
      <c r="X389">
        <v>1976.33</v>
      </c>
      <c r="Y389">
        <v>-7.1577676112142205E-2</v>
      </c>
      <c r="Z389">
        <v>1859.1320000000001</v>
      </c>
      <c r="AA389" t="s">
        <v>40</v>
      </c>
      <c r="AB389">
        <v>2</v>
      </c>
      <c r="AC389" t="s">
        <v>33</v>
      </c>
    </row>
    <row r="390" spans="1:29" x14ac:dyDescent="0.3">
      <c r="A390">
        <v>204</v>
      </c>
      <c r="B390" t="s">
        <v>281</v>
      </c>
      <c r="C390" t="s">
        <v>93</v>
      </c>
      <c r="D390" s="1">
        <v>40095</v>
      </c>
      <c r="E390">
        <v>15</v>
      </c>
      <c r="F390" t="s">
        <v>282</v>
      </c>
      <c r="G390">
        <v>-1429.1690000000001</v>
      </c>
      <c r="H390">
        <v>-1376.203</v>
      </c>
      <c r="I390">
        <v>778.01700000000005</v>
      </c>
      <c r="J390">
        <v>-1368.6980000000001</v>
      </c>
      <c r="K390">
        <v>1190.0530000000001</v>
      </c>
      <c r="L390">
        <v>69.153999999999996</v>
      </c>
      <c r="M390">
        <v>2167.0419999999999</v>
      </c>
      <c r="N390">
        <v>-976.98900000000003</v>
      </c>
      <c r="O390">
        <v>-1409.7950000000001</v>
      </c>
      <c r="P390">
        <v>43.484999999999999</v>
      </c>
      <c r="Q390">
        <v>284.83</v>
      </c>
      <c r="R390">
        <v>33.591999999999999</v>
      </c>
      <c r="S390">
        <v>2327.9270000000001</v>
      </c>
      <c r="T390">
        <v>2451.8719999999998</v>
      </c>
      <c r="U390">
        <v>1235.722</v>
      </c>
      <c r="V390">
        <v>2522.1849999999999</v>
      </c>
      <c r="W390">
        <v>2247.3029999999999</v>
      </c>
      <c r="X390">
        <v>1807.1859999999999</v>
      </c>
      <c r="Y390">
        <v>-1.1076099640534001</v>
      </c>
      <c r="Z390">
        <v>1953.0989999999999</v>
      </c>
      <c r="AA390" t="s">
        <v>40</v>
      </c>
      <c r="AB390">
        <v>2</v>
      </c>
      <c r="AC390" t="s">
        <v>33</v>
      </c>
    </row>
    <row r="391" spans="1:29" x14ac:dyDescent="0.3">
      <c r="A391">
        <v>205</v>
      </c>
      <c r="B391" t="s">
        <v>283</v>
      </c>
      <c r="C391" t="s">
        <v>38</v>
      </c>
      <c r="D391" s="1">
        <v>37593</v>
      </c>
      <c r="E391">
        <v>0</v>
      </c>
      <c r="F391" t="s">
        <v>284</v>
      </c>
      <c r="G391">
        <v>-80.745999999999995</v>
      </c>
      <c r="H391">
        <v>5.859</v>
      </c>
      <c r="I391">
        <v>12.5</v>
      </c>
      <c r="J391">
        <v>1092.3040000000001</v>
      </c>
      <c r="K391">
        <v>142.768</v>
      </c>
      <c r="L391">
        <v>0</v>
      </c>
      <c r="M391">
        <v>29.094000000000001</v>
      </c>
      <c r="N391">
        <v>113.67400000000001</v>
      </c>
      <c r="O391">
        <v>4.2539999999999996</v>
      </c>
      <c r="P391">
        <v>1089.932</v>
      </c>
      <c r="Q391">
        <v>111.333</v>
      </c>
      <c r="R391">
        <v>1.619</v>
      </c>
      <c r="S391">
        <v>136.274</v>
      </c>
      <c r="T391">
        <v>140.42699999999999</v>
      </c>
      <c r="U391">
        <v>1232.731</v>
      </c>
      <c r="V391">
        <v>1312.405</v>
      </c>
      <c r="W391">
        <v>1287.0609999999999</v>
      </c>
      <c r="X391">
        <v>1278.971</v>
      </c>
      <c r="Y391">
        <v>0.88608463646975699</v>
      </c>
      <c r="Z391">
        <v>1277.7919999999999</v>
      </c>
      <c r="AA391" t="s">
        <v>40</v>
      </c>
      <c r="AB391">
        <v>2</v>
      </c>
      <c r="AC391" t="s">
        <v>33</v>
      </c>
    </row>
    <row r="392" spans="1:29" x14ac:dyDescent="0.3">
      <c r="A392">
        <v>208</v>
      </c>
      <c r="B392" t="s">
        <v>287</v>
      </c>
      <c r="C392" t="s">
        <v>38</v>
      </c>
      <c r="D392" s="1">
        <v>36991</v>
      </c>
      <c r="E392">
        <v>8</v>
      </c>
      <c r="F392" t="s">
        <v>288</v>
      </c>
      <c r="G392">
        <v>-12.029</v>
      </c>
      <c r="H392">
        <v>29.041</v>
      </c>
      <c r="I392">
        <v>319.5</v>
      </c>
      <c r="J392">
        <v>267.49900000000002</v>
      </c>
      <c r="K392">
        <v>577.95399999999995</v>
      </c>
      <c r="L392">
        <v>5.2480000000000002</v>
      </c>
      <c r="M392">
        <v>660.63</v>
      </c>
      <c r="N392">
        <v>-82.676000000000002</v>
      </c>
      <c r="O392">
        <v>9.1080000000000005</v>
      </c>
      <c r="P392">
        <v>467.60599999999999</v>
      </c>
      <c r="Q392">
        <v>229.96600000000001</v>
      </c>
      <c r="R392">
        <v>16.768999999999998</v>
      </c>
      <c r="S392">
        <v>997.89700000000005</v>
      </c>
      <c r="T392">
        <v>890.596</v>
      </c>
      <c r="U392">
        <v>1158.095</v>
      </c>
      <c r="V392">
        <v>1319.3119999999999</v>
      </c>
      <c r="W392">
        <v>1613.83</v>
      </c>
      <c r="X392">
        <v>1957.5820000000001</v>
      </c>
      <c r="Y392">
        <v>0.23098191426437401</v>
      </c>
      <c r="Z392">
        <v>1512.2047500000001</v>
      </c>
      <c r="AA392" t="s">
        <v>40</v>
      </c>
      <c r="AB392">
        <v>2</v>
      </c>
      <c r="AC392" t="s">
        <v>33</v>
      </c>
    </row>
    <row r="393" spans="1:29" x14ac:dyDescent="0.3">
      <c r="A393">
        <v>217</v>
      </c>
      <c r="B393" t="s">
        <v>299</v>
      </c>
      <c r="C393" t="s">
        <v>93</v>
      </c>
      <c r="D393" s="1">
        <v>40087</v>
      </c>
      <c r="E393">
        <v>1</v>
      </c>
      <c r="F393" t="s">
        <v>300</v>
      </c>
      <c r="G393">
        <v>2.9449999999999998</v>
      </c>
      <c r="H393">
        <v>4.1909999999999998</v>
      </c>
      <c r="I393">
        <v>41</v>
      </c>
      <c r="J393">
        <v>-615.02800000000002</v>
      </c>
      <c r="K393">
        <v>1060.374</v>
      </c>
      <c r="L393">
        <v>0</v>
      </c>
      <c r="M393">
        <v>1518.2729999999999</v>
      </c>
      <c r="N393">
        <v>-457.899</v>
      </c>
      <c r="O393">
        <v>3.4529999999999998</v>
      </c>
      <c r="P393">
        <v>64.875</v>
      </c>
      <c r="Q393">
        <v>98.236000000000004</v>
      </c>
      <c r="R393">
        <v>0.73799999999999999</v>
      </c>
      <c r="S393">
        <v>1601.9449999999999</v>
      </c>
      <c r="T393">
        <v>1616.509</v>
      </c>
      <c r="U393">
        <v>1128.17</v>
      </c>
      <c r="V393">
        <v>1110.6610000000001</v>
      </c>
      <c r="W393">
        <v>1109.5</v>
      </c>
      <c r="X393">
        <v>1434.1969999999999</v>
      </c>
      <c r="Y393">
        <v>-0.54515542870312095</v>
      </c>
      <c r="Z393">
        <v>1195.6320000000001</v>
      </c>
      <c r="AA393" t="s">
        <v>40</v>
      </c>
      <c r="AB393">
        <v>2</v>
      </c>
      <c r="AC393" t="s">
        <v>33</v>
      </c>
    </row>
    <row r="394" spans="1:29" x14ac:dyDescent="0.3">
      <c r="A394">
        <v>220</v>
      </c>
      <c r="B394" t="s">
        <v>305</v>
      </c>
      <c r="C394" t="s">
        <v>38</v>
      </c>
      <c r="D394" s="1">
        <v>33956</v>
      </c>
      <c r="E394">
        <v>5</v>
      </c>
      <c r="F394" t="s">
        <v>306</v>
      </c>
      <c r="G394">
        <v>-538.14300000000003</v>
      </c>
      <c r="H394">
        <v>-421.58100000000002</v>
      </c>
      <c r="I394">
        <v>121.941</v>
      </c>
      <c r="J394">
        <v>-962.25599999999997</v>
      </c>
      <c r="K394">
        <v>951.65499999999997</v>
      </c>
      <c r="L394">
        <v>40</v>
      </c>
      <c r="M394">
        <v>1919.963</v>
      </c>
      <c r="N394">
        <v>-968.30799999999999</v>
      </c>
      <c r="O394">
        <v>-518.01800000000003</v>
      </c>
      <c r="P394">
        <v>79.200999999999993</v>
      </c>
      <c r="Q394">
        <v>25.53</v>
      </c>
      <c r="R394">
        <v>96.436999999999998</v>
      </c>
      <c r="S394">
        <v>2015.1559999999999</v>
      </c>
      <c r="T394">
        <v>1945.4929999999999</v>
      </c>
      <c r="U394">
        <v>1048.7639999999999</v>
      </c>
      <c r="V394">
        <v>1658.6079999999999</v>
      </c>
      <c r="W394">
        <v>1793.0170000000001</v>
      </c>
      <c r="X394">
        <v>2064.806</v>
      </c>
      <c r="Y394">
        <v>-0.91751433115553205</v>
      </c>
      <c r="Z394">
        <v>1641.2987499999999</v>
      </c>
      <c r="AA394" t="s">
        <v>40</v>
      </c>
      <c r="AB394">
        <v>2</v>
      </c>
      <c r="AC394" t="s">
        <v>33</v>
      </c>
    </row>
    <row r="395" spans="1:29" x14ac:dyDescent="0.3">
      <c r="A395">
        <v>228</v>
      </c>
      <c r="B395" t="s">
        <v>315</v>
      </c>
      <c r="C395" t="s">
        <v>38</v>
      </c>
      <c r="D395" s="1">
        <v>33918</v>
      </c>
      <c r="E395">
        <v>10</v>
      </c>
      <c r="F395" t="s">
        <v>316</v>
      </c>
      <c r="G395">
        <v>-251.773</v>
      </c>
      <c r="H395">
        <v>-219.64</v>
      </c>
      <c r="I395">
        <v>431.41199999999998</v>
      </c>
      <c r="J395">
        <v>-99.837999999999994</v>
      </c>
      <c r="K395">
        <v>909.11099999999999</v>
      </c>
      <c r="L395">
        <v>117.901</v>
      </c>
      <c r="M395">
        <v>1079.519</v>
      </c>
      <c r="N395">
        <v>-170.40799999999999</v>
      </c>
      <c r="O395">
        <v>-251.773</v>
      </c>
      <c r="P395">
        <v>99.117999999999995</v>
      </c>
      <c r="Q395">
        <v>0</v>
      </c>
      <c r="R395">
        <v>32.811</v>
      </c>
      <c r="S395">
        <v>1141.471</v>
      </c>
      <c r="T395">
        <v>1079.519</v>
      </c>
      <c r="U395">
        <v>1008.229</v>
      </c>
      <c r="V395">
        <v>1316.145</v>
      </c>
      <c r="W395">
        <v>1241.9490000000001</v>
      </c>
      <c r="X395">
        <v>1190.8599999999999</v>
      </c>
      <c r="Y395">
        <v>-9.9023138592522097E-2</v>
      </c>
      <c r="Z395">
        <v>1189.29575</v>
      </c>
      <c r="AA395" t="s">
        <v>40</v>
      </c>
      <c r="AB395">
        <v>2</v>
      </c>
      <c r="AC395" t="s">
        <v>33</v>
      </c>
    </row>
    <row r="396" spans="1:29" x14ac:dyDescent="0.3">
      <c r="A396">
        <v>233</v>
      </c>
      <c r="B396" t="s">
        <v>321</v>
      </c>
      <c r="C396" t="s">
        <v>70</v>
      </c>
      <c r="D396" s="1">
        <v>31034</v>
      </c>
      <c r="E396">
        <v>5</v>
      </c>
      <c r="F396" t="s">
        <v>322</v>
      </c>
      <c r="G396">
        <v>239.29499999999999</v>
      </c>
      <c r="H396">
        <v>253.12100000000001</v>
      </c>
      <c r="I396">
        <v>252.41800000000001</v>
      </c>
      <c r="J396">
        <v>-1007.908</v>
      </c>
      <c r="K396">
        <v>580.14700000000005</v>
      </c>
      <c r="L396">
        <v>0</v>
      </c>
      <c r="M396">
        <v>1780.9670000000001</v>
      </c>
      <c r="N396">
        <v>-1200.82</v>
      </c>
      <c r="O396">
        <v>251.733</v>
      </c>
      <c r="P396">
        <v>328.35300000000001</v>
      </c>
      <c r="Q396">
        <v>11.93</v>
      </c>
      <c r="R396">
        <v>1.3879999999999999</v>
      </c>
      <c r="S396">
        <v>1977.425</v>
      </c>
      <c r="T396">
        <v>1792.8969999999999</v>
      </c>
      <c r="U396">
        <v>908.77499999999998</v>
      </c>
      <c r="V396">
        <v>893.49400000000003</v>
      </c>
      <c r="W396">
        <v>1212.297</v>
      </c>
      <c r="X396">
        <v>1460.4159999999999</v>
      </c>
      <c r="Y396">
        <v>-1.10908420676185</v>
      </c>
      <c r="Z396">
        <v>1118.7455</v>
      </c>
      <c r="AA396" t="s">
        <v>40</v>
      </c>
      <c r="AB396">
        <v>2</v>
      </c>
      <c r="AC396" t="s">
        <v>33</v>
      </c>
    </row>
    <row r="397" spans="1:29" x14ac:dyDescent="0.3">
      <c r="A397">
        <v>249</v>
      </c>
      <c r="B397" t="s">
        <v>335</v>
      </c>
      <c r="C397" t="s">
        <v>38</v>
      </c>
      <c r="D397" s="1">
        <v>37523</v>
      </c>
      <c r="E397">
        <v>15</v>
      </c>
      <c r="F397" t="s">
        <v>336</v>
      </c>
      <c r="G397">
        <v>-737.29899999999998</v>
      </c>
      <c r="H397">
        <v>-676.69799999999998</v>
      </c>
      <c r="I397">
        <v>1761.6479999999999</v>
      </c>
      <c r="J397">
        <v>-704.49099999999999</v>
      </c>
      <c r="K397">
        <v>740.15499999999997</v>
      </c>
      <c r="L397">
        <v>0</v>
      </c>
      <c r="M397">
        <v>1072.357</v>
      </c>
      <c r="N397">
        <v>-332.202</v>
      </c>
      <c r="O397">
        <v>-729.60199999999998</v>
      </c>
      <c r="P397">
        <v>32.131</v>
      </c>
      <c r="Q397">
        <v>290.02199999999999</v>
      </c>
      <c r="R397">
        <v>32.448</v>
      </c>
      <c r="S397">
        <v>1036.9359999999999</v>
      </c>
      <c r="T397">
        <v>1362.3789999999999</v>
      </c>
      <c r="U397">
        <v>775.226</v>
      </c>
      <c r="V397">
        <v>1202.3019999999999</v>
      </c>
      <c r="W397">
        <v>1048.4100000000001</v>
      </c>
      <c r="X397">
        <v>900.11900000000003</v>
      </c>
      <c r="Y397">
        <v>-0.90875564029070199</v>
      </c>
      <c r="Z397">
        <v>981.51424999999995</v>
      </c>
      <c r="AA397" t="s">
        <v>40</v>
      </c>
      <c r="AB397">
        <v>2</v>
      </c>
      <c r="AC397" t="s">
        <v>33</v>
      </c>
    </row>
    <row r="398" spans="1:29" x14ac:dyDescent="0.3">
      <c r="A398">
        <v>253</v>
      </c>
      <c r="B398" t="s">
        <v>341</v>
      </c>
      <c r="C398" t="s">
        <v>38</v>
      </c>
      <c r="D398" s="1">
        <v>40585</v>
      </c>
      <c r="E398">
        <v>21</v>
      </c>
      <c r="F398" t="s">
        <v>342</v>
      </c>
      <c r="G398">
        <v>-416.04500000000002</v>
      </c>
      <c r="H398">
        <v>-405.56299999999999</v>
      </c>
      <c r="I398">
        <v>938.14099999999996</v>
      </c>
      <c r="J398">
        <v>-403.47800000000001</v>
      </c>
      <c r="K398">
        <v>717.22500000000002</v>
      </c>
      <c r="L398">
        <v>45</v>
      </c>
      <c r="M398">
        <v>918.84900000000005</v>
      </c>
      <c r="N398">
        <v>-201.624</v>
      </c>
      <c r="O398">
        <v>-412.428</v>
      </c>
      <c r="P398">
        <v>14.569000000000001</v>
      </c>
      <c r="Q398">
        <v>194.04300000000001</v>
      </c>
      <c r="R398">
        <v>6.8650000000000002</v>
      </c>
      <c r="S398">
        <v>785.84</v>
      </c>
      <c r="T398">
        <v>1112.8920000000001</v>
      </c>
      <c r="U398">
        <v>739.29399999999998</v>
      </c>
      <c r="V398">
        <v>859.31899999999996</v>
      </c>
      <c r="W398">
        <v>1188.6769999999999</v>
      </c>
      <c r="X398">
        <v>1065.732</v>
      </c>
      <c r="Y398">
        <v>-0.54576122625099099</v>
      </c>
      <c r="Z398">
        <v>963.25549999999998</v>
      </c>
      <c r="AA398" t="s">
        <v>40</v>
      </c>
      <c r="AB398">
        <v>2</v>
      </c>
      <c r="AC398" t="s">
        <v>33</v>
      </c>
    </row>
    <row r="399" spans="1:29" x14ac:dyDescent="0.3">
      <c r="A399">
        <v>279</v>
      </c>
      <c r="B399" t="s">
        <v>366</v>
      </c>
      <c r="C399" t="s">
        <v>70</v>
      </c>
      <c r="D399" s="1">
        <v>39174</v>
      </c>
      <c r="E399">
        <v>1</v>
      </c>
      <c r="F399" t="s">
        <v>367</v>
      </c>
      <c r="G399">
        <v>-991.99199999999996</v>
      </c>
      <c r="H399">
        <v>-986.56899999999996</v>
      </c>
      <c r="I399">
        <v>187.06700000000001</v>
      </c>
      <c r="J399">
        <v>-981.86800000000005</v>
      </c>
      <c r="K399">
        <v>520.41499999999996</v>
      </c>
      <c r="L399">
        <v>130</v>
      </c>
      <c r="M399">
        <v>1287.0619999999999</v>
      </c>
      <c r="N399">
        <v>-766.64700000000005</v>
      </c>
      <c r="O399">
        <v>-987.19</v>
      </c>
      <c r="P399">
        <v>26.968</v>
      </c>
      <c r="Q399">
        <v>250.52099999999999</v>
      </c>
      <c r="R399">
        <v>0.621</v>
      </c>
      <c r="S399">
        <v>1661.885</v>
      </c>
      <c r="T399">
        <v>1537.5830000000001</v>
      </c>
      <c r="U399">
        <v>556.04300000000001</v>
      </c>
      <c r="V399">
        <v>1672.008</v>
      </c>
      <c r="W399">
        <v>2281.5059999999999</v>
      </c>
      <c r="X399">
        <v>3330.7080000000001</v>
      </c>
      <c r="Y399">
        <v>-1.7658130756074599</v>
      </c>
      <c r="Z399">
        <v>1960.0662500000001</v>
      </c>
      <c r="AA399" t="s">
        <v>40</v>
      </c>
      <c r="AB399">
        <v>2</v>
      </c>
      <c r="AC399" t="s">
        <v>33</v>
      </c>
    </row>
    <row r="400" spans="1:29" x14ac:dyDescent="0.3">
      <c r="A400">
        <v>342</v>
      </c>
      <c r="B400" t="s">
        <v>428</v>
      </c>
      <c r="C400" t="s">
        <v>70</v>
      </c>
      <c r="D400" s="1">
        <v>40514</v>
      </c>
      <c r="E400">
        <v>0</v>
      </c>
      <c r="F400" t="s">
        <v>429</v>
      </c>
      <c r="G400">
        <v>-97.997</v>
      </c>
      <c r="H400">
        <v>-94.043999999999997</v>
      </c>
      <c r="I400">
        <v>10.962999999999999</v>
      </c>
      <c r="J400">
        <v>-724.23900000000003</v>
      </c>
      <c r="K400">
        <v>261.58499999999998</v>
      </c>
      <c r="L400">
        <v>0</v>
      </c>
      <c r="M400">
        <v>985.82399999999996</v>
      </c>
      <c r="N400">
        <v>-724.23900000000003</v>
      </c>
      <c r="O400">
        <v>-97.997</v>
      </c>
      <c r="P400">
        <v>0</v>
      </c>
      <c r="Q400">
        <v>0</v>
      </c>
      <c r="R400">
        <v>3.9529999999999998</v>
      </c>
      <c r="S400">
        <v>1233.4590000000001</v>
      </c>
      <c r="T400">
        <v>985.82399999999996</v>
      </c>
      <c r="U400">
        <v>261.58499999999998</v>
      </c>
      <c r="V400">
        <v>574.21600000000001</v>
      </c>
      <c r="W400">
        <v>2090.873</v>
      </c>
      <c r="X400">
        <v>1850.606</v>
      </c>
      <c r="Y400">
        <v>-2.7686564596593799</v>
      </c>
      <c r="Z400">
        <v>1194.32</v>
      </c>
      <c r="AA400" t="s">
        <v>40</v>
      </c>
      <c r="AB400">
        <v>2</v>
      </c>
      <c r="AC400" t="s">
        <v>33</v>
      </c>
    </row>
    <row r="401" spans="1:29" x14ac:dyDescent="0.3">
      <c r="A401">
        <v>199</v>
      </c>
      <c r="B401" t="s">
        <v>277</v>
      </c>
      <c r="C401" t="s">
        <v>48</v>
      </c>
      <c r="D401" s="1">
        <v>42178</v>
      </c>
      <c r="E401">
        <v>58</v>
      </c>
      <c r="F401" t="s">
        <v>278</v>
      </c>
      <c r="G401">
        <v>78.94</v>
      </c>
      <c r="H401">
        <v>144.12700000000001</v>
      </c>
      <c r="I401">
        <v>1730.3230000000001</v>
      </c>
      <c r="J401">
        <v>247.79400000000001</v>
      </c>
      <c r="K401">
        <v>1059.1420000000001</v>
      </c>
      <c r="L401">
        <v>62.68</v>
      </c>
      <c r="M401">
        <v>982.16800000000001</v>
      </c>
      <c r="N401">
        <v>76.974000000000004</v>
      </c>
      <c r="O401">
        <v>78.94</v>
      </c>
      <c r="P401">
        <v>224.67599999999999</v>
      </c>
      <c r="Q401">
        <v>0</v>
      </c>
      <c r="R401">
        <v>13.714</v>
      </c>
      <c r="S401">
        <v>514.45699999999999</v>
      </c>
      <c r="T401">
        <v>982.16800000000001</v>
      </c>
      <c r="U401">
        <v>1283.818</v>
      </c>
      <c r="V401">
        <v>703.50199999999995</v>
      </c>
      <c r="W401">
        <v>331.892</v>
      </c>
      <c r="X401">
        <v>417.99</v>
      </c>
      <c r="Y401">
        <v>0.19301333989708799</v>
      </c>
      <c r="Z401">
        <v>684.30050000000006</v>
      </c>
      <c r="AA401" t="s">
        <v>40</v>
      </c>
      <c r="AB401">
        <v>1</v>
      </c>
      <c r="AC401" t="s">
        <v>33</v>
      </c>
    </row>
    <row r="402" spans="1:29" x14ac:dyDescent="0.3">
      <c r="A402">
        <v>264</v>
      </c>
      <c r="B402" t="s">
        <v>349</v>
      </c>
      <c r="C402" t="s">
        <v>48</v>
      </c>
      <c r="D402" s="1">
        <v>42251</v>
      </c>
      <c r="E402">
        <v>6</v>
      </c>
      <c r="F402" t="s">
        <v>350</v>
      </c>
      <c r="G402">
        <v>15.254</v>
      </c>
      <c r="H402">
        <v>21.167000000000002</v>
      </c>
      <c r="I402">
        <v>580.23099999999999</v>
      </c>
      <c r="J402">
        <v>120.625</v>
      </c>
      <c r="K402">
        <v>637.24400000000003</v>
      </c>
      <c r="L402">
        <v>78.942999999999998</v>
      </c>
      <c r="M402">
        <v>270.77999999999997</v>
      </c>
      <c r="N402">
        <v>366.464</v>
      </c>
      <c r="O402">
        <v>17.399000000000001</v>
      </c>
      <c r="P402">
        <v>13.023</v>
      </c>
      <c r="Q402">
        <v>239.99299999999999</v>
      </c>
      <c r="R402">
        <v>3.7679999999999998</v>
      </c>
      <c r="S402">
        <v>370.20600000000002</v>
      </c>
      <c r="T402">
        <v>510.77300000000002</v>
      </c>
      <c r="U402">
        <v>660.48699999999997</v>
      </c>
      <c r="V402">
        <v>501.358</v>
      </c>
      <c r="W402">
        <v>286.54000000000002</v>
      </c>
      <c r="X402">
        <v>146.11600000000001</v>
      </c>
      <c r="Y402">
        <v>0.18263039242256099</v>
      </c>
      <c r="Z402">
        <v>398.62524999999999</v>
      </c>
      <c r="AA402" t="s">
        <v>40</v>
      </c>
      <c r="AB402">
        <v>1</v>
      </c>
      <c r="AC402" t="s">
        <v>33</v>
      </c>
    </row>
    <row r="403" spans="1:29" x14ac:dyDescent="0.3">
      <c r="A403">
        <v>267</v>
      </c>
      <c r="B403" t="s">
        <v>353</v>
      </c>
      <c r="C403" t="s">
        <v>354</v>
      </c>
      <c r="D403" s="1">
        <v>41065</v>
      </c>
      <c r="E403">
        <v>2</v>
      </c>
      <c r="F403" t="s">
        <v>355</v>
      </c>
      <c r="G403">
        <v>-67.659000000000006</v>
      </c>
      <c r="H403">
        <v>-67.594999999999999</v>
      </c>
      <c r="I403">
        <v>38.418999999999997</v>
      </c>
      <c r="J403">
        <v>-707.596</v>
      </c>
      <c r="K403">
        <v>630.62800000000004</v>
      </c>
      <c r="L403">
        <v>0</v>
      </c>
      <c r="M403">
        <v>1011.41</v>
      </c>
      <c r="N403">
        <v>-380.78199999999998</v>
      </c>
      <c r="O403">
        <v>-67.659000000000006</v>
      </c>
      <c r="P403">
        <v>7.7530000000000001</v>
      </c>
      <c r="Q403">
        <v>336.48899999999998</v>
      </c>
      <c r="R403">
        <v>6.4000000000000001E-2</v>
      </c>
      <c r="S403">
        <v>1194.4770000000001</v>
      </c>
      <c r="T403">
        <v>1347.8989999999999</v>
      </c>
      <c r="U403">
        <v>640.303</v>
      </c>
      <c r="V403">
        <v>577.096</v>
      </c>
      <c r="W403">
        <v>562.44100000000003</v>
      </c>
      <c r="X403">
        <v>507.31799999999998</v>
      </c>
      <c r="Y403">
        <v>-1.10509555632255</v>
      </c>
      <c r="Z403">
        <v>571.78949999999998</v>
      </c>
      <c r="AA403" t="s">
        <v>40</v>
      </c>
      <c r="AB403">
        <v>1</v>
      </c>
      <c r="AC403" t="s">
        <v>33</v>
      </c>
    </row>
    <row r="404" spans="1:29" x14ac:dyDescent="0.3">
      <c r="A404">
        <v>294</v>
      </c>
      <c r="B404" t="s">
        <v>378</v>
      </c>
      <c r="C404" t="s">
        <v>93</v>
      </c>
      <c r="D404" s="1">
        <v>35821</v>
      </c>
      <c r="E404">
        <v>0</v>
      </c>
      <c r="F404" t="s">
        <v>379</v>
      </c>
      <c r="G404">
        <v>-4.4649999999999999</v>
      </c>
      <c r="H404">
        <v>-4.4589999999999996</v>
      </c>
      <c r="I404">
        <v>82.391000000000005</v>
      </c>
      <c r="J404">
        <v>94.855000000000004</v>
      </c>
      <c r="K404">
        <v>384.41899999999998</v>
      </c>
      <c r="L404">
        <v>0</v>
      </c>
      <c r="M404">
        <v>355.44499999999999</v>
      </c>
      <c r="N404">
        <v>28.974</v>
      </c>
      <c r="O404">
        <v>-4.4649999999999999</v>
      </c>
      <c r="P404">
        <v>74.322999999999993</v>
      </c>
      <c r="Q404">
        <v>0</v>
      </c>
      <c r="R404">
        <v>6.0000000000000001E-3</v>
      </c>
      <c r="S404">
        <v>389.17899999999997</v>
      </c>
      <c r="T404">
        <v>355.44499999999999</v>
      </c>
      <c r="U404">
        <v>458.74200000000002</v>
      </c>
      <c r="V404">
        <v>420.56700000000001</v>
      </c>
      <c r="W404">
        <v>397.01</v>
      </c>
      <c r="X404">
        <v>385.08199999999999</v>
      </c>
      <c r="Y404">
        <v>0.206771998203783</v>
      </c>
      <c r="Z404">
        <v>415.35025000000002</v>
      </c>
      <c r="AA404" t="s">
        <v>40</v>
      </c>
      <c r="AB404">
        <v>1</v>
      </c>
      <c r="AC404" t="s">
        <v>33</v>
      </c>
    </row>
    <row r="405" spans="1:29" x14ac:dyDescent="0.3">
      <c r="A405">
        <v>298</v>
      </c>
      <c r="B405" t="s">
        <v>382</v>
      </c>
      <c r="C405" t="s">
        <v>48</v>
      </c>
      <c r="D405" s="1">
        <v>40872</v>
      </c>
      <c r="E405">
        <v>7</v>
      </c>
      <c r="F405" t="s">
        <v>383</v>
      </c>
      <c r="G405">
        <v>-64.069000000000003</v>
      </c>
      <c r="H405">
        <v>-64.051000000000002</v>
      </c>
      <c r="I405">
        <v>175.167</v>
      </c>
      <c r="J405">
        <v>-323.38600000000002</v>
      </c>
      <c r="K405">
        <v>434.67899999999997</v>
      </c>
      <c r="L405">
        <v>0</v>
      </c>
      <c r="M405">
        <v>703.59699999999998</v>
      </c>
      <c r="N405">
        <v>-268.91800000000001</v>
      </c>
      <c r="O405">
        <v>-64.069000000000003</v>
      </c>
      <c r="P405">
        <v>5.2050000000000001</v>
      </c>
      <c r="Q405">
        <v>0</v>
      </c>
      <c r="R405">
        <v>1.7999999999999999E-2</v>
      </c>
      <c r="S405">
        <v>477.35300000000001</v>
      </c>
      <c r="T405">
        <v>703.59699999999998</v>
      </c>
      <c r="U405">
        <v>440.48899999999998</v>
      </c>
      <c r="V405">
        <v>272.04599999999999</v>
      </c>
      <c r="W405">
        <v>314.76299999999998</v>
      </c>
      <c r="X405">
        <v>348.82100000000003</v>
      </c>
      <c r="Y405">
        <v>-0.73415227167988295</v>
      </c>
      <c r="Z405">
        <v>344.02974999999998</v>
      </c>
      <c r="AA405" t="s">
        <v>40</v>
      </c>
      <c r="AB405">
        <v>1</v>
      </c>
      <c r="AC405" t="s">
        <v>33</v>
      </c>
    </row>
    <row r="406" spans="1:29" x14ac:dyDescent="0.3">
      <c r="A406">
        <v>300</v>
      </c>
      <c r="B406" t="s">
        <v>384</v>
      </c>
      <c r="C406" t="s">
        <v>126</v>
      </c>
      <c r="D406" s="1">
        <v>39114</v>
      </c>
      <c r="E406">
        <v>0</v>
      </c>
      <c r="F406" t="s">
        <v>385</v>
      </c>
      <c r="G406">
        <v>-15.661</v>
      </c>
      <c r="H406">
        <v>-3.9359999999999999</v>
      </c>
      <c r="I406">
        <v>92.5</v>
      </c>
      <c r="J406">
        <v>-188.11</v>
      </c>
      <c r="K406">
        <v>422.92500000000001</v>
      </c>
      <c r="L406">
        <v>386.41500000000002</v>
      </c>
      <c r="M406">
        <v>278.93700000000001</v>
      </c>
      <c r="N406">
        <v>143.988</v>
      </c>
      <c r="O406">
        <v>-15.661</v>
      </c>
      <c r="P406">
        <v>0</v>
      </c>
      <c r="Q406">
        <v>345.59800000000001</v>
      </c>
      <c r="R406">
        <v>11.725</v>
      </c>
      <c r="S406">
        <v>713.19299999999998</v>
      </c>
      <c r="T406">
        <v>624.53499999999997</v>
      </c>
      <c r="U406">
        <v>436.42500000000001</v>
      </c>
      <c r="V406">
        <v>540.74300000000005</v>
      </c>
      <c r="W406">
        <v>803.572</v>
      </c>
      <c r="X406">
        <v>1005.471</v>
      </c>
      <c r="Y406">
        <v>-0.43102480380363201</v>
      </c>
      <c r="Z406">
        <v>696.55274999999995</v>
      </c>
      <c r="AA406" t="s">
        <v>40</v>
      </c>
      <c r="AB406">
        <v>1</v>
      </c>
      <c r="AC406" t="s">
        <v>33</v>
      </c>
    </row>
    <row r="407" spans="1:29" x14ac:dyDescent="0.3">
      <c r="A407">
        <v>316</v>
      </c>
      <c r="B407" t="s">
        <v>400</v>
      </c>
      <c r="C407" t="s">
        <v>126</v>
      </c>
      <c r="D407" s="1">
        <v>42279</v>
      </c>
      <c r="E407">
        <v>5</v>
      </c>
      <c r="F407" t="s">
        <v>401</v>
      </c>
      <c r="G407">
        <v>5.2190000000000003</v>
      </c>
      <c r="H407">
        <v>17.425000000000001</v>
      </c>
      <c r="I407">
        <v>268.39</v>
      </c>
      <c r="J407">
        <v>20.457999999999998</v>
      </c>
      <c r="K407">
        <v>343.65899999999999</v>
      </c>
      <c r="L407">
        <v>201.89500000000001</v>
      </c>
      <c r="M407">
        <v>239.43899999999999</v>
      </c>
      <c r="N407">
        <v>104.22</v>
      </c>
      <c r="O407">
        <v>5.2190000000000003</v>
      </c>
      <c r="P407">
        <v>14.026</v>
      </c>
      <c r="Q407">
        <v>84.013000000000005</v>
      </c>
      <c r="R407">
        <v>6.66</v>
      </c>
      <c r="S407">
        <v>289.13</v>
      </c>
      <c r="T407">
        <v>323.452</v>
      </c>
      <c r="U407">
        <v>358.01499999999999</v>
      </c>
      <c r="V407">
        <v>318.29700000000003</v>
      </c>
      <c r="W407">
        <v>219.52199999999999</v>
      </c>
      <c r="X407">
        <v>143.65199999999999</v>
      </c>
      <c r="Y407">
        <v>5.7142857142857099E-2</v>
      </c>
      <c r="Z407">
        <v>259.87150000000003</v>
      </c>
      <c r="AA407" t="s">
        <v>40</v>
      </c>
      <c r="AB407">
        <v>1</v>
      </c>
      <c r="AC407" t="s">
        <v>33</v>
      </c>
    </row>
    <row r="408" spans="1:29" x14ac:dyDescent="0.3">
      <c r="A408">
        <v>317</v>
      </c>
      <c r="B408" t="s">
        <v>402</v>
      </c>
      <c r="C408" t="s">
        <v>38</v>
      </c>
      <c r="D408" s="1">
        <v>42366</v>
      </c>
      <c r="E408">
        <v>5</v>
      </c>
      <c r="F408" t="s">
        <v>403</v>
      </c>
      <c r="G408">
        <v>4.9240000000000004</v>
      </c>
      <c r="H408">
        <v>6.3339999999999996</v>
      </c>
      <c r="I408">
        <v>226.79</v>
      </c>
      <c r="J408">
        <v>13.693</v>
      </c>
      <c r="K408">
        <v>356.87</v>
      </c>
      <c r="L408">
        <v>156.96</v>
      </c>
      <c r="M408">
        <v>341.92</v>
      </c>
      <c r="N408">
        <v>14.95</v>
      </c>
      <c r="O408">
        <v>5.2210000000000001</v>
      </c>
      <c r="P408">
        <v>0.89</v>
      </c>
      <c r="Q408">
        <v>0</v>
      </c>
      <c r="R408">
        <v>4.0000000000000001E-3</v>
      </c>
      <c r="S408">
        <v>179.523</v>
      </c>
      <c r="T408">
        <v>341.92</v>
      </c>
      <c r="U408">
        <v>358.02699999999999</v>
      </c>
      <c r="V408">
        <v>188.90799999999999</v>
      </c>
      <c r="W408">
        <v>17.986000000000001</v>
      </c>
      <c r="X408">
        <v>20.937999999999999</v>
      </c>
      <c r="Y408">
        <v>3.8245718898295401E-2</v>
      </c>
      <c r="Z408">
        <v>146.46475000000001</v>
      </c>
      <c r="AA408" t="s">
        <v>40</v>
      </c>
      <c r="AB408">
        <v>1</v>
      </c>
      <c r="AC408" t="s">
        <v>33</v>
      </c>
    </row>
    <row r="409" spans="1:29" x14ac:dyDescent="0.3">
      <c r="A409">
        <v>323</v>
      </c>
      <c r="B409" t="s">
        <v>410</v>
      </c>
      <c r="C409" t="s">
        <v>245</v>
      </c>
      <c r="D409" s="1">
        <v>39972</v>
      </c>
      <c r="E409">
        <v>0</v>
      </c>
      <c r="F409" t="s">
        <v>411</v>
      </c>
      <c r="G409">
        <v>-1349.8630000000001</v>
      </c>
      <c r="H409">
        <v>-1079.6759999999999</v>
      </c>
      <c r="I409">
        <v>0.38800000000000001</v>
      </c>
      <c r="J409">
        <v>-5673.3310000000001</v>
      </c>
      <c r="K409">
        <v>346.25200000000001</v>
      </c>
      <c r="L409">
        <v>0</v>
      </c>
      <c r="M409">
        <v>6019.5829999999996</v>
      </c>
      <c r="N409">
        <v>-5673.3310000000001</v>
      </c>
      <c r="O409">
        <v>-1232.115</v>
      </c>
      <c r="P409">
        <v>0</v>
      </c>
      <c r="Q409">
        <v>0</v>
      </c>
      <c r="R409">
        <v>152.43899999999999</v>
      </c>
      <c r="S409">
        <v>4774.1620000000003</v>
      </c>
      <c r="T409">
        <v>6019.5829999999996</v>
      </c>
      <c r="U409">
        <v>346.25200000000001</v>
      </c>
      <c r="V409">
        <v>453.83800000000002</v>
      </c>
      <c r="W409">
        <v>446.721</v>
      </c>
      <c r="X409">
        <v>450.24099999999999</v>
      </c>
      <c r="Y409">
        <v>-16.384976837678899</v>
      </c>
      <c r="Z409">
        <v>424.26299999999998</v>
      </c>
      <c r="AA409" t="s">
        <v>40</v>
      </c>
      <c r="AB409">
        <v>1</v>
      </c>
      <c r="AC409" t="s">
        <v>33</v>
      </c>
    </row>
    <row r="410" spans="1:29" x14ac:dyDescent="0.3">
      <c r="A410">
        <v>330</v>
      </c>
      <c r="B410" t="s">
        <v>416</v>
      </c>
      <c r="C410" t="s">
        <v>126</v>
      </c>
      <c r="D410" s="1">
        <v>41256</v>
      </c>
      <c r="E410">
        <v>4</v>
      </c>
      <c r="F410" t="s">
        <v>417</v>
      </c>
      <c r="G410">
        <v>-12.875999999999999</v>
      </c>
      <c r="H410">
        <v>43.051000000000002</v>
      </c>
      <c r="I410">
        <v>262.25</v>
      </c>
      <c r="J410">
        <v>110.146</v>
      </c>
      <c r="K410">
        <v>199.21700000000001</v>
      </c>
      <c r="L410">
        <v>0</v>
      </c>
      <c r="M410">
        <v>186.226</v>
      </c>
      <c r="N410">
        <v>12.991</v>
      </c>
      <c r="O410">
        <v>36.545000000000002</v>
      </c>
      <c r="P410">
        <v>104.33</v>
      </c>
      <c r="Q410">
        <v>0</v>
      </c>
      <c r="R410">
        <v>6.0670000000000002</v>
      </c>
      <c r="S410">
        <v>79.225999999999999</v>
      </c>
      <c r="T410">
        <v>186.226</v>
      </c>
      <c r="U410">
        <v>303.54700000000003</v>
      </c>
      <c r="V410">
        <v>206.203</v>
      </c>
      <c r="W410">
        <v>232.96799999999999</v>
      </c>
      <c r="X410">
        <v>118.459</v>
      </c>
      <c r="Y410">
        <v>0.36286308215861102</v>
      </c>
      <c r="Z410">
        <v>215.29425000000001</v>
      </c>
      <c r="AA410" t="s">
        <v>40</v>
      </c>
      <c r="AB410">
        <v>1</v>
      </c>
      <c r="AC410" t="s">
        <v>33</v>
      </c>
    </row>
    <row r="411" spans="1:29" x14ac:dyDescent="0.3">
      <c r="A411">
        <v>331</v>
      </c>
      <c r="B411" t="s">
        <v>418</v>
      </c>
      <c r="C411" t="s">
        <v>93</v>
      </c>
      <c r="D411" s="1">
        <v>42556</v>
      </c>
      <c r="E411">
        <v>5</v>
      </c>
      <c r="F411" t="s">
        <v>419</v>
      </c>
      <c r="G411">
        <v>-116.895</v>
      </c>
      <c r="H411">
        <v>-101.876</v>
      </c>
      <c r="I411">
        <v>194.59700000000001</v>
      </c>
      <c r="J411">
        <v>-170.762</v>
      </c>
      <c r="K411">
        <v>299.44900000000001</v>
      </c>
      <c r="L411">
        <v>0</v>
      </c>
      <c r="M411">
        <v>458.94600000000003</v>
      </c>
      <c r="N411">
        <v>-159.49700000000001</v>
      </c>
      <c r="O411">
        <v>-116.895</v>
      </c>
      <c r="P411">
        <v>0</v>
      </c>
      <c r="Q411">
        <v>0.51</v>
      </c>
      <c r="R411">
        <v>1.794</v>
      </c>
      <c r="S411">
        <v>339.78399999999999</v>
      </c>
      <c r="T411">
        <v>459.45600000000002</v>
      </c>
      <c r="U411">
        <v>299.44900000000001</v>
      </c>
      <c r="V411">
        <v>294.71199999999999</v>
      </c>
      <c r="W411">
        <v>308.822</v>
      </c>
      <c r="X411">
        <v>142.1</v>
      </c>
      <c r="Y411">
        <v>-0.57025403324105295</v>
      </c>
      <c r="Z411">
        <v>261.27075000000002</v>
      </c>
      <c r="AA411" t="s">
        <v>40</v>
      </c>
      <c r="AB411">
        <v>1</v>
      </c>
      <c r="AC411" t="s">
        <v>33</v>
      </c>
    </row>
    <row r="412" spans="1:29" x14ac:dyDescent="0.3">
      <c r="A412">
        <v>337</v>
      </c>
      <c r="B412" t="s">
        <v>424</v>
      </c>
      <c r="C412" t="s">
        <v>38</v>
      </c>
      <c r="D412" s="1">
        <v>29074</v>
      </c>
      <c r="E412">
        <v>3</v>
      </c>
      <c r="F412" t="s">
        <v>425</v>
      </c>
      <c r="G412">
        <v>6.1449999999999996</v>
      </c>
      <c r="H412">
        <v>6.1449999999999996</v>
      </c>
      <c r="I412">
        <v>134.89400000000001</v>
      </c>
      <c r="J412">
        <v>87.34</v>
      </c>
      <c r="K412">
        <v>277.87</v>
      </c>
      <c r="L412">
        <v>271.53199999999998</v>
      </c>
      <c r="M412">
        <v>68.957999999999998</v>
      </c>
      <c r="N412">
        <v>208.91200000000001</v>
      </c>
      <c r="O412">
        <v>6.1449999999999996</v>
      </c>
      <c r="P412">
        <v>1.66</v>
      </c>
      <c r="Q412">
        <v>29.835000000000001</v>
      </c>
      <c r="R412">
        <v>0</v>
      </c>
      <c r="S412">
        <v>417.44900000000001</v>
      </c>
      <c r="T412">
        <v>98.793000000000006</v>
      </c>
      <c r="U412">
        <v>279.52999999999997</v>
      </c>
      <c r="V412">
        <v>592.04100000000005</v>
      </c>
      <c r="W412">
        <v>983.56200000000001</v>
      </c>
      <c r="X412">
        <v>934.25900000000001</v>
      </c>
      <c r="Y412">
        <v>0.31245304618466702</v>
      </c>
      <c r="Z412">
        <v>697.34799999999996</v>
      </c>
      <c r="AA412" t="s">
        <v>40</v>
      </c>
      <c r="AB412">
        <v>1</v>
      </c>
      <c r="AC412" t="s">
        <v>33</v>
      </c>
    </row>
    <row r="413" spans="1:29" x14ac:dyDescent="0.3">
      <c r="A413">
        <v>354</v>
      </c>
      <c r="B413" t="s">
        <v>434</v>
      </c>
      <c r="C413" t="s">
        <v>70</v>
      </c>
      <c r="D413" s="1">
        <v>40792</v>
      </c>
      <c r="E413">
        <v>0</v>
      </c>
      <c r="F413" t="s">
        <v>435</v>
      </c>
      <c r="G413">
        <v>-10</v>
      </c>
      <c r="H413">
        <v>-10</v>
      </c>
      <c r="I413">
        <v>58</v>
      </c>
      <c r="J413">
        <v>14.297000000000001</v>
      </c>
      <c r="K413">
        <v>175.60599999999999</v>
      </c>
      <c r="L413">
        <v>30</v>
      </c>
      <c r="M413">
        <v>205.024</v>
      </c>
      <c r="N413">
        <v>-29.417999999999999</v>
      </c>
      <c r="O413">
        <v>-10</v>
      </c>
      <c r="P413">
        <v>36.216000000000001</v>
      </c>
      <c r="Q413">
        <v>0</v>
      </c>
      <c r="R413">
        <v>0</v>
      </c>
      <c r="S413">
        <v>263.024</v>
      </c>
      <c r="T413">
        <v>205.024</v>
      </c>
      <c r="U413">
        <v>219.322</v>
      </c>
      <c r="V413">
        <v>287.322</v>
      </c>
      <c r="W413">
        <v>294.322</v>
      </c>
      <c r="X413">
        <v>294.322</v>
      </c>
      <c r="Y413">
        <v>6.5187258916114196E-2</v>
      </c>
      <c r="Z413">
        <v>273.822</v>
      </c>
      <c r="AA413" t="s">
        <v>40</v>
      </c>
      <c r="AB413">
        <v>1</v>
      </c>
      <c r="AC413" t="s">
        <v>33</v>
      </c>
    </row>
    <row r="414" spans="1:29" x14ac:dyDescent="0.3">
      <c r="A414">
        <v>357</v>
      </c>
      <c r="B414" t="s">
        <v>438</v>
      </c>
      <c r="C414" t="s">
        <v>93</v>
      </c>
      <c r="D414" s="1">
        <v>40521</v>
      </c>
      <c r="E414">
        <v>1</v>
      </c>
      <c r="F414" t="s">
        <v>439</v>
      </c>
      <c r="G414">
        <v>-92.094999999999999</v>
      </c>
      <c r="H414">
        <v>-92.094999999999999</v>
      </c>
      <c r="I414">
        <v>0.43</v>
      </c>
      <c r="J414">
        <v>18.079999999999998</v>
      </c>
      <c r="K414">
        <v>201.5</v>
      </c>
      <c r="L414">
        <v>0</v>
      </c>
      <c r="M414">
        <v>186.03899999999999</v>
      </c>
      <c r="N414">
        <v>15.461</v>
      </c>
      <c r="O414">
        <v>-92.094999999999999</v>
      </c>
      <c r="P414">
        <v>6.81</v>
      </c>
      <c r="Q414">
        <v>0</v>
      </c>
      <c r="R414">
        <v>0</v>
      </c>
      <c r="S414">
        <v>265.315</v>
      </c>
      <c r="T414">
        <v>186.03899999999999</v>
      </c>
      <c r="U414">
        <v>208.31</v>
      </c>
      <c r="V414">
        <v>369.98099999999999</v>
      </c>
      <c r="W414">
        <v>431.35300000000001</v>
      </c>
      <c r="X414">
        <v>641.57500000000005</v>
      </c>
      <c r="Y414">
        <v>8.6793720896740395E-2</v>
      </c>
      <c r="Z414">
        <v>412.80475000000001</v>
      </c>
      <c r="AA414" t="s">
        <v>40</v>
      </c>
      <c r="AB414">
        <v>1</v>
      </c>
      <c r="AC414" t="s">
        <v>33</v>
      </c>
    </row>
    <row r="415" spans="1:29" x14ac:dyDescent="0.3">
      <c r="A415">
        <v>376</v>
      </c>
      <c r="B415" t="s">
        <v>458</v>
      </c>
      <c r="C415" t="s">
        <v>354</v>
      </c>
      <c r="D415" s="1">
        <v>41708</v>
      </c>
      <c r="E415">
        <v>6</v>
      </c>
      <c r="F415" t="s">
        <v>459</v>
      </c>
      <c r="G415">
        <v>64.117000000000004</v>
      </c>
      <c r="H415">
        <v>73.701999999999998</v>
      </c>
      <c r="I415">
        <v>155.68</v>
      </c>
      <c r="J415">
        <v>-229.75399999999999</v>
      </c>
      <c r="K415">
        <v>111.236</v>
      </c>
      <c r="L415">
        <v>0</v>
      </c>
      <c r="M415">
        <v>369.15</v>
      </c>
      <c r="N415">
        <v>-257.91399999999999</v>
      </c>
      <c r="O415">
        <v>64.117000000000004</v>
      </c>
      <c r="P415">
        <v>28.783999999999999</v>
      </c>
      <c r="Q415">
        <v>0</v>
      </c>
      <c r="R415">
        <v>1.9079999999999999</v>
      </c>
      <c r="S415">
        <v>546.07000000000005</v>
      </c>
      <c r="T415">
        <v>369.15</v>
      </c>
      <c r="U415">
        <v>140.02099999999999</v>
      </c>
      <c r="V415">
        <v>279.13400000000001</v>
      </c>
      <c r="W415">
        <v>240.06700000000001</v>
      </c>
      <c r="X415">
        <v>126.22799999999999</v>
      </c>
      <c r="Y415">
        <v>-1.6408538719192101</v>
      </c>
      <c r="Z415">
        <v>196.36250000000001</v>
      </c>
      <c r="AA415" t="s">
        <v>40</v>
      </c>
      <c r="AB415">
        <v>1</v>
      </c>
      <c r="AC415" t="s">
        <v>33</v>
      </c>
    </row>
  </sheetData>
  <autoFilter ref="A1:AC415" xr:uid="{31F90F89-CFCF-7D4C-8264-2AECD6BEACD4}">
    <sortState xmlns:xlrd2="http://schemas.microsoft.com/office/spreadsheetml/2017/richdata2" ref="A2:AC415">
      <sortCondition ref="AC2:AC415"/>
      <sortCondition ref="AA2:AA415" customList="Nord,Centro,Sud"/>
      <sortCondition descending="1" ref="AB2:AB415"/>
    </sortState>
  </autoFilter>
  <sortState xmlns:xlrd2="http://schemas.microsoft.com/office/spreadsheetml/2017/richdata2" ref="A2:AC208">
    <sortCondition ref="AA2:AA208" customList="Nord,Centro,Sud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915-2175-4FB8-A28E-B6814FD93208}">
  <dimension ref="A1:AM415"/>
  <sheetViews>
    <sheetView topLeftCell="AE1" workbookViewId="0">
      <selection activeCell="AI11" sqref="AI11"/>
    </sheetView>
  </sheetViews>
  <sheetFormatPr defaultRowHeight="15.6" x14ac:dyDescent="0.3"/>
  <cols>
    <col min="2" max="2" width="111.5" bestFit="1" customWidth="1"/>
    <col min="4" max="4" width="15.5" bestFit="1" customWidth="1"/>
    <col min="5" max="5" width="16.5" bestFit="1" customWidth="1"/>
    <col min="6" max="6" width="13.5" bestFit="1" customWidth="1"/>
    <col min="7" max="7" width="18.19921875" bestFit="1" customWidth="1"/>
    <col min="8" max="8" width="12.296875" bestFit="1" customWidth="1"/>
    <col min="9" max="9" width="17.69921875" bestFit="1" customWidth="1"/>
    <col min="10" max="10" width="23.5" bestFit="1" customWidth="1"/>
    <col min="11" max="11" width="19.5" bestFit="1" customWidth="1"/>
    <col min="12" max="12" width="18.3984375" bestFit="1" customWidth="1"/>
    <col min="13" max="13" width="16.09765625" bestFit="1" customWidth="1"/>
    <col min="14" max="14" width="18.69921875" bestFit="1" customWidth="1"/>
    <col min="15" max="15" width="19.59765625" bestFit="1" customWidth="1"/>
    <col min="16" max="16" width="23" bestFit="1" customWidth="1"/>
    <col min="17" max="17" width="17.5" bestFit="1" customWidth="1"/>
    <col min="18" max="18" width="17.3984375" bestFit="1" customWidth="1"/>
    <col min="19" max="20" width="14.09765625" bestFit="1" customWidth="1"/>
    <col min="21" max="24" width="14" bestFit="1" customWidth="1"/>
    <col min="25" max="25" width="18.8984375" bestFit="1" customWidth="1"/>
    <col min="26" max="26" width="14.59765625" bestFit="1" customWidth="1"/>
    <col min="30" max="30" width="18.8984375" bestFit="1" customWidth="1"/>
    <col min="31" max="31" width="23" bestFit="1" customWidth="1"/>
    <col min="32" max="32" width="19" bestFit="1" customWidth="1"/>
    <col min="33" max="33" width="12.19921875" bestFit="1" customWidth="1"/>
    <col min="34" max="34" width="16.19921875" bestFit="1" customWidth="1"/>
    <col min="35" max="35" width="26.8984375" bestFit="1" customWidth="1"/>
    <col min="36" max="36" width="13.5" bestFit="1" customWidth="1"/>
    <col min="37" max="37" width="27.59765625" bestFit="1" customWidth="1"/>
    <col min="38" max="38" width="17.5" bestFit="1" customWidth="1"/>
    <col min="39" max="39" width="15.8984375" bestFit="1" customWidth="1"/>
  </cols>
  <sheetData>
    <row r="1" spans="1:3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889</v>
      </c>
      <c r="AE1" s="6" t="s">
        <v>888</v>
      </c>
      <c r="AF1" s="6" t="s">
        <v>887</v>
      </c>
      <c r="AG1" s="7" t="s">
        <v>881</v>
      </c>
      <c r="AH1" s="7" t="s">
        <v>882</v>
      </c>
      <c r="AI1" s="7" t="s">
        <v>883</v>
      </c>
      <c r="AJ1" s="8" t="s">
        <v>884</v>
      </c>
      <c r="AK1" s="8" t="s">
        <v>885</v>
      </c>
      <c r="AL1" s="8" t="s">
        <v>886</v>
      </c>
      <c r="AM1" s="9" t="s">
        <v>890</v>
      </c>
    </row>
    <row r="2" spans="1:39" x14ac:dyDescent="0.3">
      <c r="A2">
        <v>1</v>
      </c>
      <c r="B2" t="s">
        <v>466</v>
      </c>
      <c r="C2" t="s">
        <v>58</v>
      </c>
      <c r="D2" s="1">
        <v>25447</v>
      </c>
      <c r="E2">
        <v>6447</v>
      </c>
      <c r="F2" t="s">
        <v>467</v>
      </c>
      <c r="G2" s="4">
        <v>107279</v>
      </c>
      <c r="H2" s="4">
        <v>-195093</v>
      </c>
      <c r="I2" s="4">
        <v>4130291</v>
      </c>
      <c r="J2" s="4">
        <v>2395262</v>
      </c>
      <c r="K2" s="4">
        <v>5112161</v>
      </c>
      <c r="L2" s="4">
        <v>895836</v>
      </c>
      <c r="M2" s="4">
        <v>4016072</v>
      </c>
      <c r="N2" s="4">
        <v>1096089</v>
      </c>
      <c r="O2" s="4">
        <v>177140</v>
      </c>
      <c r="P2" s="4">
        <v>2498455</v>
      </c>
      <c r="Q2" s="4">
        <v>781031</v>
      </c>
      <c r="R2" s="4">
        <v>77988</v>
      </c>
      <c r="S2" s="4">
        <v>3550420</v>
      </c>
      <c r="T2" s="4">
        <v>4797103</v>
      </c>
      <c r="U2" s="4">
        <v>7621134</v>
      </c>
      <c r="V2" s="4">
        <v>6220558</v>
      </c>
      <c r="W2" s="4">
        <v>4481391</v>
      </c>
      <c r="X2" s="4">
        <v>7029318</v>
      </c>
      <c r="Y2">
        <v>31.43</v>
      </c>
      <c r="Z2">
        <v>6338100.25</v>
      </c>
      <c r="AA2" t="s">
        <v>32</v>
      </c>
      <c r="AB2">
        <v>4</v>
      </c>
      <c r="AC2" t="s">
        <v>468</v>
      </c>
      <c r="AD2" s="5">
        <f>G2/((U2+V2)/2)</f>
        <v>1.5500850618551547E-2</v>
      </c>
      <c r="AE2" s="5">
        <f>H2/I2</f>
        <v>-4.7234686369556043E-2</v>
      </c>
      <c r="AF2" s="5">
        <f>R2/((S2+T2)/2)</f>
        <v>1.8685303412760888E-2</v>
      </c>
      <c r="AG2" s="5">
        <f>N2/U2</f>
        <v>0.14382229731165991</v>
      </c>
      <c r="AH2" s="5">
        <f>U2/T2</f>
        <v>1.5886950936846675</v>
      </c>
      <c r="AI2" s="5">
        <f>J2/P2</f>
        <v>0.95869727491589807</v>
      </c>
      <c r="AJ2" s="5">
        <f>K2/M2</f>
        <v>1.272925634799376</v>
      </c>
      <c r="AK2" s="5">
        <f>J2/U2</f>
        <v>0.31429207254458458</v>
      </c>
      <c r="AL2" s="5">
        <f>K2/T2</f>
        <v>1.0656767219715733</v>
      </c>
      <c r="AM2" s="10">
        <f>I2/N2</f>
        <v>3.7682076911637652</v>
      </c>
    </row>
    <row r="3" spans="1:39" x14ac:dyDescent="0.3">
      <c r="A3">
        <v>2</v>
      </c>
      <c r="B3" t="s">
        <v>469</v>
      </c>
      <c r="C3" t="s">
        <v>58</v>
      </c>
      <c r="D3" s="1">
        <v>21574</v>
      </c>
      <c r="E3">
        <v>19245</v>
      </c>
      <c r="F3" t="s">
        <v>470</v>
      </c>
      <c r="G3" s="4">
        <v>28893</v>
      </c>
      <c r="H3" s="4">
        <v>85366</v>
      </c>
      <c r="I3" s="4">
        <v>2512956</v>
      </c>
      <c r="J3" s="4">
        <v>1496324</v>
      </c>
      <c r="K3" s="4">
        <v>6692416</v>
      </c>
      <c r="L3" s="4">
        <v>1895873</v>
      </c>
      <c r="M3" s="4">
        <v>6268126</v>
      </c>
      <c r="N3" s="4">
        <v>424290</v>
      </c>
      <c r="O3" s="4">
        <v>104356</v>
      </c>
      <c r="P3" s="4">
        <v>2904522</v>
      </c>
      <c r="Q3" s="4">
        <v>1748055</v>
      </c>
      <c r="R3" s="4">
        <v>296866</v>
      </c>
      <c r="S3" s="4">
        <v>7458049</v>
      </c>
      <c r="T3" s="4">
        <v>8016181</v>
      </c>
      <c r="U3" s="4">
        <v>9691766</v>
      </c>
      <c r="V3" s="4">
        <v>9150057</v>
      </c>
      <c r="W3" s="4">
        <v>8756519</v>
      </c>
      <c r="X3" s="4">
        <v>8045348</v>
      </c>
      <c r="Y3">
        <v>15.44</v>
      </c>
      <c r="Z3">
        <v>8910922.5</v>
      </c>
      <c r="AA3" t="s">
        <v>32</v>
      </c>
      <c r="AB3">
        <v>4</v>
      </c>
      <c r="AC3" t="s">
        <v>468</v>
      </c>
      <c r="AD3" s="5">
        <f t="shared" ref="AD3:AD66" si="0">G3/((U3+V3)/2)</f>
        <v>3.0669006921464023E-3</v>
      </c>
      <c r="AE3" s="5">
        <f t="shared" ref="AE3:AE66" si="1">H3/I3</f>
        <v>3.3970352047548787E-2</v>
      </c>
      <c r="AF3" s="5">
        <f t="shared" ref="AF3:AF66" si="2">R3/((S3+T3)/2)</f>
        <v>3.8369082015712576E-2</v>
      </c>
      <c r="AG3" s="5">
        <f t="shared" ref="AG3:AG66" si="3">N3/U3</f>
        <v>4.3778399107035806E-2</v>
      </c>
      <c r="AH3" s="5">
        <f t="shared" ref="AH3:AH66" si="4">U3/T3</f>
        <v>1.2090253451113442</v>
      </c>
      <c r="AI3" s="5">
        <f t="shared" ref="AI3:AI66" si="5">J3/P3</f>
        <v>0.51517048244082853</v>
      </c>
      <c r="AJ3" s="5">
        <f t="shared" ref="AJ3:AJ66" si="6">K3/M3</f>
        <v>1.0676900879146336</v>
      </c>
      <c r="AK3" s="5">
        <f t="shared" ref="AK3:AK66" si="7">J3/U3</f>
        <v>0.15439126367681597</v>
      </c>
      <c r="AL3" s="5">
        <f t="shared" ref="AL3:AL66" si="8">K3/T3</f>
        <v>0.83486338444703279</v>
      </c>
      <c r="AM3" s="10">
        <f t="shared" ref="AM3:AM66" si="9">I3/N3</f>
        <v>5.9227320936152159</v>
      </c>
    </row>
    <row r="4" spans="1:39" x14ac:dyDescent="0.3">
      <c r="A4">
        <v>3</v>
      </c>
      <c r="B4" t="s">
        <v>471</v>
      </c>
      <c r="C4" t="s">
        <v>45</v>
      </c>
      <c r="D4" s="1">
        <v>38818</v>
      </c>
      <c r="E4">
        <v>576</v>
      </c>
      <c r="F4" t="s">
        <v>472</v>
      </c>
      <c r="G4" s="4">
        <v>105571</v>
      </c>
      <c r="H4" s="4">
        <v>267086</v>
      </c>
      <c r="I4" s="4">
        <v>2485960</v>
      </c>
      <c r="J4" s="4">
        <v>1340072</v>
      </c>
      <c r="K4" s="4">
        <v>502652</v>
      </c>
      <c r="L4" s="4">
        <v>15161</v>
      </c>
      <c r="M4" s="4">
        <v>659529</v>
      </c>
      <c r="N4" s="4">
        <v>-156877</v>
      </c>
      <c r="O4" s="4">
        <v>249267</v>
      </c>
      <c r="P4" s="4">
        <v>1989150</v>
      </c>
      <c r="Q4" s="4">
        <v>432567</v>
      </c>
      <c r="R4" s="4">
        <v>14739</v>
      </c>
      <c r="S4" s="4">
        <v>1263948</v>
      </c>
      <c r="T4" s="4">
        <v>1092096</v>
      </c>
      <c r="U4" s="4">
        <v>2505671</v>
      </c>
      <c r="V4" s="4">
        <v>2725693</v>
      </c>
      <c r="W4" s="4">
        <v>2477261</v>
      </c>
      <c r="X4" s="4">
        <v>2317528</v>
      </c>
      <c r="Y4">
        <v>53.48</v>
      </c>
      <c r="Z4">
        <v>2506538.25</v>
      </c>
      <c r="AA4" t="s">
        <v>32</v>
      </c>
      <c r="AB4">
        <v>4</v>
      </c>
      <c r="AC4" t="s">
        <v>468</v>
      </c>
      <c r="AD4" s="5">
        <f t="shared" si="0"/>
        <v>4.0360793093350035E-2</v>
      </c>
      <c r="AE4" s="5">
        <f t="shared" si="1"/>
        <v>0.10743777051923603</v>
      </c>
      <c r="AF4" s="5">
        <f t="shared" si="2"/>
        <v>1.2511650885976663E-2</v>
      </c>
      <c r="AG4" s="5">
        <f t="shared" si="3"/>
        <v>-6.2608778247423544E-2</v>
      </c>
      <c r="AH4" s="5">
        <f t="shared" si="4"/>
        <v>2.2943688100679793</v>
      </c>
      <c r="AI4" s="5">
        <f t="shared" si="5"/>
        <v>0.67369077244048969</v>
      </c>
      <c r="AJ4" s="5">
        <f t="shared" si="6"/>
        <v>0.76213782866257584</v>
      </c>
      <c r="AK4" s="5">
        <f t="shared" si="7"/>
        <v>0.53481562423797857</v>
      </c>
      <c r="AL4" s="5">
        <f t="shared" si="8"/>
        <v>0.46026356657290202</v>
      </c>
      <c r="AM4" s="10">
        <f t="shared" si="9"/>
        <v>-15.846554944319434</v>
      </c>
    </row>
    <row r="5" spans="1:39" x14ac:dyDescent="0.3">
      <c r="A5">
        <v>4</v>
      </c>
      <c r="B5" t="s">
        <v>473</v>
      </c>
      <c r="C5" t="s">
        <v>45</v>
      </c>
      <c r="D5" s="1">
        <v>34899</v>
      </c>
      <c r="E5">
        <v>1538</v>
      </c>
      <c r="F5" t="s">
        <v>474</v>
      </c>
      <c r="G5" s="4">
        <v>28677</v>
      </c>
      <c r="H5" s="4">
        <v>77996</v>
      </c>
      <c r="I5" s="4">
        <v>942086</v>
      </c>
      <c r="J5" s="4">
        <v>247887</v>
      </c>
      <c r="K5" s="4">
        <v>689923</v>
      </c>
      <c r="L5" s="4">
        <v>341217</v>
      </c>
      <c r="M5" s="4">
        <v>884717</v>
      </c>
      <c r="N5" s="4">
        <v>-194794</v>
      </c>
      <c r="O5" s="4">
        <v>45345</v>
      </c>
      <c r="P5" s="4">
        <v>478023</v>
      </c>
      <c r="Q5" s="4">
        <v>183974</v>
      </c>
      <c r="R5" s="4">
        <v>10666</v>
      </c>
      <c r="S5" s="4">
        <v>1064888</v>
      </c>
      <c r="T5" s="4">
        <v>1068691</v>
      </c>
      <c r="U5" s="4">
        <v>1340182</v>
      </c>
      <c r="V5" s="4">
        <v>1311751</v>
      </c>
      <c r="W5" s="4">
        <v>1105115</v>
      </c>
      <c r="X5" s="4">
        <v>912161</v>
      </c>
      <c r="Y5">
        <v>18.5</v>
      </c>
      <c r="Z5">
        <v>1167302.25</v>
      </c>
      <c r="AA5" t="s">
        <v>32</v>
      </c>
      <c r="AB5">
        <v>4</v>
      </c>
      <c r="AC5" t="s">
        <v>468</v>
      </c>
      <c r="AD5" s="5">
        <f t="shared" si="0"/>
        <v>2.1627243222208103E-2</v>
      </c>
      <c r="AE5" s="5">
        <f t="shared" si="1"/>
        <v>8.2790743095640953E-2</v>
      </c>
      <c r="AF5" s="5">
        <f t="shared" si="2"/>
        <v>9.9982236420587192E-3</v>
      </c>
      <c r="AG5" s="5">
        <f t="shared" si="3"/>
        <v>-0.14534891529657912</v>
      </c>
      <c r="AH5" s="5">
        <f t="shared" si="4"/>
        <v>1.2540406909012989</v>
      </c>
      <c r="AI5" s="5">
        <f t="shared" si="5"/>
        <v>0.51856709823585889</v>
      </c>
      <c r="AJ5" s="5">
        <f t="shared" si="6"/>
        <v>0.77982337854929884</v>
      </c>
      <c r="AK5" s="5">
        <f t="shared" si="7"/>
        <v>0.18496517637156745</v>
      </c>
      <c r="AL5" s="5">
        <f t="shared" si="8"/>
        <v>0.64557762720936174</v>
      </c>
      <c r="AM5" s="10">
        <f t="shared" si="9"/>
        <v>-4.8363193938211646</v>
      </c>
    </row>
    <row r="6" spans="1:39" x14ac:dyDescent="0.3">
      <c r="A6">
        <v>5</v>
      </c>
      <c r="B6" t="s">
        <v>475</v>
      </c>
      <c r="C6" t="s">
        <v>58</v>
      </c>
      <c r="D6" s="1">
        <v>31884</v>
      </c>
      <c r="E6">
        <v>2738</v>
      </c>
      <c r="F6" t="s">
        <v>476</v>
      </c>
      <c r="G6" s="4">
        <v>595</v>
      </c>
      <c r="H6" s="4">
        <v>64361</v>
      </c>
      <c r="I6" s="4">
        <v>898672</v>
      </c>
      <c r="J6" s="4">
        <v>212051</v>
      </c>
      <c r="K6" s="4">
        <v>636962</v>
      </c>
      <c r="L6" s="4">
        <v>282530</v>
      </c>
      <c r="M6" s="4">
        <v>480651</v>
      </c>
      <c r="N6" s="4">
        <v>156311</v>
      </c>
      <c r="O6" s="4">
        <v>49051</v>
      </c>
      <c r="P6" s="4">
        <v>272393</v>
      </c>
      <c r="Q6" s="4">
        <v>213661</v>
      </c>
      <c r="R6" s="4">
        <v>28883</v>
      </c>
      <c r="S6" s="4">
        <v>827198</v>
      </c>
      <c r="T6" s="4">
        <v>694312</v>
      </c>
      <c r="U6" s="4">
        <v>923460</v>
      </c>
      <c r="V6" s="4">
        <v>1060697</v>
      </c>
      <c r="W6" s="4">
        <v>963423</v>
      </c>
      <c r="X6" s="4">
        <v>771614</v>
      </c>
      <c r="Y6">
        <v>22.96</v>
      </c>
      <c r="Z6">
        <v>929798.5</v>
      </c>
      <c r="AA6" t="s">
        <v>32</v>
      </c>
      <c r="AB6">
        <v>4</v>
      </c>
      <c r="AC6" t="s">
        <v>468</v>
      </c>
      <c r="AD6" s="5">
        <f t="shared" si="0"/>
        <v>5.9975092696797679E-4</v>
      </c>
      <c r="AE6" s="5">
        <f t="shared" si="1"/>
        <v>7.1617898410098454E-2</v>
      </c>
      <c r="AF6" s="5">
        <f t="shared" si="2"/>
        <v>3.7966230915340682E-2</v>
      </c>
      <c r="AG6" s="5">
        <f t="shared" si="3"/>
        <v>0.16926667099820242</v>
      </c>
      <c r="AH6" s="5">
        <f t="shared" si="4"/>
        <v>1.3300360644782172</v>
      </c>
      <c r="AI6" s="5">
        <f t="shared" si="5"/>
        <v>0.77847448355868176</v>
      </c>
      <c r="AJ6" s="5">
        <f t="shared" si="6"/>
        <v>1.3252068548697495</v>
      </c>
      <c r="AK6" s="5">
        <f t="shared" si="7"/>
        <v>0.2296266216186949</v>
      </c>
      <c r="AL6" s="5">
        <f t="shared" si="8"/>
        <v>0.91740024657502683</v>
      </c>
      <c r="AM6" s="10">
        <f t="shared" si="9"/>
        <v>5.7492562903442499</v>
      </c>
    </row>
    <row r="7" spans="1:39" x14ac:dyDescent="0.3">
      <c r="A7">
        <v>9</v>
      </c>
      <c r="B7" t="s">
        <v>481</v>
      </c>
      <c r="C7" t="s">
        <v>42</v>
      </c>
      <c r="D7" s="1">
        <v>22668</v>
      </c>
      <c r="E7">
        <v>2180</v>
      </c>
      <c r="F7" t="s">
        <v>482</v>
      </c>
      <c r="G7" s="4">
        <v>60811.5</v>
      </c>
      <c r="H7" s="4">
        <v>31332.358</v>
      </c>
      <c r="I7" s="4">
        <v>573561.35699999996</v>
      </c>
      <c r="J7" s="4">
        <v>401309.71100000001</v>
      </c>
      <c r="K7" s="4">
        <v>851709.28200000001</v>
      </c>
      <c r="L7" s="4">
        <v>82095.546000000002</v>
      </c>
      <c r="M7" s="4">
        <v>530743.14599999995</v>
      </c>
      <c r="N7" s="4">
        <v>320966.136</v>
      </c>
      <c r="O7" s="4">
        <v>88557.634000000005</v>
      </c>
      <c r="P7" s="4">
        <v>81758.846999999994</v>
      </c>
      <c r="Q7" s="4">
        <v>0</v>
      </c>
      <c r="R7" s="4">
        <v>2677.8879999999999</v>
      </c>
      <c r="S7" s="4">
        <v>718912.69900000002</v>
      </c>
      <c r="T7" s="4">
        <v>530743.14599999995</v>
      </c>
      <c r="U7" s="4">
        <v>936943.91200000001</v>
      </c>
      <c r="V7" s="4">
        <v>1060873.773</v>
      </c>
      <c r="W7" s="4">
        <v>702100.777</v>
      </c>
      <c r="X7" s="4">
        <v>616157.28300000005</v>
      </c>
      <c r="Y7">
        <v>42.83</v>
      </c>
      <c r="Z7">
        <v>829018.93625000003</v>
      </c>
      <c r="AA7" t="s">
        <v>32</v>
      </c>
      <c r="AB7">
        <v>4</v>
      </c>
      <c r="AC7" t="s">
        <v>468</v>
      </c>
      <c r="AD7" s="5">
        <f t="shared" si="0"/>
        <v>6.0877927407074685E-2</v>
      </c>
      <c r="AE7" s="5">
        <f t="shared" si="1"/>
        <v>5.4627735320041795E-2</v>
      </c>
      <c r="AF7" s="5">
        <f t="shared" si="2"/>
        <v>4.2858007838150027E-3</v>
      </c>
      <c r="AG7" s="5">
        <f t="shared" si="3"/>
        <v>0.34256707566930644</v>
      </c>
      <c r="AH7" s="5">
        <f t="shared" si="4"/>
        <v>1.7653434039824607</v>
      </c>
      <c r="AI7" s="5">
        <f t="shared" si="5"/>
        <v>4.9084560965004806</v>
      </c>
      <c r="AJ7" s="5">
        <f t="shared" si="6"/>
        <v>1.6047485274543707</v>
      </c>
      <c r="AK7" s="5">
        <f t="shared" si="7"/>
        <v>0.42831775292009155</v>
      </c>
      <c r="AL7" s="5">
        <f t="shared" si="8"/>
        <v>1.6047485274543707</v>
      </c>
      <c r="AM7" s="10">
        <f t="shared" si="9"/>
        <v>1.7869840231369454</v>
      </c>
    </row>
    <row r="8" spans="1:39" x14ac:dyDescent="0.3">
      <c r="A8">
        <v>12</v>
      </c>
      <c r="B8" t="s">
        <v>487</v>
      </c>
      <c r="C8" t="s">
        <v>58</v>
      </c>
      <c r="D8" s="1">
        <v>36335</v>
      </c>
      <c r="E8">
        <v>1479</v>
      </c>
      <c r="F8" t="s">
        <v>488</v>
      </c>
      <c r="G8" s="4">
        <v>5602.2240000000002</v>
      </c>
      <c r="H8" s="4">
        <v>52123.987999999998</v>
      </c>
      <c r="I8" s="4">
        <v>496214.31699999998</v>
      </c>
      <c r="J8" s="4">
        <v>121239.122</v>
      </c>
      <c r="K8" s="4">
        <v>344152.55900000001</v>
      </c>
      <c r="L8" s="4">
        <v>8266.3850000000002</v>
      </c>
      <c r="M8" s="4">
        <v>248431.84099999999</v>
      </c>
      <c r="N8" s="4">
        <v>95720.717999999993</v>
      </c>
      <c r="O8" s="4">
        <v>40813.815000000002</v>
      </c>
      <c r="P8" s="4">
        <v>133461.45000000001</v>
      </c>
      <c r="Q8" s="4">
        <v>58838.027999999998</v>
      </c>
      <c r="R8" s="4">
        <v>10078.459000000001</v>
      </c>
      <c r="S8" s="4">
        <v>331611.53499999997</v>
      </c>
      <c r="T8" s="4">
        <v>307269.86900000001</v>
      </c>
      <c r="U8" s="4">
        <v>483171.83199999999</v>
      </c>
      <c r="V8" s="4">
        <v>517672.60100000002</v>
      </c>
      <c r="W8" s="4">
        <v>183022.71100000001</v>
      </c>
      <c r="X8" s="4">
        <v>29080.81</v>
      </c>
      <c r="Y8">
        <v>25.09</v>
      </c>
      <c r="Z8">
        <v>303236.98849999998</v>
      </c>
      <c r="AA8" t="s">
        <v>32</v>
      </c>
      <c r="AB8">
        <v>4</v>
      </c>
      <c r="AC8" t="s">
        <v>468</v>
      </c>
      <c r="AD8" s="5">
        <f t="shared" si="0"/>
        <v>1.1194994577144238E-2</v>
      </c>
      <c r="AE8" s="5">
        <f t="shared" si="1"/>
        <v>0.1050432972493214</v>
      </c>
      <c r="AF8" s="5">
        <f t="shared" si="2"/>
        <v>3.1550328235880228E-2</v>
      </c>
      <c r="AG8" s="5">
        <f t="shared" si="3"/>
        <v>0.19810906112589774</v>
      </c>
      <c r="AH8" s="5">
        <f t="shared" si="4"/>
        <v>1.5724673348951113</v>
      </c>
      <c r="AI8" s="5">
        <f t="shared" si="5"/>
        <v>0.90842053641707021</v>
      </c>
      <c r="AJ8" s="5">
        <f t="shared" si="6"/>
        <v>1.3852997168748591</v>
      </c>
      <c r="AK8" s="5">
        <f t="shared" si="7"/>
        <v>0.25092340647871214</v>
      </c>
      <c r="AL8" s="5">
        <f t="shared" si="8"/>
        <v>1.1200335396374319</v>
      </c>
      <c r="AM8" s="10">
        <f t="shared" si="9"/>
        <v>5.1839803061234875</v>
      </c>
    </row>
    <row r="9" spans="1:39" x14ac:dyDescent="0.3">
      <c r="A9">
        <v>13</v>
      </c>
      <c r="B9" t="s">
        <v>489</v>
      </c>
      <c r="C9" t="s">
        <v>101</v>
      </c>
      <c r="D9" s="1">
        <v>25286</v>
      </c>
      <c r="E9">
        <v>485</v>
      </c>
      <c r="F9" t="s">
        <v>490</v>
      </c>
      <c r="G9" s="4">
        <v>2682</v>
      </c>
      <c r="H9" s="4">
        <v>42042</v>
      </c>
      <c r="I9" s="4">
        <v>491566</v>
      </c>
      <c r="J9" s="4">
        <v>92423</v>
      </c>
      <c r="K9" s="4">
        <v>601856</v>
      </c>
      <c r="L9" s="4">
        <v>293827</v>
      </c>
      <c r="M9" s="4">
        <v>520238</v>
      </c>
      <c r="N9" s="4">
        <v>81618</v>
      </c>
      <c r="O9" s="4">
        <v>14272</v>
      </c>
      <c r="P9" s="4">
        <v>113550</v>
      </c>
      <c r="Q9" s="4">
        <v>96407</v>
      </c>
      <c r="R9" s="4">
        <v>22663</v>
      </c>
      <c r="S9" s="4">
        <v>486495</v>
      </c>
      <c r="T9" s="4">
        <v>616645</v>
      </c>
      <c r="U9" s="4">
        <v>719237</v>
      </c>
      <c r="V9" s="4">
        <v>589369</v>
      </c>
      <c r="W9" s="4">
        <v>555986</v>
      </c>
      <c r="X9" s="4">
        <v>506567</v>
      </c>
      <c r="Y9">
        <v>12.85</v>
      </c>
      <c r="Z9">
        <v>592789.75</v>
      </c>
      <c r="AA9" t="s">
        <v>32</v>
      </c>
      <c r="AB9">
        <v>4</v>
      </c>
      <c r="AC9" t="s">
        <v>468</v>
      </c>
      <c r="AD9" s="5">
        <f t="shared" si="0"/>
        <v>4.099018344711854E-3</v>
      </c>
      <c r="AE9" s="5">
        <f t="shared" si="1"/>
        <v>8.5526663764377522E-2</v>
      </c>
      <c r="AF9" s="5">
        <f t="shared" si="2"/>
        <v>4.1088166506517761E-2</v>
      </c>
      <c r="AG9" s="5">
        <f t="shared" si="3"/>
        <v>0.11347858911596595</v>
      </c>
      <c r="AH9" s="5">
        <f t="shared" si="4"/>
        <v>1.1663712508817878</v>
      </c>
      <c r="AI9" s="5">
        <f t="shared" si="5"/>
        <v>0.81394099515631879</v>
      </c>
      <c r="AJ9" s="5">
        <f t="shared" si="6"/>
        <v>1.1568858868440983</v>
      </c>
      <c r="AK9" s="5">
        <f t="shared" si="7"/>
        <v>0.12850145362377074</v>
      </c>
      <c r="AL9" s="5">
        <f t="shared" si="8"/>
        <v>0.97601699519172291</v>
      </c>
      <c r="AM9" s="10">
        <f t="shared" si="9"/>
        <v>6.0227645862432304</v>
      </c>
    </row>
    <row r="10" spans="1:39" x14ac:dyDescent="0.3">
      <c r="A10">
        <v>14</v>
      </c>
      <c r="B10" t="s">
        <v>491</v>
      </c>
      <c r="C10" t="s">
        <v>42</v>
      </c>
      <c r="D10" s="1">
        <v>33039</v>
      </c>
      <c r="E10">
        <v>2665</v>
      </c>
      <c r="F10" t="s">
        <v>492</v>
      </c>
      <c r="G10" s="4">
        <v>1568.72</v>
      </c>
      <c r="H10" s="4">
        <v>14758.143</v>
      </c>
      <c r="I10" s="4">
        <v>479720.859</v>
      </c>
      <c r="J10" s="4">
        <v>44759.819000000003</v>
      </c>
      <c r="K10" s="4">
        <v>325870.62400000001</v>
      </c>
      <c r="L10" s="4">
        <v>155118.399</v>
      </c>
      <c r="M10" s="4">
        <v>242063.12400000001</v>
      </c>
      <c r="N10" s="4">
        <v>83807.5</v>
      </c>
      <c r="O10" s="4">
        <v>6834.1459999999997</v>
      </c>
      <c r="P10" s="4">
        <v>18501.174999999999</v>
      </c>
      <c r="Q10" s="4">
        <v>49717.677000000003</v>
      </c>
      <c r="R10" s="4">
        <v>8241.6229999999996</v>
      </c>
      <c r="S10" s="4">
        <v>263110.136</v>
      </c>
      <c r="T10" s="4">
        <v>291780.80099999998</v>
      </c>
      <c r="U10" s="4">
        <v>348200.11499999999</v>
      </c>
      <c r="V10" s="4">
        <v>315569.89199999999</v>
      </c>
      <c r="W10" s="4">
        <v>295900.75099999999</v>
      </c>
      <c r="X10" s="4">
        <v>266620.04700000002</v>
      </c>
      <c r="Y10">
        <v>12.85</v>
      </c>
      <c r="Z10">
        <v>306572.70124999998</v>
      </c>
      <c r="AA10" t="s">
        <v>32</v>
      </c>
      <c r="AB10">
        <v>4</v>
      </c>
      <c r="AC10" t="s">
        <v>468</v>
      </c>
      <c r="AD10" s="5">
        <f t="shared" si="0"/>
        <v>4.7266974507933742E-3</v>
      </c>
      <c r="AE10" s="5">
        <f t="shared" si="1"/>
        <v>3.0764021874646063E-2</v>
      </c>
      <c r="AF10" s="5">
        <f t="shared" si="2"/>
        <v>2.9705379743839647E-2</v>
      </c>
      <c r="AG10" s="5">
        <f t="shared" si="3"/>
        <v>0.24068774359824666</v>
      </c>
      <c r="AH10" s="5">
        <f t="shared" si="4"/>
        <v>1.1933619820311618</v>
      </c>
      <c r="AI10" s="5">
        <f t="shared" si="5"/>
        <v>2.4192960176853635</v>
      </c>
      <c r="AJ10" s="5">
        <f t="shared" si="6"/>
        <v>1.3462216739795525</v>
      </c>
      <c r="AK10" s="5">
        <f t="shared" si="7"/>
        <v>0.12854624990574745</v>
      </c>
      <c r="AL10" s="5">
        <f t="shared" si="8"/>
        <v>1.1168336740565739</v>
      </c>
      <c r="AM10" s="10">
        <f t="shared" si="9"/>
        <v>5.7240802911433937</v>
      </c>
    </row>
    <row r="11" spans="1:39" x14ac:dyDescent="0.3">
      <c r="A11">
        <v>16</v>
      </c>
      <c r="B11" t="s">
        <v>495</v>
      </c>
      <c r="C11" t="s">
        <v>42</v>
      </c>
      <c r="D11" s="1">
        <v>27211</v>
      </c>
      <c r="E11">
        <v>3457</v>
      </c>
      <c r="F11" t="s">
        <v>496</v>
      </c>
      <c r="G11" s="4">
        <v>102.54</v>
      </c>
      <c r="H11" s="4">
        <v>51423.915999999997</v>
      </c>
      <c r="I11" s="4">
        <v>442382.14299999998</v>
      </c>
      <c r="J11" s="4">
        <v>159944.88500000001</v>
      </c>
      <c r="K11" s="4">
        <v>554831.68799999997</v>
      </c>
      <c r="L11" s="4">
        <v>151541.21299999999</v>
      </c>
      <c r="M11" s="4">
        <v>399367.989</v>
      </c>
      <c r="N11" s="4">
        <v>155463.69899999999</v>
      </c>
      <c r="O11" s="4">
        <v>30331.192999999999</v>
      </c>
      <c r="P11" s="4">
        <v>177011.52</v>
      </c>
      <c r="Q11" s="4">
        <v>74265.248999999996</v>
      </c>
      <c r="R11" s="4">
        <v>20337.411</v>
      </c>
      <c r="S11" s="4">
        <v>421022.511</v>
      </c>
      <c r="T11" s="4">
        <v>473633.23800000001</v>
      </c>
      <c r="U11" s="4">
        <v>740383.81200000003</v>
      </c>
      <c r="V11" s="4">
        <v>678168.995</v>
      </c>
      <c r="W11" s="4">
        <v>677868.39899999998</v>
      </c>
      <c r="X11" s="4">
        <v>732067.83200000005</v>
      </c>
      <c r="Y11">
        <v>21.6</v>
      </c>
      <c r="Z11">
        <v>707122.25950000004</v>
      </c>
      <c r="AA11" t="s">
        <v>32</v>
      </c>
      <c r="AB11">
        <v>4</v>
      </c>
      <c r="AC11" t="s">
        <v>468</v>
      </c>
      <c r="AD11" s="5">
        <f t="shared" si="0"/>
        <v>1.4456987359794495E-4</v>
      </c>
      <c r="AE11" s="5">
        <f t="shared" si="1"/>
        <v>0.11624320016913521</v>
      </c>
      <c r="AF11" s="5">
        <f t="shared" si="2"/>
        <v>4.5464215756132138E-2</v>
      </c>
      <c r="AG11" s="5">
        <f t="shared" si="3"/>
        <v>0.2099771719482165</v>
      </c>
      <c r="AH11" s="5">
        <f t="shared" si="4"/>
        <v>1.563200705943699</v>
      </c>
      <c r="AI11" s="5">
        <f t="shared" si="5"/>
        <v>0.90358460850457656</v>
      </c>
      <c r="AJ11" s="5">
        <f t="shared" si="6"/>
        <v>1.3892743116173989</v>
      </c>
      <c r="AK11" s="5">
        <f t="shared" si="7"/>
        <v>0.21602968947678722</v>
      </c>
      <c r="AL11" s="5">
        <f t="shared" si="8"/>
        <v>1.1714373981498316</v>
      </c>
      <c r="AM11" s="10">
        <f t="shared" si="9"/>
        <v>2.8455655297382316</v>
      </c>
    </row>
    <row r="12" spans="1:39" x14ac:dyDescent="0.3">
      <c r="A12">
        <v>18</v>
      </c>
      <c r="B12" t="s">
        <v>499</v>
      </c>
      <c r="C12" t="s">
        <v>143</v>
      </c>
      <c r="D12" s="1">
        <v>39881</v>
      </c>
      <c r="E12">
        <v>90</v>
      </c>
      <c r="F12" t="s">
        <v>500</v>
      </c>
      <c r="G12" s="4">
        <v>1835.5250000000001</v>
      </c>
      <c r="H12" s="4">
        <v>22305.827000000001</v>
      </c>
      <c r="I12" s="4">
        <v>375235.91600000003</v>
      </c>
      <c r="J12" s="4">
        <v>42701.212</v>
      </c>
      <c r="K12" s="4">
        <v>493208.75799999997</v>
      </c>
      <c r="L12" s="4">
        <v>32690.921999999999</v>
      </c>
      <c r="M12" s="4">
        <v>486108.40899999999</v>
      </c>
      <c r="N12" s="4">
        <v>7100.3490000000002</v>
      </c>
      <c r="O12" s="4">
        <v>7730.9189999999999</v>
      </c>
      <c r="P12" s="4">
        <v>67656.923999999999</v>
      </c>
      <c r="Q12" s="4">
        <v>25600</v>
      </c>
      <c r="R12" s="4">
        <v>17309.807000000001</v>
      </c>
      <c r="S12" s="4">
        <v>262400.489</v>
      </c>
      <c r="T12" s="4">
        <v>511708.40899999999</v>
      </c>
      <c r="U12" s="4">
        <v>561246.86100000003</v>
      </c>
      <c r="V12" s="4">
        <v>307398.41100000002</v>
      </c>
      <c r="W12" s="4">
        <v>39897.576999999997</v>
      </c>
      <c r="X12" s="4">
        <v>8898.107</v>
      </c>
      <c r="Y12">
        <v>7.61</v>
      </c>
      <c r="Z12">
        <v>229360.239</v>
      </c>
      <c r="AA12" t="s">
        <v>32</v>
      </c>
      <c r="AB12">
        <v>4</v>
      </c>
      <c r="AC12" t="s">
        <v>468</v>
      </c>
      <c r="AD12" s="5">
        <f t="shared" si="0"/>
        <v>4.2261785314822962E-3</v>
      </c>
      <c r="AE12" s="5">
        <f t="shared" si="1"/>
        <v>5.9444808049771015E-2</v>
      </c>
      <c r="AF12" s="5">
        <f t="shared" si="2"/>
        <v>4.4721891311989545E-2</v>
      </c>
      <c r="AG12" s="5">
        <f t="shared" si="3"/>
        <v>1.2651026657590518E-2</v>
      </c>
      <c r="AH12" s="5">
        <f t="shared" si="4"/>
        <v>1.0968099236375848</v>
      </c>
      <c r="AI12" s="5">
        <f t="shared" si="5"/>
        <v>0.63114326628269413</v>
      </c>
      <c r="AJ12" s="5">
        <f t="shared" si="6"/>
        <v>1.0146065134207543</v>
      </c>
      <c r="AK12" s="5">
        <f t="shared" si="7"/>
        <v>7.6082763160433955E-2</v>
      </c>
      <c r="AL12" s="5">
        <f t="shared" si="8"/>
        <v>0.9638472796721228</v>
      </c>
      <c r="AM12" s="10">
        <f t="shared" si="9"/>
        <v>52.84753129740524</v>
      </c>
    </row>
    <row r="13" spans="1:39" x14ac:dyDescent="0.3">
      <c r="A13">
        <v>20</v>
      </c>
      <c r="B13" t="s">
        <v>503</v>
      </c>
      <c r="C13" t="s">
        <v>58</v>
      </c>
      <c r="D13" s="1">
        <v>37162</v>
      </c>
      <c r="E13">
        <v>481</v>
      </c>
      <c r="F13" t="s">
        <v>504</v>
      </c>
      <c r="G13" s="4">
        <v>51494.491000000002</v>
      </c>
      <c r="H13" s="4">
        <v>83835.554999999993</v>
      </c>
      <c r="I13" s="4">
        <v>315445.42200000002</v>
      </c>
      <c r="J13" s="4">
        <v>226644.245</v>
      </c>
      <c r="K13" s="4">
        <v>169378.524</v>
      </c>
      <c r="L13" s="4">
        <v>17285.206999999999</v>
      </c>
      <c r="M13" s="4">
        <v>108216.56200000001</v>
      </c>
      <c r="N13" s="4">
        <v>61161.962</v>
      </c>
      <c r="O13" s="4">
        <v>69370.767999999996</v>
      </c>
      <c r="P13" s="4">
        <v>182825.924</v>
      </c>
      <c r="Q13" s="4">
        <v>1916.04</v>
      </c>
      <c r="R13" s="4">
        <v>1191.701</v>
      </c>
      <c r="S13" s="4">
        <v>97917.807000000001</v>
      </c>
      <c r="T13" s="4">
        <v>110132.602</v>
      </c>
      <c r="U13" s="4">
        <v>352250.06</v>
      </c>
      <c r="V13" s="4">
        <v>301205.21500000003</v>
      </c>
      <c r="W13" s="4">
        <v>262271.82699999999</v>
      </c>
      <c r="X13" s="4">
        <v>239414.897</v>
      </c>
      <c r="Y13">
        <v>64.34</v>
      </c>
      <c r="Z13">
        <v>288785.49975000002</v>
      </c>
      <c r="AA13" t="s">
        <v>32</v>
      </c>
      <c r="AB13">
        <v>4</v>
      </c>
      <c r="AC13" t="s">
        <v>468</v>
      </c>
      <c r="AD13" s="5">
        <f t="shared" si="0"/>
        <v>0.15760678035692649</v>
      </c>
      <c r="AE13" s="5">
        <f t="shared" si="1"/>
        <v>0.26576881182317486</v>
      </c>
      <c r="AF13" s="5">
        <f t="shared" si="2"/>
        <v>1.1455887116280556E-2</v>
      </c>
      <c r="AG13" s="5">
        <f t="shared" si="3"/>
        <v>0.17363222592495797</v>
      </c>
      <c r="AH13" s="5">
        <f t="shared" si="4"/>
        <v>3.1984176674587239</v>
      </c>
      <c r="AI13" s="5">
        <f t="shared" si="5"/>
        <v>1.2396723617816914</v>
      </c>
      <c r="AJ13" s="5">
        <f t="shared" si="6"/>
        <v>1.5651811596084526</v>
      </c>
      <c r="AK13" s="5">
        <f t="shared" si="7"/>
        <v>0.6434186129024364</v>
      </c>
      <c r="AL13" s="5">
        <f t="shared" si="8"/>
        <v>1.5379508058839835</v>
      </c>
      <c r="AM13" s="10">
        <f t="shared" si="9"/>
        <v>5.1575425588865187</v>
      </c>
    </row>
    <row r="14" spans="1:39" x14ac:dyDescent="0.3">
      <c r="A14">
        <v>21</v>
      </c>
      <c r="B14" t="s">
        <v>505</v>
      </c>
      <c r="C14" t="s">
        <v>58</v>
      </c>
      <c r="D14" s="1">
        <v>39722</v>
      </c>
      <c r="E14">
        <v>178</v>
      </c>
      <c r="F14" t="s">
        <v>506</v>
      </c>
      <c r="G14" s="4">
        <v>30491.438999999998</v>
      </c>
      <c r="H14" s="4">
        <v>32329.289000000001</v>
      </c>
      <c r="I14" s="4">
        <v>287722.30599999998</v>
      </c>
      <c r="J14" s="4">
        <v>83278.126000000004</v>
      </c>
      <c r="K14" s="4">
        <v>498821.51699999999</v>
      </c>
      <c r="L14" s="4">
        <v>269414.36</v>
      </c>
      <c r="M14" s="4">
        <v>410016.62400000001</v>
      </c>
      <c r="N14" s="4">
        <v>88804.892999999996</v>
      </c>
      <c r="O14" s="4">
        <v>31599.045999999998</v>
      </c>
      <c r="P14" s="4">
        <v>31044.850999999999</v>
      </c>
      <c r="Q14" s="4">
        <v>30898.544000000002</v>
      </c>
      <c r="R14" s="4">
        <v>2386.9189999999999</v>
      </c>
      <c r="S14" s="4">
        <v>313644.299</v>
      </c>
      <c r="T14" s="4">
        <v>440915.16800000001</v>
      </c>
      <c r="U14" s="4">
        <v>530189.46100000001</v>
      </c>
      <c r="V14" s="4">
        <v>371947.56099999999</v>
      </c>
      <c r="W14" s="4">
        <v>535106.05599999998</v>
      </c>
      <c r="X14" s="4">
        <v>452959.04300000001</v>
      </c>
      <c r="Y14">
        <v>15.71</v>
      </c>
      <c r="Z14">
        <v>472550.53025000001</v>
      </c>
      <c r="AA14" t="s">
        <v>32</v>
      </c>
      <c r="AB14">
        <v>4</v>
      </c>
      <c r="AC14" t="s">
        <v>468</v>
      </c>
      <c r="AD14" s="5">
        <f t="shared" si="0"/>
        <v>6.7598243407418879E-2</v>
      </c>
      <c r="AE14" s="5">
        <f t="shared" si="1"/>
        <v>0.11236281763986697</v>
      </c>
      <c r="AF14" s="5">
        <f t="shared" si="2"/>
        <v>6.3266557624410535E-3</v>
      </c>
      <c r="AG14" s="5">
        <f t="shared" si="3"/>
        <v>0.16749652630307563</v>
      </c>
      <c r="AH14" s="5">
        <f t="shared" si="4"/>
        <v>1.2024749872066094</v>
      </c>
      <c r="AI14" s="5">
        <f t="shared" si="5"/>
        <v>2.6825100883879265</v>
      </c>
      <c r="AJ14" s="5">
        <f t="shared" si="6"/>
        <v>1.216588518127987</v>
      </c>
      <c r="AK14" s="5">
        <f t="shared" si="7"/>
        <v>0.15707239039215834</v>
      </c>
      <c r="AL14" s="5">
        <f t="shared" si="8"/>
        <v>1.1313321772590959</v>
      </c>
      <c r="AM14" s="10">
        <f t="shared" si="9"/>
        <v>3.2399375336221619</v>
      </c>
    </row>
    <row r="15" spans="1:39" x14ac:dyDescent="0.3">
      <c r="A15">
        <v>22</v>
      </c>
      <c r="B15" t="s">
        <v>507</v>
      </c>
      <c r="C15" t="s">
        <v>42</v>
      </c>
      <c r="D15" s="1">
        <v>38852</v>
      </c>
      <c r="E15">
        <v>819</v>
      </c>
      <c r="F15" t="s">
        <v>508</v>
      </c>
      <c r="G15" s="4">
        <v>16257.986000000001</v>
      </c>
      <c r="H15" s="4">
        <v>51418.949000000001</v>
      </c>
      <c r="I15" s="4">
        <v>294334.72600000002</v>
      </c>
      <c r="J15" s="4">
        <v>81543.597999999998</v>
      </c>
      <c r="K15" s="4">
        <v>225998.103</v>
      </c>
      <c r="L15" s="4">
        <v>1230.557</v>
      </c>
      <c r="M15" s="4">
        <v>126094.90300000001</v>
      </c>
      <c r="N15" s="4">
        <v>99903.2</v>
      </c>
      <c r="O15" s="4">
        <v>40635.864000000001</v>
      </c>
      <c r="P15" s="4">
        <v>165237.00899999999</v>
      </c>
      <c r="Q15" s="4">
        <v>176400.247</v>
      </c>
      <c r="R15" s="4">
        <v>7128.9279999999999</v>
      </c>
      <c r="S15" s="4">
        <v>279370.81400000001</v>
      </c>
      <c r="T15" s="4">
        <v>302495.15000000002</v>
      </c>
      <c r="U15" s="4">
        <v>396834.18699999998</v>
      </c>
      <c r="V15" s="4">
        <v>353838.50799999997</v>
      </c>
      <c r="W15" s="4">
        <v>216641.22</v>
      </c>
      <c r="X15" s="4">
        <v>163134.66500000001</v>
      </c>
      <c r="Y15">
        <v>20.55</v>
      </c>
      <c r="Z15">
        <v>282612.14500000002</v>
      </c>
      <c r="AA15" t="s">
        <v>32</v>
      </c>
      <c r="AB15">
        <v>4</v>
      </c>
      <c r="AC15" t="s">
        <v>468</v>
      </c>
      <c r="AD15" s="5">
        <f t="shared" si="0"/>
        <v>4.3315778256727458E-2</v>
      </c>
      <c r="AE15" s="5">
        <f t="shared" si="1"/>
        <v>0.17469548937966631</v>
      </c>
      <c r="AF15" s="5">
        <f t="shared" si="2"/>
        <v>2.4503677620160643E-2</v>
      </c>
      <c r="AG15" s="5">
        <f t="shared" si="3"/>
        <v>0.25175048741453315</v>
      </c>
      <c r="AH15" s="5">
        <f t="shared" si="4"/>
        <v>1.3118695853470708</v>
      </c>
      <c r="AI15" s="5">
        <f t="shared" si="5"/>
        <v>0.49349475939739385</v>
      </c>
      <c r="AJ15" s="5">
        <f t="shared" si="6"/>
        <v>1.7922857912821424</v>
      </c>
      <c r="AK15" s="5">
        <f t="shared" si="7"/>
        <v>0.20548531520546642</v>
      </c>
      <c r="AL15" s="5">
        <f t="shared" si="8"/>
        <v>0.74711314545043117</v>
      </c>
      <c r="AM15" s="10">
        <f t="shared" si="9"/>
        <v>2.9461991808070214</v>
      </c>
    </row>
    <row r="16" spans="1:39" x14ac:dyDescent="0.3">
      <c r="A16">
        <v>23</v>
      </c>
      <c r="B16" t="s">
        <v>509</v>
      </c>
      <c r="C16" t="s">
        <v>58</v>
      </c>
      <c r="D16" s="1">
        <v>26289</v>
      </c>
      <c r="E16">
        <v>1808</v>
      </c>
      <c r="F16" t="s">
        <v>510</v>
      </c>
      <c r="G16" s="4">
        <v>4215.88</v>
      </c>
      <c r="H16" s="4">
        <v>16280.111000000001</v>
      </c>
      <c r="I16" s="4">
        <v>280124.26199999999</v>
      </c>
      <c r="J16" s="4">
        <v>56175.195</v>
      </c>
      <c r="K16" s="4">
        <v>185084.24600000001</v>
      </c>
      <c r="L16" s="4">
        <v>91968.335000000006</v>
      </c>
      <c r="M16" s="4">
        <v>125718.62</v>
      </c>
      <c r="N16" s="4">
        <v>59365.625999999997</v>
      </c>
      <c r="O16" s="4">
        <v>9888.06</v>
      </c>
      <c r="P16" s="4">
        <v>36599.288</v>
      </c>
      <c r="Q16" s="4">
        <v>21850.81</v>
      </c>
      <c r="R16" s="4">
        <v>2437.7620000000002</v>
      </c>
      <c r="S16" s="4">
        <v>133245.13699999999</v>
      </c>
      <c r="T16" s="4">
        <v>147569.43</v>
      </c>
      <c r="U16" s="4">
        <v>229638.85800000001</v>
      </c>
      <c r="V16" s="4">
        <v>212907.18599999999</v>
      </c>
      <c r="W16" s="4">
        <v>200485.04</v>
      </c>
      <c r="X16" s="4">
        <v>175920.55</v>
      </c>
      <c r="Y16">
        <v>24.46</v>
      </c>
      <c r="Z16">
        <v>204737.90849999999</v>
      </c>
      <c r="AA16" t="s">
        <v>32</v>
      </c>
      <c r="AB16">
        <v>4</v>
      </c>
      <c r="AC16" t="s">
        <v>468</v>
      </c>
      <c r="AD16" s="5">
        <f t="shared" si="0"/>
        <v>1.9052842329780266E-2</v>
      </c>
      <c r="AE16" s="5">
        <f t="shared" si="1"/>
        <v>5.8117461457158612E-2</v>
      </c>
      <c r="AF16" s="5">
        <f t="shared" si="2"/>
        <v>1.7362076519342393E-2</v>
      </c>
      <c r="AG16" s="5">
        <f t="shared" si="3"/>
        <v>0.25851733681762168</v>
      </c>
      <c r="AH16" s="5">
        <f t="shared" si="4"/>
        <v>1.5561411194716956</v>
      </c>
      <c r="AI16" s="5">
        <f t="shared" si="5"/>
        <v>1.5348712521402055</v>
      </c>
      <c r="AJ16" s="5">
        <f t="shared" si="6"/>
        <v>1.472210289931595</v>
      </c>
      <c r="AK16" s="5">
        <f t="shared" si="7"/>
        <v>0.24462408274125799</v>
      </c>
      <c r="AL16" s="5">
        <f t="shared" si="8"/>
        <v>1.2542180721305221</v>
      </c>
      <c r="AM16" s="10">
        <f t="shared" si="9"/>
        <v>4.7186272743085365</v>
      </c>
    </row>
    <row r="17" spans="1:39" x14ac:dyDescent="0.3">
      <c r="A17">
        <v>24</v>
      </c>
      <c r="B17" t="s">
        <v>511</v>
      </c>
      <c r="C17" t="s">
        <v>58</v>
      </c>
      <c r="D17" s="1">
        <v>22267</v>
      </c>
      <c r="E17">
        <v>861</v>
      </c>
      <c r="F17" t="s">
        <v>512</v>
      </c>
      <c r="G17" s="4">
        <v>38595.067999999999</v>
      </c>
      <c r="H17" s="4">
        <v>25548.585999999999</v>
      </c>
      <c r="I17" s="4">
        <v>274736.65399999998</v>
      </c>
      <c r="J17" s="4">
        <v>189219.62700000001</v>
      </c>
      <c r="K17" s="4">
        <v>468277.50699999998</v>
      </c>
      <c r="L17" s="4">
        <v>369205.27899999998</v>
      </c>
      <c r="M17" s="4">
        <v>408340.99800000002</v>
      </c>
      <c r="N17" s="4">
        <v>59936.508999999998</v>
      </c>
      <c r="O17" s="4">
        <v>45717.875</v>
      </c>
      <c r="P17" s="4">
        <v>147227.644</v>
      </c>
      <c r="Q17" s="4">
        <v>0</v>
      </c>
      <c r="R17" s="4">
        <v>650.798</v>
      </c>
      <c r="S17" s="4">
        <v>423848.59600000002</v>
      </c>
      <c r="T17" s="4">
        <v>408340.99800000002</v>
      </c>
      <c r="U17" s="4">
        <v>616932.08299999998</v>
      </c>
      <c r="V17" s="4">
        <v>594087.94099999999</v>
      </c>
      <c r="W17" s="4">
        <v>500692.82400000002</v>
      </c>
      <c r="X17" s="4">
        <v>511262.02100000001</v>
      </c>
      <c r="Y17">
        <v>30.67</v>
      </c>
      <c r="Z17">
        <v>555743.71724999999</v>
      </c>
      <c r="AA17" t="s">
        <v>32</v>
      </c>
      <c r="AB17">
        <v>4</v>
      </c>
      <c r="AC17" t="s">
        <v>468</v>
      </c>
      <c r="AD17" s="5">
        <f t="shared" si="0"/>
        <v>6.3739768517650869E-2</v>
      </c>
      <c r="AE17" s="5">
        <f t="shared" si="1"/>
        <v>9.2993001217813481E-2</v>
      </c>
      <c r="AF17" s="5">
        <f t="shared" si="2"/>
        <v>1.5640618548758253E-3</v>
      </c>
      <c r="AG17" s="5">
        <f t="shared" si="3"/>
        <v>9.7152523999955442E-2</v>
      </c>
      <c r="AH17" s="5">
        <f t="shared" si="4"/>
        <v>1.5108257216925349</v>
      </c>
      <c r="AI17" s="5">
        <f t="shared" si="5"/>
        <v>1.2852180599996561</v>
      </c>
      <c r="AJ17" s="5">
        <f t="shared" si="6"/>
        <v>1.1467805321864839</v>
      </c>
      <c r="AK17" s="5">
        <f t="shared" si="7"/>
        <v>0.30671062863170956</v>
      </c>
      <c r="AL17" s="5">
        <f t="shared" si="8"/>
        <v>1.1467805321864839</v>
      </c>
      <c r="AM17" s="10">
        <f t="shared" si="9"/>
        <v>4.5837947285184724</v>
      </c>
    </row>
    <row r="18" spans="1:39" x14ac:dyDescent="0.3">
      <c r="A18">
        <v>25</v>
      </c>
      <c r="B18" t="s">
        <v>513</v>
      </c>
      <c r="C18" t="s">
        <v>58</v>
      </c>
      <c r="D18" s="1">
        <v>29496</v>
      </c>
      <c r="E18">
        <v>176</v>
      </c>
      <c r="F18" t="s">
        <v>514</v>
      </c>
      <c r="G18" s="4">
        <v>530.1</v>
      </c>
      <c r="H18" s="4">
        <v>1479.183</v>
      </c>
      <c r="I18" s="4">
        <v>247909.905</v>
      </c>
      <c r="J18" s="4">
        <v>23033.995999999999</v>
      </c>
      <c r="K18" s="4">
        <v>167473.174</v>
      </c>
      <c r="L18" s="4">
        <v>20871.43</v>
      </c>
      <c r="M18" s="4">
        <v>114387.32399999999</v>
      </c>
      <c r="N18" s="4">
        <v>53085.85</v>
      </c>
      <c r="O18" s="4">
        <v>1378.2539999999999</v>
      </c>
      <c r="P18" s="4">
        <v>8032.5690000000004</v>
      </c>
      <c r="Q18" s="4">
        <v>31864.867999999999</v>
      </c>
      <c r="R18" s="4">
        <v>24.379000000000001</v>
      </c>
      <c r="S18" s="4">
        <v>124491.15700000001</v>
      </c>
      <c r="T18" s="4">
        <v>146252.19200000001</v>
      </c>
      <c r="U18" s="4">
        <v>176323.927</v>
      </c>
      <c r="V18" s="4">
        <v>156857.06599999999</v>
      </c>
      <c r="W18" s="4">
        <v>131933.89799999999</v>
      </c>
      <c r="X18" s="4">
        <v>133998.23699999999</v>
      </c>
      <c r="Y18">
        <v>13.06</v>
      </c>
      <c r="Z18">
        <v>149778.28200000001</v>
      </c>
      <c r="AA18" t="s">
        <v>32</v>
      </c>
      <c r="AB18">
        <v>4</v>
      </c>
      <c r="AC18" t="s">
        <v>468</v>
      </c>
      <c r="AD18" s="5">
        <f t="shared" si="0"/>
        <v>3.1820542656225289E-3</v>
      </c>
      <c r="AE18" s="5">
        <f t="shared" si="1"/>
        <v>5.9666151701361029E-3</v>
      </c>
      <c r="AF18" s="5">
        <f t="shared" si="2"/>
        <v>1.8008937312805417E-4</v>
      </c>
      <c r="AG18" s="5">
        <f t="shared" si="3"/>
        <v>0.30107003004759531</v>
      </c>
      <c r="AH18" s="5">
        <f t="shared" si="4"/>
        <v>1.2056156190807723</v>
      </c>
      <c r="AI18" s="5">
        <f t="shared" si="5"/>
        <v>2.8675752427399002</v>
      </c>
      <c r="AJ18" s="5">
        <f t="shared" si="6"/>
        <v>1.464088573310798</v>
      </c>
      <c r="AK18" s="5">
        <f t="shared" si="7"/>
        <v>0.13063454513464867</v>
      </c>
      <c r="AL18" s="5">
        <f t="shared" si="8"/>
        <v>1.1450985568818004</v>
      </c>
      <c r="AM18" s="10">
        <f t="shared" si="9"/>
        <v>4.6699808894460579</v>
      </c>
    </row>
    <row r="19" spans="1:39" x14ac:dyDescent="0.3">
      <c r="A19">
        <v>28</v>
      </c>
      <c r="B19" t="s">
        <v>519</v>
      </c>
      <c r="C19" t="s">
        <v>101</v>
      </c>
      <c r="D19" s="1">
        <v>38386</v>
      </c>
      <c r="E19">
        <v>807</v>
      </c>
      <c r="F19" t="s">
        <v>520</v>
      </c>
      <c r="G19" s="4">
        <v>7302</v>
      </c>
      <c r="H19" s="4">
        <v>10246</v>
      </c>
      <c r="I19" s="4">
        <v>227162</v>
      </c>
      <c r="J19" s="4">
        <v>51315</v>
      </c>
      <c r="K19" s="4">
        <v>193906</v>
      </c>
      <c r="L19" s="4">
        <v>35961</v>
      </c>
      <c r="M19" s="4">
        <v>102197</v>
      </c>
      <c r="N19" s="4">
        <v>91709</v>
      </c>
      <c r="O19" s="4">
        <v>11363</v>
      </c>
      <c r="P19" s="4">
        <v>52496</v>
      </c>
      <c r="Q19" s="4">
        <v>46748</v>
      </c>
      <c r="R19" s="4">
        <v>4022</v>
      </c>
      <c r="S19" s="4">
        <v>163183</v>
      </c>
      <c r="T19" s="4">
        <v>148945</v>
      </c>
      <c r="U19" s="4">
        <v>249404</v>
      </c>
      <c r="V19" s="4">
        <v>242382</v>
      </c>
      <c r="W19" s="4">
        <v>219458</v>
      </c>
      <c r="X19" s="4">
        <v>187794</v>
      </c>
      <c r="Y19">
        <v>20.58</v>
      </c>
      <c r="Z19">
        <v>224759.5</v>
      </c>
      <c r="AA19" t="s">
        <v>32</v>
      </c>
      <c r="AB19">
        <v>4</v>
      </c>
      <c r="AC19" t="s">
        <v>468</v>
      </c>
      <c r="AD19" s="5">
        <f t="shared" si="0"/>
        <v>2.9695843313961762E-2</v>
      </c>
      <c r="AE19" s="5">
        <f t="shared" si="1"/>
        <v>4.5104374851427619E-2</v>
      </c>
      <c r="AF19" s="5">
        <f t="shared" si="2"/>
        <v>2.5771478367849088E-2</v>
      </c>
      <c r="AG19" s="5">
        <f t="shared" si="3"/>
        <v>0.36771262690253564</v>
      </c>
      <c r="AH19" s="5">
        <f t="shared" si="4"/>
        <v>1.6744704421095036</v>
      </c>
      <c r="AI19" s="5">
        <f t="shared" si="5"/>
        <v>0.97750304785126485</v>
      </c>
      <c r="AJ19" s="5">
        <f t="shared" si="6"/>
        <v>1.8973746783173675</v>
      </c>
      <c r="AK19" s="5">
        <f t="shared" si="7"/>
        <v>0.20575050921396609</v>
      </c>
      <c r="AL19" s="5">
        <f t="shared" si="8"/>
        <v>1.3018631038302728</v>
      </c>
      <c r="AM19" s="10">
        <f t="shared" si="9"/>
        <v>2.476986991462125</v>
      </c>
    </row>
    <row r="20" spans="1:39" x14ac:dyDescent="0.3">
      <c r="A20">
        <v>29</v>
      </c>
      <c r="B20" t="s">
        <v>521</v>
      </c>
      <c r="C20" t="s">
        <v>101</v>
      </c>
      <c r="D20" s="1">
        <v>26686</v>
      </c>
      <c r="E20">
        <v>131</v>
      </c>
      <c r="F20" t="s">
        <v>522</v>
      </c>
      <c r="G20" s="4">
        <v>4290.5590000000002</v>
      </c>
      <c r="H20" s="4">
        <v>7505.2030000000004</v>
      </c>
      <c r="I20" s="4">
        <v>221709.052</v>
      </c>
      <c r="J20" s="4">
        <v>17634.306</v>
      </c>
      <c r="K20" s="4">
        <v>105703.40300000001</v>
      </c>
      <c r="L20" s="4">
        <v>15092.304</v>
      </c>
      <c r="M20" s="4">
        <v>91485.543000000005</v>
      </c>
      <c r="N20" s="4">
        <v>14217.86</v>
      </c>
      <c r="O20" s="4">
        <v>5696.634</v>
      </c>
      <c r="P20" s="4">
        <v>5422.6970000000001</v>
      </c>
      <c r="Q20" s="4">
        <v>928.87</v>
      </c>
      <c r="R20" s="4">
        <v>280.62299999999999</v>
      </c>
      <c r="S20" s="4">
        <v>118659.88099999999</v>
      </c>
      <c r="T20" s="4">
        <v>92414.413</v>
      </c>
      <c r="U20" s="4">
        <v>111308.655</v>
      </c>
      <c r="V20" s="4">
        <v>133499.361</v>
      </c>
      <c r="W20" s="4">
        <v>100443.624</v>
      </c>
      <c r="X20" s="4">
        <v>72859.843999999997</v>
      </c>
      <c r="Y20">
        <v>15.84</v>
      </c>
      <c r="Z20">
        <v>104527.871</v>
      </c>
      <c r="AA20" t="s">
        <v>32</v>
      </c>
      <c r="AB20">
        <v>4</v>
      </c>
      <c r="AC20" t="s">
        <v>468</v>
      </c>
      <c r="AD20" s="5">
        <f t="shared" si="0"/>
        <v>3.5052438805761983E-2</v>
      </c>
      <c r="AE20" s="5">
        <f t="shared" si="1"/>
        <v>3.385158581617137E-2</v>
      </c>
      <c r="AF20" s="5">
        <f t="shared" si="2"/>
        <v>2.6589974049611178E-3</v>
      </c>
      <c r="AG20" s="5">
        <f t="shared" si="3"/>
        <v>0.12773364299478779</v>
      </c>
      <c r="AH20" s="5">
        <f t="shared" si="4"/>
        <v>1.2044512472313167</v>
      </c>
      <c r="AI20" s="5">
        <f t="shared" si="5"/>
        <v>3.251943820574891</v>
      </c>
      <c r="AJ20" s="5">
        <f t="shared" si="6"/>
        <v>1.1554110030259097</v>
      </c>
      <c r="AK20" s="5">
        <f t="shared" si="7"/>
        <v>0.15842708727367158</v>
      </c>
      <c r="AL20" s="5">
        <f t="shared" si="8"/>
        <v>1.1437978078159736</v>
      </c>
      <c r="AM20" s="10">
        <f t="shared" si="9"/>
        <v>15.593700599105631</v>
      </c>
    </row>
    <row r="21" spans="1:39" x14ac:dyDescent="0.3">
      <c r="A21">
        <v>30</v>
      </c>
      <c r="B21" t="s">
        <v>523</v>
      </c>
      <c r="C21" t="s">
        <v>58</v>
      </c>
      <c r="D21" s="1">
        <v>36236</v>
      </c>
      <c r="E21">
        <v>415</v>
      </c>
      <c r="F21" t="s">
        <v>524</v>
      </c>
      <c r="G21" s="4">
        <v>9251.0920000000006</v>
      </c>
      <c r="H21" s="4">
        <v>9666.3970000000008</v>
      </c>
      <c r="I21" s="4">
        <v>217708.72899999999</v>
      </c>
      <c r="J21" s="4">
        <v>30402.420999999998</v>
      </c>
      <c r="K21" s="4">
        <v>144451.06299999999</v>
      </c>
      <c r="L21" s="4">
        <v>6092.87</v>
      </c>
      <c r="M21" s="4">
        <v>112055.787</v>
      </c>
      <c r="N21" s="4">
        <v>32395.276000000002</v>
      </c>
      <c r="O21" s="4">
        <v>9689.7139999999999</v>
      </c>
      <c r="P21" s="4">
        <v>2591.779</v>
      </c>
      <c r="Q21" s="4">
        <v>8.5739999999999998</v>
      </c>
      <c r="R21" s="4">
        <v>20.186</v>
      </c>
      <c r="S21" s="4">
        <v>65921.528000000006</v>
      </c>
      <c r="T21" s="4">
        <v>112064.361</v>
      </c>
      <c r="U21" s="4">
        <v>147172.217</v>
      </c>
      <c r="V21" s="4">
        <v>95888.895000000004</v>
      </c>
      <c r="W21" s="4">
        <v>293970.424</v>
      </c>
      <c r="X21" s="4">
        <v>287178.58600000001</v>
      </c>
      <c r="Y21">
        <v>20.66</v>
      </c>
      <c r="Z21">
        <v>206052.53049999999</v>
      </c>
      <c r="AA21" t="s">
        <v>32</v>
      </c>
      <c r="AB21">
        <v>4</v>
      </c>
      <c r="AC21" t="s">
        <v>468</v>
      </c>
      <c r="AD21" s="5">
        <f t="shared" si="0"/>
        <v>7.6121531115187199E-2</v>
      </c>
      <c r="AE21" s="5">
        <f t="shared" si="1"/>
        <v>4.4400594520948224E-2</v>
      </c>
      <c r="AF21" s="5">
        <f t="shared" si="2"/>
        <v>2.2682697053584959E-4</v>
      </c>
      <c r="AG21" s="5">
        <f t="shared" si="3"/>
        <v>0.22011814906613794</v>
      </c>
      <c r="AH21" s="5">
        <f t="shared" si="4"/>
        <v>1.3132829713810619</v>
      </c>
      <c r="AI21" s="5">
        <f t="shared" si="5"/>
        <v>11.730329244893179</v>
      </c>
      <c r="AJ21" s="5">
        <f t="shared" si="6"/>
        <v>1.2890995357517769</v>
      </c>
      <c r="AK21" s="5">
        <f t="shared" si="7"/>
        <v>0.20657717617993074</v>
      </c>
      <c r="AL21" s="5">
        <f t="shared" si="8"/>
        <v>1.2890009072554296</v>
      </c>
      <c r="AM21" s="10">
        <f t="shared" si="9"/>
        <v>6.7203850647853711</v>
      </c>
    </row>
    <row r="22" spans="1:39" x14ac:dyDescent="0.3">
      <c r="A22">
        <v>31</v>
      </c>
      <c r="B22" t="s">
        <v>525</v>
      </c>
      <c r="C22" t="s">
        <v>45</v>
      </c>
      <c r="D22" s="1">
        <v>26996</v>
      </c>
      <c r="E22">
        <v>208</v>
      </c>
      <c r="F22" t="s">
        <v>526</v>
      </c>
      <c r="G22" s="4">
        <v>3785.0189999999998</v>
      </c>
      <c r="H22" s="4">
        <v>10140.894</v>
      </c>
      <c r="I22" s="4">
        <v>214704.69200000001</v>
      </c>
      <c r="J22" s="4">
        <v>26340.846000000001</v>
      </c>
      <c r="K22" s="4">
        <v>280532.55300000001</v>
      </c>
      <c r="L22" s="4">
        <v>52928.078999999998</v>
      </c>
      <c r="M22" s="4">
        <v>234589.541</v>
      </c>
      <c r="N22" s="4">
        <v>45943.012000000002</v>
      </c>
      <c r="O22" s="4">
        <v>5936.1220000000003</v>
      </c>
      <c r="P22" s="4">
        <v>15896.746999999999</v>
      </c>
      <c r="Q22" s="4">
        <v>28437.916000000001</v>
      </c>
      <c r="R22" s="4">
        <v>3175.7750000000001</v>
      </c>
      <c r="S22" s="4">
        <v>169978.981</v>
      </c>
      <c r="T22" s="4">
        <v>263027.45699999999</v>
      </c>
      <c r="U22" s="4">
        <v>297822.788</v>
      </c>
      <c r="V22" s="4">
        <v>201578.068</v>
      </c>
      <c r="W22" s="4">
        <v>132982.527</v>
      </c>
      <c r="X22" s="4">
        <v>113304.754</v>
      </c>
      <c r="Y22">
        <v>8.84</v>
      </c>
      <c r="Z22">
        <v>186422.03425</v>
      </c>
      <c r="AA22" t="s">
        <v>32</v>
      </c>
      <c r="AB22">
        <v>4</v>
      </c>
      <c r="AC22" t="s">
        <v>468</v>
      </c>
      <c r="AD22" s="5">
        <f t="shared" si="0"/>
        <v>1.5158239937017648E-2</v>
      </c>
      <c r="AE22" s="5">
        <f t="shared" si="1"/>
        <v>4.7231822954292957E-2</v>
      </c>
      <c r="AF22" s="5">
        <f t="shared" si="2"/>
        <v>1.4668488601086344E-2</v>
      </c>
      <c r="AG22" s="5">
        <f t="shared" si="3"/>
        <v>0.15426291691285893</v>
      </c>
      <c r="AH22" s="5">
        <f t="shared" si="4"/>
        <v>1.1322878280346222</v>
      </c>
      <c r="AI22" s="5">
        <f t="shared" si="5"/>
        <v>1.6569959879213025</v>
      </c>
      <c r="AJ22" s="5">
        <f t="shared" si="6"/>
        <v>1.1958442469521693</v>
      </c>
      <c r="AK22" s="5">
        <f t="shared" si="7"/>
        <v>8.8444696179528076E-2</v>
      </c>
      <c r="AL22" s="5">
        <f t="shared" si="8"/>
        <v>1.0665523523652514</v>
      </c>
      <c r="AM22" s="10">
        <f t="shared" si="9"/>
        <v>4.6732828922927387</v>
      </c>
    </row>
    <row r="23" spans="1:39" x14ac:dyDescent="0.3">
      <c r="A23">
        <v>32</v>
      </c>
      <c r="B23" t="s">
        <v>527</v>
      </c>
      <c r="C23" t="s">
        <v>101</v>
      </c>
      <c r="D23" s="1">
        <v>31316</v>
      </c>
      <c r="E23">
        <v>210</v>
      </c>
      <c r="F23" t="s">
        <v>528</v>
      </c>
      <c r="G23" s="4">
        <v>9617.6759999999995</v>
      </c>
      <c r="H23" s="4">
        <v>17857.688999999998</v>
      </c>
      <c r="I23" s="4">
        <v>212938.60699999999</v>
      </c>
      <c r="J23" s="4">
        <v>70403.213000000003</v>
      </c>
      <c r="K23" s="4">
        <v>250331.34899999999</v>
      </c>
      <c r="L23" s="4">
        <v>126663.56600000001</v>
      </c>
      <c r="M23" s="4">
        <v>214062.73</v>
      </c>
      <c r="N23" s="4">
        <v>36268.618999999999</v>
      </c>
      <c r="O23" s="4">
        <v>11373.261</v>
      </c>
      <c r="P23" s="4">
        <v>37939.03</v>
      </c>
      <c r="Q23" s="4">
        <v>636.91999999999996</v>
      </c>
      <c r="R23" s="4">
        <v>2825.1869999999999</v>
      </c>
      <c r="S23" s="4">
        <v>193143.58900000001</v>
      </c>
      <c r="T23" s="4">
        <v>214699.65</v>
      </c>
      <c r="U23" s="4">
        <v>288942.64500000002</v>
      </c>
      <c r="V23" s="4">
        <v>258291.41899999999</v>
      </c>
      <c r="W23" s="4">
        <v>276689.43699999998</v>
      </c>
      <c r="X23" s="4">
        <v>233547.83600000001</v>
      </c>
      <c r="Y23">
        <v>24.37</v>
      </c>
      <c r="Z23">
        <v>264367.83425000001</v>
      </c>
      <c r="AA23" t="s">
        <v>32</v>
      </c>
      <c r="AB23">
        <v>4</v>
      </c>
      <c r="AC23" t="s">
        <v>468</v>
      </c>
      <c r="AD23" s="5">
        <f t="shared" si="0"/>
        <v>3.5150136414022648E-2</v>
      </c>
      <c r="AE23" s="5">
        <f t="shared" si="1"/>
        <v>8.3863087354563187E-2</v>
      </c>
      <c r="AF23" s="5">
        <f t="shared" si="2"/>
        <v>1.3854278947603198E-2</v>
      </c>
      <c r="AG23" s="5">
        <f t="shared" si="3"/>
        <v>0.12552186265201523</v>
      </c>
      <c r="AH23" s="5">
        <f t="shared" si="4"/>
        <v>1.3457993294353299</v>
      </c>
      <c r="AI23" s="5">
        <f t="shared" si="5"/>
        <v>1.8556935430347061</v>
      </c>
      <c r="AJ23" s="5">
        <f t="shared" si="6"/>
        <v>1.1694298629191544</v>
      </c>
      <c r="AK23" s="5">
        <f t="shared" si="7"/>
        <v>0.24365808999914151</v>
      </c>
      <c r="AL23" s="5">
        <f t="shared" si="8"/>
        <v>1.1659606757626293</v>
      </c>
      <c r="AM23" s="10">
        <f t="shared" si="9"/>
        <v>5.871152882882031</v>
      </c>
    </row>
    <row r="24" spans="1:39" x14ac:dyDescent="0.3">
      <c r="A24">
        <v>33</v>
      </c>
      <c r="B24" t="s">
        <v>529</v>
      </c>
      <c r="C24" t="s">
        <v>42</v>
      </c>
      <c r="D24" s="1">
        <v>36097</v>
      </c>
      <c r="E24">
        <v>291</v>
      </c>
      <c r="F24" t="s">
        <v>530</v>
      </c>
      <c r="G24" s="4">
        <v>17320.267</v>
      </c>
      <c r="H24" s="4">
        <v>29578.833999999999</v>
      </c>
      <c r="I24" s="4">
        <v>206954.8</v>
      </c>
      <c r="J24" s="4">
        <v>114395.58500000001</v>
      </c>
      <c r="K24" s="4">
        <v>439989.42300000001</v>
      </c>
      <c r="L24" s="4">
        <v>231176.954</v>
      </c>
      <c r="M24" s="4">
        <v>126213.548</v>
      </c>
      <c r="N24" s="4">
        <v>313775.875</v>
      </c>
      <c r="O24" s="4">
        <v>17739.772000000001</v>
      </c>
      <c r="P24" s="4">
        <v>18661.955999999998</v>
      </c>
      <c r="Q24" s="4">
        <v>211485.16500000001</v>
      </c>
      <c r="R24" s="4">
        <v>2623.18</v>
      </c>
      <c r="S24" s="4">
        <v>320963.908</v>
      </c>
      <c r="T24" s="4">
        <v>337698.71299999999</v>
      </c>
      <c r="U24" s="4">
        <v>459887.69099999999</v>
      </c>
      <c r="V24" s="4">
        <v>421235.13799999998</v>
      </c>
      <c r="W24" s="4">
        <v>369731.47</v>
      </c>
      <c r="X24" s="4">
        <v>329139.01699999999</v>
      </c>
      <c r="Y24">
        <v>24.87</v>
      </c>
      <c r="Z24">
        <v>394998.32900000003</v>
      </c>
      <c r="AA24" t="s">
        <v>32</v>
      </c>
      <c r="AB24">
        <v>4</v>
      </c>
      <c r="AC24" t="s">
        <v>468</v>
      </c>
      <c r="AD24" s="5">
        <f t="shared" si="0"/>
        <v>3.9314080693283231E-2</v>
      </c>
      <c r="AE24" s="5">
        <f t="shared" si="1"/>
        <v>0.14292412642760641</v>
      </c>
      <c r="AF24" s="5">
        <f t="shared" si="2"/>
        <v>7.9651703812109887E-3</v>
      </c>
      <c r="AG24" s="5">
        <f t="shared" si="3"/>
        <v>0.68228804801822807</v>
      </c>
      <c r="AH24" s="5">
        <f t="shared" si="4"/>
        <v>1.3618283792511818</v>
      </c>
      <c r="AI24" s="5">
        <f t="shared" si="5"/>
        <v>6.1298818301790021</v>
      </c>
      <c r="AJ24" s="5">
        <f t="shared" si="6"/>
        <v>3.4860712655031301</v>
      </c>
      <c r="AK24" s="5">
        <f t="shared" si="7"/>
        <v>0.24874678587559762</v>
      </c>
      <c r="AL24" s="5">
        <f t="shared" si="8"/>
        <v>1.3029052408618449</v>
      </c>
      <c r="AM24" s="10">
        <f t="shared" si="9"/>
        <v>0.65956249823221746</v>
      </c>
    </row>
    <row r="25" spans="1:39" x14ac:dyDescent="0.3">
      <c r="A25">
        <v>34</v>
      </c>
      <c r="B25" t="s">
        <v>531</v>
      </c>
      <c r="C25" t="s">
        <v>58</v>
      </c>
      <c r="D25" s="1">
        <v>37937</v>
      </c>
      <c r="E25">
        <v>25</v>
      </c>
      <c r="F25" t="s">
        <v>532</v>
      </c>
      <c r="G25" s="4">
        <v>15184.733</v>
      </c>
      <c r="H25" s="4">
        <v>11472.306</v>
      </c>
      <c r="I25" s="4">
        <v>200069.02600000001</v>
      </c>
      <c r="J25" s="4">
        <v>679941.44099999999</v>
      </c>
      <c r="K25" s="4">
        <v>781073.42700000003</v>
      </c>
      <c r="L25" s="4">
        <v>435877.864</v>
      </c>
      <c r="M25" s="4">
        <v>55975.336000000003</v>
      </c>
      <c r="N25" s="4">
        <v>725098.09100000001</v>
      </c>
      <c r="O25" s="4">
        <v>15585.227999999999</v>
      </c>
      <c r="P25" s="4">
        <v>1595.098</v>
      </c>
      <c r="Q25" s="4">
        <v>13928.492</v>
      </c>
      <c r="R25" s="4">
        <v>355.37400000000002</v>
      </c>
      <c r="S25" s="4">
        <v>108410.349</v>
      </c>
      <c r="T25" s="4">
        <v>69903.827999999994</v>
      </c>
      <c r="U25" s="4">
        <v>796662.30700000003</v>
      </c>
      <c r="V25" s="4">
        <v>861302.07799999998</v>
      </c>
      <c r="W25" s="4">
        <v>864088.05099999998</v>
      </c>
      <c r="X25" s="4">
        <v>846305.8</v>
      </c>
      <c r="Y25">
        <v>85.35</v>
      </c>
      <c r="Z25">
        <v>842089.55900000001</v>
      </c>
      <c r="AA25" t="s">
        <v>32</v>
      </c>
      <c r="AB25">
        <v>4</v>
      </c>
      <c r="AC25" t="s">
        <v>468</v>
      </c>
      <c r="AD25" s="5">
        <f t="shared" si="0"/>
        <v>1.8317321092515507E-2</v>
      </c>
      <c r="AE25" s="5">
        <f t="shared" si="1"/>
        <v>5.7341739645396184E-2</v>
      </c>
      <c r="AF25" s="5">
        <f t="shared" si="2"/>
        <v>3.9859309672275805E-3</v>
      </c>
      <c r="AG25" s="5">
        <f t="shared" si="3"/>
        <v>0.91016994858274369</v>
      </c>
      <c r="AH25" s="5">
        <f t="shared" si="4"/>
        <v>11.396547654014027</v>
      </c>
      <c r="AI25" s="5">
        <f t="shared" si="5"/>
        <v>426.26938344854045</v>
      </c>
      <c r="AJ25" s="5">
        <f t="shared" si="6"/>
        <v>13.953885457695153</v>
      </c>
      <c r="AK25" s="5">
        <f t="shared" si="7"/>
        <v>0.85348765094769319</v>
      </c>
      <c r="AL25" s="5">
        <f t="shared" si="8"/>
        <v>11.173542985371274</v>
      </c>
      <c r="AM25" s="10">
        <f t="shared" si="9"/>
        <v>0.27591994584357554</v>
      </c>
    </row>
    <row r="26" spans="1:39" x14ac:dyDescent="0.3">
      <c r="A26">
        <v>38</v>
      </c>
      <c r="B26" t="s">
        <v>537</v>
      </c>
      <c r="C26" t="s">
        <v>45</v>
      </c>
      <c r="D26" s="1">
        <v>33029</v>
      </c>
      <c r="E26">
        <v>1028</v>
      </c>
      <c r="F26" t="s">
        <v>538</v>
      </c>
      <c r="G26" s="4">
        <v>45588</v>
      </c>
      <c r="H26" s="4">
        <v>7956</v>
      </c>
      <c r="I26" s="4">
        <v>190694</v>
      </c>
      <c r="J26" s="4">
        <v>348729</v>
      </c>
      <c r="K26" s="4">
        <v>561100</v>
      </c>
      <c r="L26" s="4">
        <v>277081</v>
      </c>
      <c r="M26" s="4">
        <v>462938</v>
      </c>
      <c r="N26" s="4">
        <v>98162</v>
      </c>
      <c r="O26" s="4">
        <v>47715</v>
      </c>
      <c r="P26" s="4">
        <v>357192</v>
      </c>
      <c r="Q26" s="4">
        <v>77360</v>
      </c>
      <c r="R26" s="4">
        <v>18774</v>
      </c>
      <c r="S26" s="4">
        <v>462371</v>
      </c>
      <c r="T26" s="4">
        <v>540298</v>
      </c>
      <c r="U26" s="4">
        <v>921370</v>
      </c>
      <c r="V26" s="4">
        <v>875112</v>
      </c>
      <c r="W26" s="4">
        <v>742148</v>
      </c>
      <c r="X26" s="4">
        <v>526623</v>
      </c>
      <c r="Y26">
        <v>37.85</v>
      </c>
      <c r="Z26">
        <v>766313.25</v>
      </c>
      <c r="AA26" t="s">
        <v>32</v>
      </c>
      <c r="AB26">
        <v>4</v>
      </c>
      <c r="AC26" t="s">
        <v>468</v>
      </c>
      <c r="AD26" s="5">
        <f t="shared" si="0"/>
        <v>5.0752526326453593E-2</v>
      </c>
      <c r="AE26" s="5">
        <f t="shared" si="1"/>
        <v>4.1721291702937688E-2</v>
      </c>
      <c r="AF26" s="5">
        <f t="shared" si="2"/>
        <v>3.7448051151476709E-2</v>
      </c>
      <c r="AG26" s="5">
        <f t="shared" si="3"/>
        <v>0.10653917535843364</v>
      </c>
      <c r="AH26" s="5">
        <f t="shared" si="4"/>
        <v>1.7052996679610142</v>
      </c>
      <c r="AI26" s="5">
        <f t="shared" si="5"/>
        <v>0.97630686017603974</v>
      </c>
      <c r="AJ26" s="5">
        <f t="shared" si="6"/>
        <v>1.2120413532697683</v>
      </c>
      <c r="AK26" s="5">
        <f t="shared" si="7"/>
        <v>0.37848964042675581</v>
      </c>
      <c r="AL26" s="5">
        <f t="shared" si="8"/>
        <v>1.0385009753876564</v>
      </c>
      <c r="AM26" s="10">
        <f t="shared" si="9"/>
        <v>1.9426458303620546</v>
      </c>
    </row>
    <row r="27" spans="1:39" x14ac:dyDescent="0.3">
      <c r="A27">
        <v>39</v>
      </c>
      <c r="B27" t="s">
        <v>539</v>
      </c>
      <c r="C27" t="s">
        <v>45</v>
      </c>
      <c r="D27" s="1">
        <v>22218</v>
      </c>
      <c r="E27">
        <v>230</v>
      </c>
      <c r="F27" t="s">
        <v>540</v>
      </c>
      <c r="G27" s="4">
        <v>64394.521999999997</v>
      </c>
      <c r="H27" s="4">
        <v>131107.565</v>
      </c>
      <c r="I27" s="4">
        <v>189197.87100000001</v>
      </c>
      <c r="J27" s="4">
        <v>574987.59400000004</v>
      </c>
      <c r="K27" s="4">
        <v>170533.44099999999</v>
      </c>
      <c r="L27" s="4">
        <v>2425.2080000000001</v>
      </c>
      <c r="M27" s="4">
        <v>173596.87100000001</v>
      </c>
      <c r="N27" s="4">
        <v>-3063.43</v>
      </c>
      <c r="O27" s="4">
        <v>106905.75</v>
      </c>
      <c r="P27" s="4">
        <v>1762586.9650000001</v>
      </c>
      <c r="Q27" s="4">
        <v>1134838.51</v>
      </c>
      <c r="R27" s="4">
        <v>18978.829000000002</v>
      </c>
      <c r="S27" s="4">
        <v>1262980.747</v>
      </c>
      <c r="T27" s="4">
        <v>1308435.3810000001</v>
      </c>
      <c r="U27" s="4">
        <v>1934115.7150000001</v>
      </c>
      <c r="V27" s="4">
        <v>1829583.3589999999</v>
      </c>
      <c r="W27" s="4">
        <v>1741789.1159999999</v>
      </c>
      <c r="X27" s="4">
        <v>1713797.1259999999</v>
      </c>
      <c r="Y27">
        <v>29.73</v>
      </c>
      <c r="Z27">
        <v>1804821.3289999999</v>
      </c>
      <c r="AA27" t="s">
        <v>32</v>
      </c>
      <c r="AB27">
        <v>4</v>
      </c>
      <c r="AC27" t="s">
        <v>468</v>
      </c>
      <c r="AD27" s="5">
        <f t="shared" si="0"/>
        <v>3.4218741049115022E-2</v>
      </c>
      <c r="AE27" s="5">
        <f t="shared" si="1"/>
        <v>0.69296532940373301</v>
      </c>
      <c r="AF27" s="5">
        <f t="shared" si="2"/>
        <v>1.4761382876416339E-2</v>
      </c>
      <c r="AG27" s="5">
        <f t="shared" si="3"/>
        <v>-1.5838917890184246E-3</v>
      </c>
      <c r="AH27" s="5">
        <f t="shared" si="4"/>
        <v>1.4781897089345064</v>
      </c>
      <c r="AI27" s="5">
        <f t="shared" si="5"/>
        <v>0.32621799968888343</v>
      </c>
      <c r="AJ27" s="5">
        <f t="shared" si="6"/>
        <v>0.98235319575546942</v>
      </c>
      <c r="AK27" s="5">
        <f t="shared" si="7"/>
        <v>0.29728707002414279</v>
      </c>
      <c r="AL27" s="5">
        <f t="shared" si="8"/>
        <v>0.13033386552851095</v>
      </c>
      <c r="AM27" s="10">
        <f t="shared" si="9"/>
        <v>-61.760141736550217</v>
      </c>
    </row>
    <row r="28" spans="1:39" x14ac:dyDescent="0.3">
      <c r="A28">
        <v>40</v>
      </c>
      <c r="B28" t="s">
        <v>541</v>
      </c>
      <c r="C28" t="s">
        <v>45</v>
      </c>
      <c r="D28" s="1">
        <v>39905</v>
      </c>
      <c r="E28">
        <v>154</v>
      </c>
      <c r="F28" t="s">
        <v>542</v>
      </c>
      <c r="G28" s="4">
        <v>14589.723</v>
      </c>
      <c r="H28" s="4">
        <v>25343.881000000001</v>
      </c>
      <c r="I28" s="4">
        <v>180469.81899999999</v>
      </c>
      <c r="J28" s="4">
        <v>33761.834000000003</v>
      </c>
      <c r="K28" s="4">
        <v>237628.05900000001</v>
      </c>
      <c r="L28" s="4">
        <v>12214.141</v>
      </c>
      <c r="M28" s="4">
        <v>196218.02799999999</v>
      </c>
      <c r="N28" s="4">
        <v>41410.031000000003</v>
      </c>
      <c r="O28" s="4">
        <v>17369.345000000001</v>
      </c>
      <c r="P28" s="4">
        <v>14064.434999999999</v>
      </c>
      <c r="Q28" s="4">
        <v>19833.136999999999</v>
      </c>
      <c r="R28" s="4">
        <v>2815.9520000000002</v>
      </c>
      <c r="S28" s="4">
        <v>113752.591</v>
      </c>
      <c r="T28" s="4">
        <v>216051.16500000001</v>
      </c>
      <c r="U28" s="4">
        <v>252254.34099999999</v>
      </c>
      <c r="V28" s="4">
        <v>139974.42499999999</v>
      </c>
      <c r="W28" s="4">
        <v>87964.294999999998</v>
      </c>
      <c r="X28" s="4">
        <v>56317.930999999997</v>
      </c>
      <c r="Y28">
        <v>13.38</v>
      </c>
      <c r="Z28">
        <v>134127.74799999999</v>
      </c>
      <c r="AA28" t="s">
        <v>32</v>
      </c>
      <c r="AB28">
        <v>4</v>
      </c>
      <c r="AC28" t="s">
        <v>468</v>
      </c>
      <c r="AD28" s="5">
        <f t="shared" si="0"/>
        <v>7.4393946924331406E-2</v>
      </c>
      <c r="AE28" s="5">
        <f t="shared" si="1"/>
        <v>0.14043279447185572</v>
      </c>
      <c r="AF28" s="5">
        <f t="shared" si="2"/>
        <v>1.7076530808217964E-2</v>
      </c>
      <c r="AG28" s="5">
        <f t="shared" si="3"/>
        <v>0.16415983501350331</v>
      </c>
      <c r="AH28" s="5">
        <f t="shared" si="4"/>
        <v>1.167567603720165</v>
      </c>
      <c r="AI28" s="5">
        <f t="shared" si="5"/>
        <v>2.4005112185452173</v>
      </c>
      <c r="AJ28" s="5">
        <f t="shared" si="6"/>
        <v>1.2110409090443006</v>
      </c>
      <c r="AK28" s="5">
        <f t="shared" si="7"/>
        <v>0.13384044796279643</v>
      </c>
      <c r="AL28" s="5">
        <f t="shared" si="8"/>
        <v>1.0998693712204699</v>
      </c>
      <c r="AM28" s="10">
        <f t="shared" si="9"/>
        <v>4.3581184230458554</v>
      </c>
    </row>
    <row r="29" spans="1:39" x14ac:dyDescent="0.3">
      <c r="A29">
        <v>42</v>
      </c>
      <c r="B29" t="s">
        <v>545</v>
      </c>
      <c r="C29" t="s">
        <v>42</v>
      </c>
      <c r="D29" s="1">
        <v>29661</v>
      </c>
      <c r="E29">
        <v>364</v>
      </c>
      <c r="F29" t="s">
        <v>546</v>
      </c>
      <c r="G29" s="4">
        <v>2990.239</v>
      </c>
      <c r="H29" s="4">
        <v>5539.7250000000004</v>
      </c>
      <c r="I29" s="4">
        <v>163100.913</v>
      </c>
      <c r="J29" s="4">
        <v>24783.942999999999</v>
      </c>
      <c r="K29" s="4">
        <v>156209.63</v>
      </c>
      <c r="L29" s="4">
        <v>26331.547999999999</v>
      </c>
      <c r="M29" s="4">
        <v>131481.34899999999</v>
      </c>
      <c r="N29" s="4">
        <v>24728.280999999999</v>
      </c>
      <c r="O29" s="4">
        <v>3970.3229999999999</v>
      </c>
      <c r="P29" s="4">
        <v>10145.055</v>
      </c>
      <c r="Q29" s="4">
        <v>10540.075000000001</v>
      </c>
      <c r="R29" s="4">
        <v>2313.4929999999999</v>
      </c>
      <c r="S29" s="4">
        <v>105217.482</v>
      </c>
      <c r="T29" s="4">
        <v>142021.424</v>
      </c>
      <c r="U29" s="4">
        <v>167332.90100000001</v>
      </c>
      <c r="V29" s="4">
        <v>127605.258</v>
      </c>
      <c r="W29" s="4">
        <v>108113.019</v>
      </c>
      <c r="X29" s="4">
        <v>89997.232000000004</v>
      </c>
      <c r="Y29">
        <v>14.81</v>
      </c>
      <c r="Z29">
        <v>123262.10249999999</v>
      </c>
      <c r="AA29" t="s">
        <v>32</v>
      </c>
      <c r="AB29">
        <v>4</v>
      </c>
      <c r="AC29" t="s">
        <v>468</v>
      </c>
      <c r="AD29" s="5">
        <f t="shared" si="0"/>
        <v>2.0277057469528723E-2</v>
      </c>
      <c r="AE29" s="5">
        <f t="shared" si="1"/>
        <v>3.3965015266346182E-2</v>
      </c>
      <c r="AF29" s="5">
        <f t="shared" si="2"/>
        <v>1.8714635470842924E-2</v>
      </c>
      <c r="AG29" s="5">
        <f t="shared" si="3"/>
        <v>0.1477789535245074</v>
      </c>
      <c r="AH29" s="5">
        <f t="shared" si="4"/>
        <v>1.1782229489545184</v>
      </c>
      <c r="AI29" s="5">
        <f t="shared" si="5"/>
        <v>2.4429579731208948</v>
      </c>
      <c r="AJ29" s="5">
        <f t="shared" si="6"/>
        <v>1.1880744393640197</v>
      </c>
      <c r="AK29" s="5">
        <f t="shared" si="7"/>
        <v>0.14811159581820671</v>
      </c>
      <c r="AL29" s="5">
        <f t="shared" si="8"/>
        <v>1.0999018711430468</v>
      </c>
      <c r="AM29" s="10">
        <f t="shared" si="9"/>
        <v>6.5957238596568848</v>
      </c>
    </row>
    <row r="30" spans="1:39" x14ac:dyDescent="0.3">
      <c r="A30">
        <v>44</v>
      </c>
      <c r="B30" t="s">
        <v>547</v>
      </c>
      <c r="C30" t="s">
        <v>58</v>
      </c>
      <c r="D30" s="1">
        <v>29154</v>
      </c>
      <c r="E30">
        <v>427</v>
      </c>
      <c r="F30" t="s">
        <v>548</v>
      </c>
      <c r="G30" s="4">
        <v>461.608</v>
      </c>
      <c r="H30" s="4">
        <v>3650.107</v>
      </c>
      <c r="I30" s="4">
        <v>150181.196</v>
      </c>
      <c r="J30" s="4">
        <v>51416.858</v>
      </c>
      <c r="K30" s="4">
        <v>59840.921999999999</v>
      </c>
      <c r="L30" s="4">
        <v>0</v>
      </c>
      <c r="M30" s="4">
        <v>91473.845000000001</v>
      </c>
      <c r="N30" s="4">
        <v>-31632.922999999999</v>
      </c>
      <c r="O30" s="4">
        <v>1860.173</v>
      </c>
      <c r="P30" s="4">
        <v>94464.46</v>
      </c>
      <c r="Q30" s="4">
        <v>10200.623</v>
      </c>
      <c r="R30" s="4">
        <v>905.08600000000001</v>
      </c>
      <c r="S30" s="4">
        <v>56434.222999999998</v>
      </c>
      <c r="T30" s="4">
        <v>101674.46799999999</v>
      </c>
      <c r="U30" s="4">
        <v>154540.37400000001</v>
      </c>
      <c r="V30" s="4">
        <v>73890.792000000001</v>
      </c>
      <c r="W30" s="4">
        <v>68632.44</v>
      </c>
      <c r="X30" s="4">
        <v>68794.732000000004</v>
      </c>
      <c r="Y30">
        <v>33.270000000000003</v>
      </c>
      <c r="Z30">
        <v>91464.584499999997</v>
      </c>
      <c r="AA30" t="s">
        <v>32</v>
      </c>
      <c r="AB30">
        <v>4</v>
      </c>
      <c r="AC30" t="s">
        <v>468</v>
      </c>
      <c r="AD30" s="5">
        <f t="shared" si="0"/>
        <v>4.041550092162117E-3</v>
      </c>
      <c r="AE30" s="5">
        <f t="shared" si="1"/>
        <v>2.430468725259053E-2</v>
      </c>
      <c r="AF30" s="5">
        <f t="shared" si="2"/>
        <v>1.144890890280029E-2</v>
      </c>
      <c r="AG30" s="5">
        <f t="shared" si="3"/>
        <v>-0.20469034842636008</v>
      </c>
      <c r="AH30" s="5">
        <f t="shared" si="4"/>
        <v>1.5199526197668427</v>
      </c>
      <c r="AI30" s="5">
        <f t="shared" si="5"/>
        <v>0.54429843774050046</v>
      </c>
      <c r="AJ30" s="5">
        <f t="shared" si="6"/>
        <v>0.65418614468430836</v>
      </c>
      <c r="AK30" s="5">
        <f t="shared" si="7"/>
        <v>0.33270825396087106</v>
      </c>
      <c r="AL30" s="5">
        <f t="shared" si="8"/>
        <v>0.58855407042798591</v>
      </c>
      <c r="AM30" s="10">
        <f t="shared" si="9"/>
        <v>-4.7476231014124117</v>
      </c>
    </row>
    <row r="31" spans="1:39" x14ac:dyDescent="0.3">
      <c r="A31">
        <v>45</v>
      </c>
      <c r="B31" t="s">
        <v>549</v>
      </c>
      <c r="C31" t="s">
        <v>58</v>
      </c>
      <c r="D31" s="1">
        <v>37431</v>
      </c>
      <c r="E31">
        <v>30</v>
      </c>
      <c r="F31" t="s">
        <v>550</v>
      </c>
      <c r="G31" s="4">
        <v>-1846</v>
      </c>
      <c r="H31" s="4">
        <v>23597</v>
      </c>
      <c r="I31" s="4">
        <v>144434</v>
      </c>
      <c r="J31" s="4">
        <v>66516</v>
      </c>
      <c r="K31" s="4">
        <v>163364</v>
      </c>
      <c r="L31" s="4">
        <v>255</v>
      </c>
      <c r="M31" s="4">
        <v>168593</v>
      </c>
      <c r="N31" s="4">
        <v>-5229</v>
      </c>
      <c r="O31" s="4">
        <v>13393</v>
      </c>
      <c r="P31" s="4">
        <v>99667</v>
      </c>
      <c r="Q31" s="4">
        <v>16549</v>
      </c>
      <c r="R31" s="4">
        <v>7333</v>
      </c>
      <c r="S31" s="4">
        <v>130636</v>
      </c>
      <c r="T31" s="4">
        <v>185142</v>
      </c>
      <c r="U31" s="4">
        <v>264071</v>
      </c>
      <c r="V31" s="4">
        <v>212878</v>
      </c>
      <c r="W31" s="4">
        <v>154320</v>
      </c>
      <c r="X31" s="4">
        <v>103602</v>
      </c>
      <c r="Y31">
        <v>25.19</v>
      </c>
      <c r="Z31">
        <v>183717.75</v>
      </c>
      <c r="AA31" t="s">
        <v>32</v>
      </c>
      <c r="AB31">
        <v>4</v>
      </c>
      <c r="AC31" t="s">
        <v>468</v>
      </c>
      <c r="AD31" s="5">
        <f t="shared" si="0"/>
        <v>-7.7408695688637565E-3</v>
      </c>
      <c r="AE31" s="5">
        <f t="shared" si="1"/>
        <v>0.16337565947076174</v>
      </c>
      <c r="AF31" s="5">
        <f t="shared" si="2"/>
        <v>4.6444020799422378E-2</v>
      </c>
      <c r="AG31" s="5">
        <f t="shared" si="3"/>
        <v>-1.9801492780350739E-2</v>
      </c>
      <c r="AH31" s="5">
        <f t="shared" si="4"/>
        <v>1.4263160168951399</v>
      </c>
      <c r="AI31" s="5">
        <f t="shared" si="5"/>
        <v>0.66738238333651057</v>
      </c>
      <c r="AJ31" s="5">
        <f t="shared" si="6"/>
        <v>0.96898447741009408</v>
      </c>
      <c r="AK31" s="5">
        <f t="shared" si="7"/>
        <v>0.2518868031703595</v>
      </c>
      <c r="AL31" s="5">
        <f t="shared" si="8"/>
        <v>0.88237136900325153</v>
      </c>
      <c r="AM31" s="10">
        <f t="shared" si="9"/>
        <v>-27.621724995218973</v>
      </c>
    </row>
    <row r="32" spans="1:39" x14ac:dyDescent="0.3">
      <c r="A32">
        <v>1223</v>
      </c>
      <c r="B32" t="s">
        <v>571</v>
      </c>
      <c r="C32" t="s">
        <v>58</v>
      </c>
      <c r="D32" s="1">
        <v>43629</v>
      </c>
      <c r="E32">
        <v>19</v>
      </c>
      <c r="F32" t="s">
        <v>572</v>
      </c>
      <c r="G32" s="4">
        <v>20.193999999999999</v>
      </c>
      <c r="H32" s="4">
        <v>189.50399999999999</v>
      </c>
      <c r="I32" s="4">
        <v>11933.227000000001</v>
      </c>
      <c r="J32" s="4">
        <v>787.97299999999996</v>
      </c>
      <c r="K32" s="4">
        <v>3690.14</v>
      </c>
      <c r="L32" s="4">
        <v>208.76900000000001</v>
      </c>
      <c r="M32" s="4">
        <v>3108.212</v>
      </c>
      <c r="N32" s="4">
        <v>581.928</v>
      </c>
      <c r="O32" s="4">
        <v>122.304</v>
      </c>
      <c r="P32" s="4">
        <v>309.375</v>
      </c>
      <c r="Q32" s="4">
        <v>26.991</v>
      </c>
      <c r="R32" s="4">
        <v>0.192</v>
      </c>
      <c r="S32" s="4">
        <v>2012.807</v>
      </c>
      <c r="T32" s="4">
        <v>3135.203</v>
      </c>
      <c r="U32" s="4">
        <v>4027.1529999999998</v>
      </c>
      <c r="V32" s="4">
        <v>2852.49</v>
      </c>
      <c r="W32" s="4">
        <v>1847.671</v>
      </c>
      <c r="X32" s="4">
        <v>1143.8219999999999</v>
      </c>
      <c r="Y32">
        <v>19.57</v>
      </c>
      <c r="Z32">
        <v>2467.7840000000001</v>
      </c>
      <c r="AA32" t="s">
        <v>32</v>
      </c>
      <c r="AB32">
        <v>3</v>
      </c>
      <c r="AC32" t="s">
        <v>468</v>
      </c>
      <c r="AD32" s="5">
        <f t="shared" si="0"/>
        <v>5.8706534626869443E-3</v>
      </c>
      <c r="AE32" s="5">
        <f t="shared" si="1"/>
        <v>1.5880364967497892E-2</v>
      </c>
      <c r="AF32" s="5">
        <f t="shared" si="2"/>
        <v>7.4591929697106265E-5</v>
      </c>
      <c r="AG32" s="5">
        <f t="shared" si="3"/>
        <v>0.14450109047259938</v>
      </c>
      <c r="AH32" s="5">
        <f t="shared" si="4"/>
        <v>1.2844951347647984</v>
      </c>
      <c r="AI32" s="5">
        <f t="shared" si="5"/>
        <v>2.5469834343434341</v>
      </c>
      <c r="AJ32" s="5">
        <f t="shared" si="6"/>
        <v>1.1872227505717112</v>
      </c>
      <c r="AK32" s="5">
        <f t="shared" si="7"/>
        <v>0.19566502688127319</v>
      </c>
      <c r="AL32" s="5">
        <f t="shared" si="8"/>
        <v>1.1770019357598216</v>
      </c>
      <c r="AM32" s="10">
        <f t="shared" si="9"/>
        <v>20.506363330171432</v>
      </c>
    </row>
    <row r="33" spans="1:39" x14ac:dyDescent="0.3">
      <c r="A33">
        <v>1354</v>
      </c>
      <c r="B33" t="s">
        <v>573</v>
      </c>
      <c r="C33" t="s">
        <v>42</v>
      </c>
      <c r="D33" s="1">
        <v>41229</v>
      </c>
      <c r="E33">
        <v>12</v>
      </c>
      <c r="F33" t="s">
        <v>574</v>
      </c>
      <c r="G33" s="4">
        <v>111.904</v>
      </c>
      <c r="H33" s="4">
        <v>275.54899999999998</v>
      </c>
      <c r="I33" s="4">
        <v>10972.045</v>
      </c>
      <c r="J33" s="4">
        <v>311.74599999999998</v>
      </c>
      <c r="K33" s="4">
        <v>3461.35</v>
      </c>
      <c r="L33" s="4">
        <v>59.29</v>
      </c>
      <c r="M33" s="4">
        <v>3189.125</v>
      </c>
      <c r="N33" s="4">
        <v>272.22500000000002</v>
      </c>
      <c r="O33" s="4">
        <v>149.048</v>
      </c>
      <c r="P33" s="4">
        <v>131.26499999999999</v>
      </c>
      <c r="Q33" s="4">
        <v>193.28299999999999</v>
      </c>
      <c r="R33" s="4">
        <v>33.722999999999999</v>
      </c>
      <c r="S33" s="4">
        <v>2367.6669999999999</v>
      </c>
      <c r="T33" s="4">
        <v>3382.4079999999999</v>
      </c>
      <c r="U33" s="4">
        <v>3878.183</v>
      </c>
      <c r="V33" s="4">
        <v>2917.4789999999998</v>
      </c>
      <c r="W33" s="4">
        <v>1829.4390000000001</v>
      </c>
      <c r="X33" s="4">
        <v>1398.0050000000001</v>
      </c>
      <c r="Y33">
        <v>8.0399999999999991</v>
      </c>
      <c r="Z33">
        <v>2505.7764999999999</v>
      </c>
      <c r="AA33" t="s">
        <v>32</v>
      </c>
      <c r="AB33">
        <v>3</v>
      </c>
      <c r="AC33" t="s">
        <v>468</v>
      </c>
      <c r="AD33" s="5">
        <f t="shared" si="0"/>
        <v>3.2933951099981131E-2</v>
      </c>
      <c r="AE33" s="5">
        <f t="shared" si="1"/>
        <v>2.5113732216738082E-2</v>
      </c>
      <c r="AF33" s="5">
        <f t="shared" si="2"/>
        <v>1.1729586135833012E-2</v>
      </c>
      <c r="AG33" s="5">
        <f t="shared" si="3"/>
        <v>7.0193954230628117E-2</v>
      </c>
      <c r="AH33" s="5">
        <f t="shared" si="4"/>
        <v>1.1465745705426431</v>
      </c>
      <c r="AI33" s="5">
        <f t="shared" si="5"/>
        <v>2.3749361977678745</v>
      </c>
      <c r="AJ33" s="5">
        <f t="shared" si="6"/>
        <v>1.0853604044996668</v>
      </c>
      <c r="AK33" s="5">
        <f t="shared" si="7"/>
        <v>8.0384551218960001E-2</v>
      </c>
      <c r="AL33" s="5">
        <f t="shared" si="8"/>
        <v>1.0233389939948108</v>
      </c>
      <c r="AM33" s="10">
        <f t="shared" si="9"/>
        <v>40.305060152447417</v>
      </c>
    </row>
    <row r="34" spans="1:39" x14ac:dyDescent="0.3">
      <c r="A34">
        <v>1445</v>
      </c>
      <c r="B34" t="s">
        <v>575</v>
      </c>
      <c r="C34" t="s">
        <v>58</v>
      </c>
      <c r="D34" s="1">
        <v>41674</v>
      </c>
      <c r="E34">
        <v>24</v>
      </c>
      <c r="F34" t="s">
        <v>576</v>
      </c>
      <c r="G34" s="4">
        <v>315.95800000000003</v>
      </c>
      <c r="H34" s="4">
        <v>480.41199999999998</v>
      </c>
      <c r="I34" s="4">
        <v>10319.142</v>
      </c>
      <c r="J34" s="4">
        <v>667.85799999999995</v>
      </c>
      <c r="K34" s="4">
        <v>5316.1369999999997</v>
      </c>
      <c r="L34" s="4">
        <v>999.14200000000005</v>
      </c>
      <c r="M34" s="4">
        <v>4811.8540000000003</v>
      </c>
      <c r="N34" s="4">
        <v>504.28300000000002</v>
      </c>
      <c r="O34" s="4">
        <v>420.29199999999997</v>
      </c>
      <c r="P34" s="4">
        <v>382.245</v>
      </c>
      <c r="Q34" s="4">
        <v>63.366999999999997</v>
      </c>
      <c r="R34" s="4">
        <v>83.52</v>
      </c>
      <c r="S34" s="4">
        <v>2956.8310000000001</v>
      </c>
      <c r="T34" s="4">
        <v>4875.2209999999995</v>
      </c>
      <c r="U34" s="4">
        <v>5750.0510000000004</v>
      </c>
      <c r="V34" s="4">
        <v>3576.8820000000001</v>
      </c>
      <c r="W34" s="4">
        <v>2754.605</v>
      </c>
      <c r="X34" s="4">
        <v>1626.511</v>
      </c>
      <c r="Y34">
        <v>11.61</v>
      </c>
      <c r="Z34">
        <v>3427.0122500000002</v>
      </c>
      <c r="AA34" t="s">
        <v>32</v>
      </c>
      <c r="AB34">
        <v>3</v>
      </c>
      <c r="AC34" t="s">
        <v>468</v>
      </c>
      <c r="AD34" s="5">
        <f t="shared" si="0"/>
        <v>6.7751746474430552E-2</v>
      </c>
      <c r="AE34" s="5">
        <f t="shared" si="1"/>
        <v>4.6555420983643792E-2</v>
      </c>
      <c r="AF34" s="5">
        <f t="shared" si="2"/>
        <v>2.1327743993528131E-2</v>
      </c>
      <c r="AG34" s="5">
        <f t="shared" si="3"/>
        <v>8.7700613438037325E-2</v>
      </c>
      <c r="AH34" s="5">
        <f t="shared" si="4"/>
        <v>1.1794441728898035</v>
      </c>
      <c r="AI34" s="5">
        <f t="shared" si="5"/>
        <v>1.7471987861188503</v>
      </c>
      <c r="AJ34" s="5">
        <f t="shared" si="6"/>
        <v>1.1048001456403289</v>
      </c>
      <c r="AK34" s="5">
        <f t="shared" si="7"/>
        <v>0.11614818720738301</v>
      </c>
      <c r="AL34" s="5">
        <f t="shared" si="8"/>
        <v>1.0904402077362236</v>
      </c>
      <c r="AM34" s="10">
        <f t="shared" si="9"/>
        <v>20.4629979594791</v>
      </c>
    </row>
    <row r="35" spans="1:39" x14ac:dyDescent="0.3">
      <c r="A35">
        <v>1515</v>
      </c>
      <c r="B35" t="s">
        <v>577</v>
      </c>
      <c r="C35" t="s">
        <v>58</v>
      </c>
      <c r="D35" s="1">
        <v>44011</v>
      </c>
      <c r="E35">
        <v>76</v>
      </c>
      <c r="F35" t="s">
        <v>578</v>
      </c>
      <c r="G35" s="4">
        <v>136.88200000000001</v>
      </c>
      <c r="H35" s="4">
        <v>281.54599999999999</v>
      </c>
      <c r="I35" s="4">
        <v>9902.6380000000008</v>
      </c>
      <c r="J35" s="4">
        <v>911.05100000000004</v>
      </c>
      <c r="K35" s="4">
        <v>3602.752</v>
      </c>
      <c r="L35" s="4">
        <v>598.58100000000002</v>
      </c>
      <c r="M35" s="4">
        <v>2435.152</v>
      </c>
      <c r="N35" s="4">
        <v>1167.5999999999999</v>
      </c>
      <c r="O35" s="4">
        <v>174.68199999999999</v>
      </c>
      <c r="P35" s="4">
        <v>197.41</v>
      </c>
      <c r="Q35" s="4">
        <v>0</v>
      </c>
      <c r="R35" s="4">
        <v>20.581</v>
      </c>
      <c r="S35" s="4">
        <v>4066.91</v>
      </c>
      <c r="T35" s="4">
        <v>2435.152</v>
      </c>
      <c r="U35" s="4">
        <v>3876.0990000000002</v>
      </c>
      <c r="V35" s="4">
        <v>5342.0439999999999</v>
      </c>
      <c r="W35" s="4">
        <v>2104.1999999999998</v>
      </c>
      <c r="X35" s="4">
        <v>831.60199999999998</v>
      </c>
      <c r="Y35">
        <v>23.5</v>
      </c>
      <c r="Z35">
        <v>3038.4862499999999</v>
      </c>
      <c r="AA35" t="s">
        <v>32</v>
      </c>
      <c r="AB35">
        <v>3</v>
      </c>
      <c r="AC35" t="s">
        <v>468</v>
      </c>
      <c r="AD35" s="5">
        <f t="shared" si="0"/>
        <v>2.9698389361067626E-2</v>
      </c>
      <c r="AE35" s="5">
        <f t="shared" si="1"/>
        <v>2.8431413932327929E-2</v>
      </c>
      <c r="AF35" s="5">
        <f t="shared" si="2"/>
        <v>6.330607121248613E-3</v>
      </c>
      <c r="AG35" s="5">
        <f t="shared" si="3"/>
        <v>0.3012306961199907</v>
      </c>
      <c r="AH35" s="5">
        <f t="shared" si="4"/>
        <v>1.5917277443050784</v>
      </c>
      <c r="AI35" s="5">
        <f t="shared" si="5"/>
        <v>4.6150195025581278</v>
      </c>
      <c r="AJ35" s="5">
        <f t="shared" si="6"/>
        <v>1.4794772564505214</v>
      </c>
      <c r="AK35" s="5">
        <f t="shared" si="7"/>
        <v>0.23504327417849752</v>
      </c>
      <c r="AL35" s="5">
        <f t="shared" si="8"/>
        <v>1.4794772564505214</v>
      </c>
      <c r="AM35" s="10">
        <f t="shared" si="9"/>
        <v>8.4811904761904771</v>
      </c>
    </row>
    <row r="36" spans="1:39" x14ac:dyDescent="0.3">
      <c r="A36">
        <v>1566</v>
      </c>
      <c r="B36" t="s">
        <v>579</v>
      </c>
      <c r="C36" t="s">
        <v>58</v>
      </c>
      <c r="D36" s="1">
        <v>42990</v>
      </c>
      <c r="E36">
        <v>14</v>
      </c>
      <c r="F36" t="s">
        <v>580</v>
      </c>
      <c r="G36" s="4">
        <v>47.848999999999997</v>
      </c>
      <c r="H36" s="4">
        <v>168.154</v>
      </c>
      <c r="I36" s="4">
        <v>9613.7459999999992</v>
      </c>
      <c r="J36" s="4">
        <v>583.74599999999998</v>
      </c>
      <c r="K36" s="4">
        <v>1566.6990000000001</v>
      </c>
      <c r="L36" s="4">
        <v>0</v>
      </c>
      <c r="M36" s="4">
        <v>1006.545</v>
      </c>
      <c r="N36" s="4">
        <v>560.154</v>
      </c>
      <c r="O36" s="4">
        <v>117.101</v>
      </c>
      <c r="P36" s="4">
        <v>557.81399999999996</v>
      </c>
      <c r="Q36" s="4">
        <v>449.99400000000003</v>
      </c>
      <c r="R36" s="4">
        <v>11.646000000000001</v>
      </c>
      <c r="S36" s="4">
        <v>2476.1759999999999</v>
      </c>
      <c r="T36" s="4">
        <v>1456.539</v>
      </c>
      <c r="U36" s="4">
        <v>2127.8519999999999</v>
      </c>
      <c r="V36" s="4">
        <v>3075.0909999999999</v>
      </c>
      <c r="W36" s="4">
        <v>1553.692</v>
      </c>
      <c r="X36" s="4">
        <v>1377.9259999999999</v>
      </c>
      <c r="Y36">
        <v>27.43</v>
      </c>
      <c r="Z36">
        <v>2033.6402499999999</v>
      </c>
      <c r="AA36" t="s">
        <v>32</v>
      </c>
      <c r="AB36">
        <v>3</v>
      </c>
      <c r="AC36" t="s">
        <v>468</v>
      </c>
      <c r="AD36" s="5">
        <f t="shared" si="0"/>
        <v>1.839305177857993E-2</v>
      </c>
      <c r="AE36" s="5">
        <f t="shared" si="1"/>
        <v>1.7490996745701416E-2</v>
      </c>
      <c r="AF36" s="5">
        <f t="shared" si="2"/>
        <v>5.9226259721337554E-3</v>
      </c>
      <c r="AG36" s="5">
        <f t="shared" si="3"/>
        <v>0.2632485717991665</v>
      </c>
      <c r="AH36" s="5">
        <f t="shared" si="4"/>
        <v>1.4608960007250062</v>
      </c>
      <c r="AI36" s="5">
        <f t="shared" si="5"/>
        <v>1.0464886144843981</v>
      </c>
      <c r="AJ36" s="5">
        <f t="shared" si="6"/>
        <v>1.5565116313726661</v>
      </c>
      <c r="AK36" s="5">
        <f t="shared" si="7"/>
        <v>0.27433580906942778</v>
      </c>
      <c r="AL36" s="5">
        <f t="shared" si="8"/>
        <v>1.0756313425181201</v>
      </c>
      <c r="AM36" s="10">
        <f t="shared" si="9"/>
        <v>17.162683833374391</v>
      </c>
    </row>
    <row r="37" spans="1:39" x14ac:dyDescent="0.3">
      <c r="A37">
        <v>1573</v>
      </c>
      <c r="B37" t="s">
        <v>581</v>
      </c>
      <c r="C37" t="s">
        <v>45</v>
      </c>
      <c r="D37" s="1">
        <v>39631</v>
      </c>
      <c r="E37">
        <v>41</v>
      </c>
      <c r="F37" t="s">
        <v>582</v>
      </c>
      <c r="G37" s="4">
        <v>404.387</v>
      </c>
      <c r="H37" s="4">
        <v>678.92899999999997</v>
      </c>
      <c r="I37" s="4">
        <v>9579.1880000000001</v>
      </c>
      <c r="J37" s="4">
        <v>669.59900000000005</v>
      </c>
      <c r="K37" s="4">
        <v>4073.32</v>
      </c>
      <c r="L37" s="4">
        <v>1015.184</v>
      </c>
      <c r="M37" s="4">
        <v>1804.96</v>
      </c>
      <c r="N37" s="4">
        <v>2268.36</v>
      </c>
      <c r="O37" s="4">
        <v>455.45800000000003</v>
      </c>
      <c r="P37" s="4">
        <v>152.49600000000001</v>
      </c>
      <c r="Q37" s="4">
        <v>661.11699999999996</v>
      </c>
      <c r="R37" s="4">
        <v>91.388000000000005</v>
      </c>
      <c r="S37" s="4">
        <v>2667.9989999999998</v>
      </c>
      <c r="T37" s="4">
        <v>2466.0770000000002</v>
      </c>
      <c r="U37" s="4">
        <v>4369.1109999999999</v>
      </c>
      <c r="V37" s="4">
        <v>3630.4920000000002</v>
      </c>
      <c r="W37" s="4">
        <v>2887.2429999999999</v>
      </c>
      <c r="X37" s="4">
        <v>1417.7539999999999</v>
      </c>
      <c r="Y37">
        <v>15.33</v>
      </c>
      <c r="Z37">
        <v>3076.15</v>
      </c>
      <c r="AA37" t="s">
        <v>32</v>
      </c>
      <c r="AB37">
        <v>3</v>
      </c>
      <c r="AC37" t="s">
        <v>468</v>
      </c>
      <c r="AD37" s="5">
        <f t="shared" si="0"/>
        <v>0.10110176717519608</v>
      </c>
      <c r="AE37" s="5">
        <f t="shared" si="1"/>
        <v>7.0875422843773392E-2</v>
      </c>
      <c r="AF37" s="5">
        <f t="shared" si="2"/>
        <v>3.560056376259331E-2</v>
      </c>
      <c r="AG37" s="5">
        <f t="shared" si="3"/>
        <v>0.51918113318704884</v>
      </c>
      <c r="AH37" s="5">
        <f t="shared" si="4"/>
        <v>1.7716847446369273</v>
      </c>
      <c r="AI37" s="5">
        <f t="shared" si="5"/>
        <v>4.3909282866435841</v>
      </c>
      <c r="AJ37" s="5">
        <f t="shared" si="6"/>
        <v>2.2567369914014717</v>
      </c>
      <c r="AK37" s="5">
        <f t="shared" si="7"/>
        <v>0.15325749334361155</v>
      </c>
      <c r="AL37" s="5">
        <f t="shared" si="8"/>
        <v>1.6517408012807384</v>
      </c>
      <c r="AM37" s="10">
        <f t="shared" si="9"/>
        <v>4.2229575552381453</v>
      </c>
    </row>
    <row r="38" spans="1:39" x14ac:dyDescent="0.3">
      <c r="A38">
        <v>1686</v>
      </c>
      <c r="B38" t="s">
        <v>583</v>
      </c>
      <c r="C38" t="s">
        <v>58</v>
      </c>
      <c r="D38" s="1">
        <v>37326</v>
      </c>
      <c r="E38">
        <v>10</v>
      </c>
      <c r="F38" t="s">
        <v>584</v>
      </c>
      <c r="G38" s="4">
        <v>211.928</v>
      </c>
      <c r="H38" s="4">
        <v>465.60199999999998</v>
      </c>
      <c r="I38" s="4">
        <v>9083.9760000000006</v>
      </c>
      <c r="J38" s="4">
        <v>364.464</v>
      </c>
      <c r="K38" s="4">
        <v>4103.8159999999998</v>
      </c>
      <c r="L38" s="4">
        <v>461.58800000000002</v>
      </c>
      <c r="M38" s="4">
        <v>3232.384</v>
      </c>
      <c r="N38" s="4">
        <v>871.43200000000002</v>
      </c>
      <c r="O38" s="4">
        <v>276.93200000000002</v>
      </c>
      <c r="P38" s="4">
        <v>376.07</v>
      </c>
      <c r="Q38" s="4">
        <v>609.01800000000003</v>
      </c>
      <c r="R38" s="4">
        <v>101.773</v>
      </c>
      <c r="S38" s="4">
        <v>2312.4029999999998</v>
      </c>
      <c r="T38" s="4">
        <v>3841.402</v>
      </c>
      <c r="U38" s="4">
        <v>4524.4319999999998</v>
      </c>
      <c r="V38" s="4">
        <v>2828.9580000000001</v>
      </c>
      <c r="W38" s="4">
        <v>1532.4570000000001</v>
      </c>
      <c r="X38" s="4">
        <v>1828.633</v>
      </c>
      <c r="Y38">
        <v>8.06</v>
      </c>
      <c r="Z38">
        <v>2678.62</v>
      </c>
      <c r="AA38" t="s">
        <v>32</v>
      </c>
      <c r="AB38">
        <v>3</v>
      </c>
      <c r="AC38" t="s">
        <v>468</v>
      </c>
      <c r="AD38" s="5">
        <f t="shared" si="0"/>
        <v>5.7640897599610524E-2</v>
      </c>
      <c r="AE38" s="5">
        <f t="shared" si="1"/>
        <v>5.1255309349122008E-2</v>
      </c>
      <c r="AF38" s="5">
        <f t="shared" si="2"/>
        <v>3.3076446198733948E-2</v>
      </c>
      <c r="AG38" s="5">
        <f t="shared" si="3"/>
        <v>0.19260583427930844</v>
      </c>
      <c r="AH38" s="5">
        <f t="shared" si="4"/>
        <v>1.1778074775824035</v>
      </c>
      <c r="AI38" s="5">
        <f t="shared" si="5"/>
        <v>0.96913872417369107</v>
      </c>
      <c r="AJ38" s="5">
        <f t="shared" si="6"/>
        <v>1.2695942066289152</v>
      </c>
      <c r="AK38" s="5">
        <f t="shared" si="7"/>
        <v>8.0554641997050688E-2</v>
      </c>
      <c r="AL38" s="5">
        <f t="shared" si="8"/>
        <v>1.068312038156902</v>
      </c>
      <c r="AM38" s="10">
        <f t="shared" si="9"/>
        <v>10.424193740877085</v>
      </c>
    </row>
    <row r="39" spans="1:39" x14ac:dyDescent="0.3">
      <c r="A39">
        <v>1743</v>
      </c>
      <c r="B39" t="s">
        <v>585</v>
      </c>
      <c r="C39" t="s">
        <v>45</v>
      </c>
      <c r="D39" s="1">
        <v>43145</v>
      </c>
      <c r="E39">
        <v>1</v>
      </c>
      <c r="F39" t="s">
        <v>586</v>
      </c>
      <c r="G39" s="4">
        <v>0.36199999999999999</v>
      </c>
      <c r="H39" s="4">
        <v>87.966999999999999</v>
      </c>
      <c r="I39" s="4">
        <v>8778.1530000000002</v>
      </c>
      <c r="J39" s="4">
        <v>92.472999999999999</v>
      </c>
      <c r="K39" s="4">
        <v>3891.5360000000001</v>
      </c>
      <c r="L39" s="4">
        <v>169.797</v>
      </c>
      <c r="M39" s="4">
        <v>3831.62</v>
      </c>
      <c r="N39" s="4">
        <v>59.915999999999997</v>
      </c>
      <c r="O39" s="4">
        <v>13.170999999999999</v>
      </c>
      <c r="P39" s="4">
        <v>44.115000000000002</v>
      </c>
      <c r="Q39" s="4">
        <v>9.5670000000000002</v>
      </c>
      <c r="R39" s="4">
        <v>37.058</v>
      </c>
      <c r="S39" s="4">
        <v>2024.2639999999999</v>
      </c>
      <c r="T39" s="4">
        <v>3841.1869999999999</v>
      </c>
      <c r="U39" s="4">
        <v>3937.22</v>
      </c>
      <c r="V39" s="4">
        <v>2119.1619999999998</v>
      </c>
      <c r="W39" s="4">
        <v>1376.2729999999999</v>
      </c>
      <c r="X39" s="4">
        <v>8.2479999999999993</v>
      </c>
      <c r="Y39">
        <v>2.35</v>
      </c>
      <c r="Z39">
        <v>1860.2257500000001</v>
      </c>
      <c r="AA39" t="s">
        <v>32</v>
      </c>
      <c r="AB39">
        <v>3</v>
      </c>
      <c r="AC39" t="s">
        <v>468</v>
      </c>
      <c r="AD39" s="5">
        <f t="shared" si="0"/>
        <v>1.1954331810642063E-4</v>
      </c>
      <c r="AE39" s="5">
        <f t="shared" si="1"/>
        <v>1.0021128590490504E-2</v>
      </c>
      <c r="AF39" s="5">
        <f t="shared" si="2"/>
        <v>1.263602747683E-2</v>
      </c>
      <c r="AG39" s="5">
        <f t="shared" si="3"/>
        <v>1.521784406256191E-2</v>
      </c>
      <c r="AH39" s="5">
        <f t="shared" si="4"/>
        <v>1.0250008656178415</v>
      </c>
      <c r="AI39" s="5">
        <f t="shared" si="5"/>
        <v>2.096180437492916</v>
      </c>
      <c r="AJ39" s="5">
        <f t="shared" si="6"/>
        <v>1.0156372500404529</v>
      </c>
      <c r="AK39" s="5">
        <f t="shared" si="7"/>
        <v>2.348687652709272E-2</v>
      </c>
      <c r="AL39" s="5">
        <f t="shared" si="8"/>
        <v>1.0131076669789834</v>
      </c>
      <c r="AM39" s="10">
        <f t="shared" si="9"/>
        <v>146.50766072501503</v>
      </c>
    </row>
    <row r="40" spans="1:39" x14ac:dyDescent="0.3">
      <c r="A40">
        <v>1781</v>
      </c>
      <c r="B40" t="s">
        <v>587</v>
      </c>
      <c r="C40" t="s">
        <v>101</v>
      </c>
      <c r="D40" s="1">
        <v>37866</v>
      </c>
      <c r="E40">
        <v>8</v>
      </c>
      <c r="F40" t="s">
        <v>588</v>
      </c>
      <c r="G40" s="4">
        <v>152.84100000000001</v>
      </c>
      <c r="H40" s="4">
        <v>460.65899999999999</v>
      </c>
      <c r="I40" s="4">
        <v>4626.2579999999998</v>
      </c>
      <c r="J40" s="4">
        <v>807.83699999999999</v>
      </c>
      <c r="K40" s="4">
        <v>2688.21</v>
      </c>
      <c r="L40" s="4">
        <v>0</v>
      </c>
      <c r="M40" s="4">
        <v>1642.4749999999999</v>
      </c>
      <c r="N40" s="4">
        <v>1045.7349999999999</v>
      </c>
      <c r="O40" s="4">
        <v>239.56</v>
      </c>
      <c r="P40" s="4">
        <v>462.887</v>
      </c>
      <c r="Q40" s="4">
        <v>560.17999999999995</v>
      </c>
      <c r="R40" s="4">
        <v>148.01599999999999</v>
      </c>
      <c r="S40" s="4">
        <v>1899.3330000000001</v>
      </c>
      <c r="T40" s="4">
        <v>2202.6550000000002</v>
      </c>
      <c r="U40" s="4">
        <v>3182.6170000000002</v>
      </c>
      <c r="V40" s="4">
        <v>2702.1889999999999</v>
      </c>
      <c r="W40" s="4">
        <v>1819.5989999999999</v>
      </c>
      <c r="X40" s="4">
        <v>3248.194</v>
      </c>
      <c r="Y40">
        <v>25.38</v>
      </c>
      <c r="Z40">
        <v>2738.14975</v>
      </c>
      <c r="AA40" t="s">
        <v>32</v>
      </c>
      <c r="AB40">
        <v>3</v>
      </c>
      <c r="AC40" t="s">
        <v>468</v>
      </c>
      <c r="AD40" s="5">
        <f t="shared" si="0"/>
        <v>5.1944278197106244E-2</v>
      </c>
      <c r="AE40" s="5">
        <f t="shared" si="1"/>
        <v>9.9574861583595214E-2</v>
      </c>
      <c r="AF40" s="5">
        <f t="shared" si="2"/>
        <v>7.2167934182157514E-2</v>
      </c>
      <c r="AG40" s="5">
        <f t="shared" si="3"/>
        <v>0.328577079805707</v>
      </c>
      <c r="AH40" s="5">
        <f t="shared" si="4"/>
        <v>1.4449003588850728</v>
      </c>
      <c r="AI40" s="5">
        <f t="shared" si="5"/>
        <v>1.7452142747582022</v>
      </c>
      <c r="AJ40" s="5">
        <f t="shared" si="6"/>
        <v>1.6366824456993259</v>
      </c>
      <c r="AK40" s="5">
        <f t="shared" si="7"/>
        <v>0.25382790326325788</v>
      </c>
      <c r="AL40" s="5">
        <f t="shared" si="8"/>
        <v>1.2204407862329778</v>
      </c>
      <c r="AM40" s="10">
        <f t="shared" si="9"/>
        <v>4.4239295806298919</v>
      </c>
    </row>
    <row r="41" spans="1:39" x14ac:dyDescent="0.3">
      <c r="A41">
        <v>1818</v>
      </c>
      <c r="B41" t="s">
        <v>589</v>
      </c>
      <c r="C41" t="s">
        <v>58</v>
      </c>
      <c r="D41" s="1">
        <v>41261</v>
      </c>
      <c r="E41">
        <v>8</v>
      </c>
      <c r="F41" t="s">
        <v>590</v>
      </c>
      <c r="G41" s="4">
        <v>1.5129999999999999</v>
      </c>
      <c r="H41" s="4">
        <v>315.95</v>
      </c>
      <c r="I41" s="4">
        <v>8490.2749999999996</v>
      </c>
      <c r="J41" s="4">
        <v>285.654</v>
      </c>
      <c r="K41" s="4">
        <v>2150.5790000000002</v>
      </c>
      <c r="L41" s="4">
        <v>3.2080000000000002</v>
      </c>
      <c r="M41" s="4">
        <v>1766.366</v>
      </c>
      <c r="N41" s="4">
        <v>384.21300000000002</v>
      </c>
      <c r="O41" s="4">
        <v>179.541</v>
      </c>
      <c r="P41" s="4">
        <v>441.30599999999998</v>
      </c>
      <c r="Q41" s="4">
        <v>465.346</v>
      </c>
      <c r="R41" s="4">
        <v>115.72199999999999</v>
      </c>
      <c r="S41" s="4">
        <v>2109.8710000000001</v>
      </c>
      <c r="T41" s="4">
        <v>2231.712</v>
      </c>
      <c r="U41" s="4">
        <v>2604.0160000000001</v>
      </c>
      <c r="V41" s="4">
        <v>2461.1770000000001</v>
      </c>
      <c r="W41" s="4">
        <v>2171.875</v>
      </c>
      <c r="X41" s="4">
        <v>1254.3979999999999</v>
      </c>
      <c r="Y41">
        <v>10.97</v>
      </c>
      <c r="Z41">
        <v>2122.8665000000001</v>
      </c>
      <c r="AA41" t="s">
        <v>32</v>
      </c>
      <c r="AB41">
        <v>3</v>
      </c>
      <c r="AC41" t="s">
        <v>468</v>
      </c>
      <c r="AD41" s="5">
        <f t="shared" si="0"/>
        <v>5.9741060212315693E-4</v>
      </c>
      <c r="AE41" s="5">
        <f t="shared" si="1"/>
        <v>3.7213164473471116E-2</v>
      </c>
      <c r="AF41" s="5">
        <f t="shared" si="2"/>
        <v>5.3308666447238244E-2</v>
      </c>
      <c r="AG41" s="5">
        <f t="shared" si="3"/>
        <v>0.14754632844037824</v>
      </c>
      <c r="AH41" s="5">
        <f t="shared" si="4"/>
        <v>1.166824393111656</v>
      </c>
      <c r="AI41" s="5">
        <f t="shared" si="5"/>
        <v>0.64729235496458237</v>
      </c>
      <c r="AJ41" s="5">
        <f t="shared" si="6"/>
        <v>1.2175160753773568</v>
      </c>
      <c r="AK41" s="5">
        <f t="shared" si="7"/>
        <v>0.10969748265755663</v>
      </c>
      <c r="AL41" s="5">
        <f t="shared" si="8"/>
        <v>0.96364539868943666</v>
      </c>
      <c r="AM41" s="10">
        <f t="shared" si="9"/>
        <v>22.09783375367309</v>
      </c>
    </row>
    <row r="42" spans="1:39" x14ac:dyDescent="0.3">
      <c r="A42">
        <v>1862</v>
      </c>
      <c r="B42" t="s">
        <v>591</v>
      </c>
      <c r="C42" t="s">
        <v>58</v>
      </c>
      <c r="D42" s="1">
        <v>36291</v>
      </c>
      <c r="E42">
        <v>138</v>
      </c>
      <c r="F42" t="s">
        <v>592</v>
      </c>
      <c r="G42" s="4">
        <v>11.288</v>
      </c>
      <c r="H42" s="4">
        <v>343.79199999999997</v>
      </c>
      <c r="I42" s="4">
        <v>8295.5580000000009</v>
      </c>
      <c r="J42" s="4">
        <v>117.40300000000001</v>
      </c>
      <c r="K42" s="4">
        <v>2744.5039999999999</v>
      </c>
      <c r="L42" s="4">
        <v>0</v>
      </c>
      <c r="M42" s="4">
        <v>2021.4970000000001</v>
      </c>
      <c r="N42" s="4">
        <v>723.00699999999995</v>
      </c>
      <c r="O42" s="4">
        <v>75.908000000000001</v>
      </c>
      <c r="P42" s="4">
        <v>1096.328</v>
      </c>
      <c r="Q42" s="4">
        <v>643.99400000000003</v>
      </c>
      <c r="R42" s="4">
        <v>183.24799999999999</v>
      </c>
      <c r="S42" s="4">
        <v>2372.0360000000001</v>
      </c>
      <c r="T42" s="4">
        <v>2665.491</v>
      </c>
      <c r="U42" s="4">
        <v>3945.4520000000002</v>
      </c>
      <c r="V42" s="4">
        <v>3744.5720000000001</v>
      </c>
      <c r="W42" s="4">
        <v>3217.0259999999998</v>
      </c>
      <c r="X42" s="4">
        <v>3273.154</v>
      </c>
      <c r="Y42">
        <v>2.98</v>
      </c>
      <c r="Z42">
        <v>3545.0509999999999</v>
      </c>
      <c r="AA42" t="s">
        <v>32</v>
      </c>
      <c r="AB42">
        <v>3</v>
      </c>
      <c r="AC42" t="s">
        <v>468</v>
      </c>
      <c r="AD42" s="5">
        <f t="shared" si="0"/>
        <v>2.9357515659248919E-3</v>
      </c>
      <c r="AE42" s="5">
        <f t="shared" si="1"/>
        <v>4.1442902333996091E-2</v>
      </c>
      <c r="AF42" s="5">
        <f t="shared" si="2"/>
        <v>7.275315844460982E-2</v>
      </c>
      <c r="AG42" s="5">
        <f t="shared" si="3"/>
        <v>0.18325074034609973</v>
      </c>
      <c r="AH42" s="5">
        <f t="shared" si="4"/>
        <v>1.4801970818884778</v>
      </c>
      <c r="AI42" s="5">
        <f t="shared" si="5"/>
        <v>0.10708747747024613</v>
      </c>
      <c r="AJ42" s="5">
        <f t="shared" si="6"/>
        <v>1.3576592000878556</v>
      </c>
      <c r="AK42" s="5">
        <f t="shared" si="7"/>
        <v>2.9756539935094889E-2</v>
      </c>
      <c r="AL42" s="5">
        <f t="shared" si="8"/>
        <v>1.0296429438328623</v>
      </c>
      <c r="AM42" s="10">
        <f t="shared" si="9"/>
        <v>11.473689742976211</v>
      </c>
    </row>
    <row r="43" spans="1:39" x14ac:dyDescent="0.3">
      <c r="A43">
        <v>1892</v>
      </c>
      <c r="B43" t="s">
        <v>593</v>
      </c>
      <c r="C43" t="s">
        <v>58</v>
      </c>
      <c r="D43" s="1">
        <v>38791</v>
      </c>
      <c r="E43">
        <v>35</v>
      </c>
      <c r="F43" t="s">
        <v>594</v>
      </c>
      <c r="G43" s="4">
        <v>290.89499999999998</v>
      </c>
      <c r="H43" s="4">
        <v>587.04300000000001</v>
      </c>
      <c r="I43" s="4">
        <v>8184.3280000000004</v>
      </c>
      <c r="J43" s="4">
        <v>1165.6500000000001</v>
      </c>
      <c r="K43" s="4">
        <v>3320.9749999999999</v>
      </c>
      <c r="L43" s="4">
        <v>188.96700000000001</v>
      </c>
      <c r="M43" s="4">
        <v>2998.0509999999999</v>
      </c>
      <c r="N43" s="4">
        <v>322.92399999999998</v>
      </c>
      <c r="O43" s="4">
        <v>393.24099999999999</v>
      </c>
      <c r="P43" s="4">
        <v>1189.537</v>
      </c>
      <c r="Q43" s="4">
        <v>253.90299999999999</v>
      </c>
      <c r="R43" s="4">
        <v>62.304000000000002</v>
      </c>
      <c r="S43" s="4">
        <v>2582.8939999999998</v>
      </c>
      <c r="T43" s="4">
        <v>3251.9540000000002</v>
      </c>
      <c r="U43" s="4">
        <v>4562.9639999999999</v>
      </c>
      <c r="V43" s="4">
        <v>3606.9279999999999</v>
      </c>
      <c r="W43" s="4">
        <v>3667.444</v>
      </c>
      <c r="X43" s="4">
        <v>2369.069</v>
      </c>
      <c r="Y43">
        <v>25.55</v>
      </c>
      <c r="Z43">
        <v>3551.6012500000002</v>
      </c>
      <c r="AA43" t="s">
        <v>32</v>
      </c>
      <c r="AB43">
        <v>3</v>
      </c>
      <c r="AC43" t="s">
        <v>468</v>
      </c>
      <c r="AD43" s="5">
        <f t="shared" si="0"/>
        <v>7.1211467666892042E-2</v>
      </c>
      <c r="AE43" s="5">
        <f t="shared" si="1"/>
        <v>7.1727697130418031E-2</v>
      </c>
      <c r="AF43" s="5">
        <f t="shared" si="2"/>
        <v>2.1355826235747701E-2</v>
      </c>
      <c r="AG43" s="5">
        <f t="shared" si="3"/>
        <v>7.07706657339396E-2</v>
      </c>
      <c r="AH43" s="5">
        <f t="shared" si="4"/>
        <v>1.4031453089434844</v>
      </c>
      <c r="AI43" s="5">
        <f t="shared" si="5"/>
        <v>0.97991907775882559</v>
      </c>
      <c r="AJ43" s="5">
        <f t="shared" si="6"/>
        <v>1.107711309780921</v>
      </c>
      <c r="AK43" s="5">
        <f t="shared" si="7"/>
        <v>0.25545895168140709</v>
      </c>
      <c r="AL43" s="5">
        <f t="shared" si="8"/>
        <v>1.0212244699648272</v>
      </c>
      <c r="AM43" s="10">
        <f t="shared" si="9"/>
        <v>25.344440177874674</v>
      </c>
    </row>
    <row r="44" spans="1:39" x14ac:dyDescent="0.3">
      <c r="A44">
        <v>1903</v>
      </c>
      <c r="B44" t="s">
        <v>595</v>
      </c>
      <c r="C44" t="s">
        <v>30</v>
      </c>
      <c r="D44" s="1">
        <v>42025</v>
      </c>
      <c r="E44">
        <v>24</v>
      </c>
      <c r="F44" t="s">
        <v>596</v>
      </c>
      <c r="G44" s="4">
        <v>158.33699999999999</v>
      </c>
      <c r="H44" s="4">
        <v>481.83199999999999</v>
      </c>
      <c r="I44" s="4">
        <v>8128.0209999999997</v>
      </c>
      <c r="J44" s="4">
        <v>398.91800000000001</v>
      </c>
      <c r="K44" s="4">
        <v>3222.2809999999999</v>
      </c>
      <c r="L44" s="4">
        <v>466.51</v>
      </c>
      <c r="M44" s="4">
        <v>2877.4720000000002</v>
      </c>
      <c r="N44" s="4">
        <v>344.80900000000003</v>
      </c>
      <c r="O44" s="4">
        <v>325.03199999999998</v>
      </c>
      <c r="P44" s="4">
        <v>331.79500000000002</v>
      </c>
      <c r="Q44" s="4">
        <v>41.959000000000003</v>
      </c>
      <c r="R44" s="4">
        <v>93.006</v>
      </c>
      <c r="S44" s="4">
        <v>1864.318</v>
      </c>
      <c r="T44" s="4">
        <v>2919.431</v>
      </c>
      <c r="U44" s="4">
        <v>3603.68</v>
      </c>
      <c r="V44" s="4">
        <v>2421.0320000000002</v>
      </c>
      <c r="W44" s="4">
        <v>1942.0709999999999</v>
      </c>
      <c r="X44" s="4">
        <v>1641.4359999999999</v>
      </c>
      <c r="Y44">
        <v>11.07</v>
      </c>
      <c r="Z44">
        <v>2402.0547499999998</v>
      </c>
      <c r="AA44" t="s">
        <v>32</v>
      </c>
      <c r="AB44">
        <v>3</v>
      </c>
      <c r="AC44" t="s">
        <v>468</v>
      </c>
      <c r="AD44" s="5">
        <f t="shared" si="0"/>
        <v>5.2562512531719362E-2</v>
      </c>
      <c r="AE44" s="5">
        <f t="shared" si="1"/>
        <v>5.9280358650648173E-2</v>
      </c>
      <c r="AF44" s="5">
        <f t="shared" si="2"/>
        <v>3.8884147140663107E-2</v>
      </c>
      <c r="AG44" s="5">
        <f t="shared" si="3"/>
        <v>9.5682469031656545E-2</v>
      </c>
      <c r="AH44" s="5">
        <f t="shared" si="4"/>
        <v>1.2343775208251195</v>
      </c>
      <c r="AI44" s="5">
        <f t="shared" si="5"/>
        <v>1.2023026266218599</v>
      </c>
      <c r="AJ44" s="5">
        <f t="shared" si="6"/>
        <v>1.1198305318001356</v>
      </c>
      <c r="AK44" s="5">
        <f t="shared" si="7"/>
        <v>0.11069739821515785</v>
      </c>
      <c r="AL44" s="5">
        <f t="shared" si="8"/>
        <v>1.1037359677279579</v>
      </c>
      <c r="AM44" s="10">
        <f t="shared" si="9"/>
        <v>23.57253145944566</v>
      </c>
    </row>
    <row r="45" spans="1:39" x14ac:dyDescent="0.3">
      <c r="A45">
        <v>1949</v>
      </c>
      <c r="B45" t="s">
        <v>597</v>
      </c>
      <c r="C45" t="s">
        <v>58</v>
      </c>
      <c r="D45" s="1">
        <v>43047</v>
      </c>
      <c r="E45">
        <v>34</v>
      </c>
      <c r="F45" t="s">
        <v>598</v>
      </c>
      <c r="G45" s="4">
        <v>274.428</v>
      </c>
      <c r="H45" s="4">
        <v>632.55899999999997</v>
      </c>
      <c r="I45" s="4">
        <v>7975.4949999999999</v>
      </c>
      <c r="J45" s="4">
        <v>742.93499999999995</v>
      </c>
      <c r="K45" s="4">
        <v>3036.6080000000002</v>
      </c>
      <c r="L45" s="4">
        <v>914.62300000000005</v>
      </c>
      <c r="M45" s="4">
        <v>2733.451</v>
      </c>
      <c r="N45" s="4">
        <v>303.15699999999998</v>
      </c>
      <c r="O45" s="4">
        <v>379.95400000000001</v>
      </c>
      <c r="P45" s="4">
        <v>955.56600000000003</v>
      </c>
      <c r="Q45" s="4">
        <v>282.16500000000002</v>
      </c>
      <c r="R45" s="4">
        <v>62.463000000000001</v>
      </c>
      <c r="S45" s="4">
        <v>2549.2190000000001</v>
      </c>
      <c r="T45" s="4">
        <v>3015.616</v>
      </c>
      <c r="U45" s="4">
        <v>4064.0819999999999</v>
      </c>
      <c r="V45" s="4">
        <v>3186.2539999999999</v>
      </c>
      <c r="W45" s="4">
        <v>2567.6410000000001</v>
      </c>
      <c r="X45" s="4">
        <v>1880.306</v>
      </c>
      <c r="Y45">
        <v>18.28</v>
      </c>
      <c r="Z45">
        <v>2924.5707499999999</v>
      </c>
      <c r="AA45" t="s">
        <v>32</v>
      </c>
      <c r="AB45">
        <v>3</v>
      </c>
      <c r="AC45" t="s">
        <v>468</v>
      </c>
      <c r="AD45" s="5">
        <f t="shared" si="0"/>
        <v>7.5700767523049967E-2</v>
      </c>
      <c r="AE45" s="5">
        <f t="shared" si="1"/>
        <v>7.9312820082013721E-2</v>
      </c>
      <c r="AF45" s="5">
        <f t="shared" si="2"/>
        <v>2.2449183129418931E-2</v>
      </c>
      <c r="AG45" s="5">
        <f t="shared" si="3"/>
        <v>7.4594213404158671E-2</v>
      </c>
      <c r="AH45" s="5">
        <f t="shared" si="4"/>
        <v>1.347678882191897</v>
      </c>
      <c r="AI45" s="5">
        <f t="shared" si="5"/>
        <v>0.77748161822417283</v>
      </c>
      <c r="AJ45" s="5">
        <f t="shared" si="6"/>
        <v>1.1109063231790144</v>
      </c>
      <c r="AK45" s="5">
        <f t="shared" si="7"/>
        <v>0.18280512056597281</v>
      </c>
      <c r="AL45" s="5">
        <f t="shared" si="8"/>
        <v>1.0069610984952992</v>
      </c>
      <c r="AM45" s="10">
        <f t="shared" si="9"/>
        <v>26.308134069145691</v>
      </c>
    </row>
    <row r="46" spans="1:39" x14ac:dyDescent="0.3">
      <c r="A46">
        <v>1995</v>
      </c>
      <c r="B46" t="s">
        <v>603</v>
      </c>
      <c r="C46" t="s">
        <v>58</v>
      </c>
      <c r="D46" s="1">
        <v>43515</v>
      </c>
      <c r="E46">
        <v>26</v>
      </c>
      <c r="F46" t="s">
        <v>604</v>
      </c>
      <c r="G46" s="4">
        <v>108.154</v>
      </c>
      <c r="H46" s="4">
        <v>221.16</v>
      </c>
      <c r="I46" s="4">
        <v>7804.3760000000002</v>
      </c>
      <c r="J46" s="4">
        <v>635.803</v>
      </c>
      <c r="K46" s="4">
        <v>2540.134</v>
      </c>
      <c r="L46" s="4">
        <v>150</v>
      </c>
      <c r="M46" s="4">
        <v>2372.3539999999998</v>
      </c>
      <c r="N46" s="4">
        <v>167.78</v>
      </c>
      <c r="O46" s="4">
        <v>136.29</v>
      </c>
      <c r="P46" s="4">
        <v>596.96699999999998</v>
      </c>
      <c r="Q46" s="4">
        <v>12.2</v>
      </c>
      <c r="R46" s="4">
        <v>0</v>
      </c>
      <c r="S46" s="4">
        <v>2704.145</v>
      </c>
      <c r="T46" s="4">
        <v>2384.5540000000001</v>
      </c>
      <c r="U46" s="4">
        <v>3155.8629999999998</v>
      </c>
      <c r="V46" s="4">
        <v>3337.5720000000001</v>
      </c>
      <c r="W46" s="4">
        <v>2093.3049999999998</v>
      </c>
      <c r="X46" s="4">
        <v>1481.9369999999999</v>
      </c>
      <c r="Y46">
        <v>20.149999999999999</v>
      </c>
      <c r="Z46">
        <v>2517.1692499999999</v>
      </c>
      <c r="AA46" t="s">
        <v>32</v>
      </c>
      <c r="AB46">
        <v>3</v>
      </c>
      <c r="AC46" t="s">
        <v>468</v>
      </c>
      <c r="AD46" s="5">
        <f t="shared" si="0"/>
        <v>3.3311798762904382E-2</v>
      </c>
      <c r="AE46" s="5">
        <f t="shared" si="1"/>
        <v>2.833794783849471E-2</v>
      </c>
      <c r="AF46" s="5">
        <f t="shared" si="2"/>
        <v>0</v>
      </c>
      <c r="AG46" s="5">
        <f t="shared" si="3"/>
        <v>5.3164538511335888E-2</v>
      </c>
      <c r="AH46" s="5">
        <f t="shared" si="4"/>
        <v>1.3234604877893308</v>
      </c>
      <c r="AI46" s="5">
        <f t="shared" si="5"/>
        <v>1.0650555223320552</v>
      </c>
      <c r="AJ46" s="5">
        <f t="shared" si="6"/>
        <v>1.0707230033966264</v>
      </c>
      <c r="AK46" s="5">
        <f t="shared" si="7"/>
        <v>0.2014672373293771</v>
      </c>
      <c r="AL46" s="5">
        <f t="shared" si="8"/>
        <v>1.0652449053365953</v>
      </c>
      <c r="AM46" s="10">
        <f t="shared" si="9"/>
        <v>46.515532244606035</v>
      </c>
    </row>
    <row r="47" spans="1:39" x14ac:dyDescent="0.3">
      <c r="A47">
        <v>2028</v>
      </c>
      <c r="B47" t="s">
        <v>609</v>
      </c>
      <c r="C47" t="s">
        <v>35</v>
      </c>
      <c r="D47" s="1">
        <v>43368</v>
      </c>
      <c r="E47">
        <v>8</v>
      </c>
      <c r="F47" t="s">
        <v>610</v>
      </c>
      <c r="G47" s="4">
        <v>263.24</v>
      </c>
      <c r="H47" s="4">
        <v>317.899</v>
      </c>
      <c r="I47" s="4">
        <v>7667.7370000000001</v>
      </c>
      <c r="J47" s="4">
        <v>685.45799999999997</v>
      </c>
      <c r="K47" s="4">
        <v>3531.3719999999998</v>
      </c>
      <c r="L47" s="4">
        <v>678.92399999999998</v>
      </c>
      <c r="M47" s="4">
        <v>2788.5149999999999</v>
      </c>
      <c r="N47" s="4">
        <v>742.85699999999997</v>
      </c>
      <c r="O47" s="4">
        <v>296.20299999999997</v>
      </c>
      <c r="P47" s="4">
        <v>344.887</v>
      </c>
      <c r="Q47" s="4">
        <v>356.16</v>
      </c>
      <c r="R47" s="4">
        <v>375.74099999999999</v>
      </c>
      <c r="S47" s="4">
        <v>4945.3140000000003</v>
      </c>
      <c r="T47" s="4">
        <v>3144.6750000000002</v>
      </c>
      <c r="U47" s="4">
        <v>3932.6120000000001</v>
      </c>
      <c r="V47" s="4">
        <v>5474.1760000000004</v>
      </c>
      <c r="W47" s="4">
        <v>1706.1279999999999</v>
      </c>
      <c r="X47" s="4">
        <v>267.767</v>
      </c>
      <c r="Y47">
        <v>17.43</v>
      </c>
      <c r="Z47">
        <v>2845.1707500000002</v>
      </c>
      <c r="AA47" t="s">
        <v>32</v>
      </c>
      <c r="AB47">
        <v>3</v>
      </c>
      <c r="AC47" t="s">
        <v>468</v>
      </c>
      <c r="AD47" s="5">
        <f t="shared" si="0"/>
        <v>5.5968094529184671E-2</v>
      </c>
      <c r="AE47" s="5">
        <f t="shared" si="1"/>
        <v>4.1459298877882744E-2</v>
      </c>
      <c r="AF47" s="5">
        <f t="shared" si="2"/>
        <v>9.289036116118328E-2</v>
      </c>
      <c r="AG47" s="5">
        <f t="shared" si="3"/>
        <v>0.18889659086632496</v>
      </c>
      <c r="AH47" s="5">
        <f t="shared" si="4"/>
        <v>1.2505622997607067</v>
      </c>
      <c r="AI47" s="5">
        <f t="shared" si="5"/>
        <v>1.9874857562042059</v>
      </c>
      <c r="AJ47" s="5">
        <f t="shared" si="6"/>
        <v>1.2663987821474871</v>
      </c>
      <c r="AK47" s="5">
        <f t="shared" si="7"/>
        <v>0.17430094807217186</v>
      </c>
      <c r="AL47" s="5">
        <f t="shared" si="8"/>
        <v>1.1229688282572921</v>
      </c>
      <c r="AM47" s="10">
        <f t="shared" si="9"/>
        <v>10.321955638837624</v>
      </c>
    </row>
    <row r="48" spans="1:39" x14ac:dyDescent="0.3">
      <c r="A48">
        <v>2032</v>
      </c>
      <c r="B48" t="s">
        <v>611</v>
      </c>
      <c r="C48" t="s">
        <v>101</v>
      </c>
      <c r="D48" s="1">
        <v>41200</v>
      </c>
      <c r="E48">
        <v>26</v>
      </c>
      <c r="F48" t="s">
        <v>612</v>
      </c>
      <c r="G48" s="4">
        <v>241.874</v>
      </c>
      <c r="H48" s="4">
        <v>557.87300000000005</v>
      </c>
      <c r="I48" s="4">
        <v>7646.9030000000002</v>
      </c>
      <c r="J48" s="4">
        <v>958.25900000000001</v>
      </c>
      <c r="K48" s="4">
        <v>5035.2830000000004</v>
      </c>
      <c r="L48" s="4">
        <v>148.864</v>
      </c>
      <c r="M48" s="4">
        <v>3704.8539999999998</v>
      </c>
      <c r="N48" s="4">
        <v>1330.4290000000001</v>
      </c>
      <c r="O48" s="4">
        <v>370.988</v>
      </c>
      <c r="P48" s="4">
        <v>454.721</v>
      </c>
      <c r="Q48" s="4">
        <v>594.18700000000001</v>
      </c>
      <c r="R48" s="4">
        <v>69.013999999999996</v>
      </c>
      <c r="S48" s="4">
        <v>2030.2550000000001</v>
      </c>
      <c r="T48" s="4">
        <v>4299.0410000000002</v>
      </c>
      <c r="U48" s="4">
        <v>5504.2550000000001</v>
      </c>
      <c r="V48" s="4">
        <v>2912.7759999999998</v>
      </c>
      <c r="W48" s="4">
        <v>3547.1080000000002</v>
      </c>
      <c r="X48" s="4">
        <v>1531.374</v>
      </c>
      <c r="Y48">
        <v>17.41</v>
      </c>
      <c r="Z48">
        <v>3373.8782500000002</v>
      </c>
      <c r="AA48" t="s">
        <v>32</v>
      </c>
      <c r="AB48">
        <v>3</v>
      </c>
      <c r="AC48" t="s">
        <v>468</v>
      </c>
      <c r="AD48" s="5">
        <f t="shared" si="0"/>
        <v>5.7472522080529352E-2</v>
      </c>
      <c r="AE48" s="5">
        <f t="shared" si="1"/>
        <v>7.2954109657203711E-2</v>
      </c>
      <c r="AF48" s="5">
        <f t="shared" si="2"/>
        <v>2.180779663330645E-2</v>
      </c>
      <c r="AG48" s="5">
        <f t="shared" si="3"/>
        <v>0.24170918680184694</v>
      </c>
      <c r="AH48" s="5">
        <f t="shared" si="4"/>
        <v>1.2803448490023706</v>
      </c>
      <c r="AI48" s="5">
        <f t="shared" si="5"/>
        <v>2.1073559391363057</v>
      </c>
      <c r="AJ48" s="5">
        <f t="shared" si="6"/>
        <v>1.3591042993866966</v>
      </c>
      <c r="AK48" s="5">
        <f t="shared" si="7"/>
        <v>0.17409422346893449</v>
      </c>
      <c r="AL48" s="5">
        <f t="shared" si="8"/>
        <v>1.1712572641200678</v>
      </c>
      <c r="AM48" s="10">
        <f t="shared" si="9"/>
        <v>5.7476971713635221</v>
      </c>
    </row>
    <row r="49" spans="1:39" x14ac:dyDescent="0.3">
      <c r="A49">
        <v>2037</v>
      </c>
      <c r="B49" t="s">
        <v>613</v>
      </c>
      <c r="C49" t="s">
        <v>58</v>
      </c>
      <c r="D49" s="1">
        <v>44076</v>
      </c>
      <c r="E49">
        <v>0</v>
      </c>
      <c r="F49" t="s">
        <v>614</v>
      </c>
      <c r="G49" s="4">
        <v>667.90800000000002</v>
      </c>
      <c r="H49" s="4">
        <v>1031.999</v>
      </c>
      <c r="I49" s="4">
        <v>7641.6490000000003</v>
      </c>
      <c r="J49" s="4">
        <v>1291.4670000000001</v>
      </c>
      <c r="K49" s="4">
        <v>6067.8540000000003</v>
      </c>
      <c r="L49" s="4">
        <v>4415.8440000000001</v>
      </c>
      <c r="M49" s="4">
        <v>2912.3380000000002</v>
      </c>
      <c r="N49" s="4">
        <v>3155.5160000000001</v>
      </c>
      <c r="O49" s="4">
        <v>669.06700000000001</v>
      </c>
      <c r="P49" s="4">
        <v>3.895</v>
      </c>
      <c r="Q49" s="4">
        <v>1776.124</v>
      </c>
      <c r="R49" s="4">
        <v>96.497</v>
      </c>
      <c r="S49" s="4">
        <v>4713.8770000000004</v>
      </c>
      <c r="T49" s="4">
        <v>4688.4620000000004</v>
      </c>
      <c r="U49" s="4">
        <v>6071.7489999999998</v>
      </c>
      <c r="V49" s="4">
        <v>5337.4369999999999</v>
      </c>
      <c r="W49" s="4">
        <v>2153.6419999999998</v>
      </c>
      <c r="X49" s="4">
        <v>9.3030000000000008</v>
      </c>
      <c r="Y49">
        <v>21.27</v>
      </c>
      <c r="Z49">
        <v>3393.0327499999999</v>
      </c>
      <c r="AA49" t="s">
        <v>32</v>
      </c>
      <c r="AB49">
        <v>3</v>
      </c>
      <c r="AC49" t="s">
        <v>468</v>
      </c>
      <c r="AD49" s="5">
        <f t="shared" si="0"/>
        <v>0.11708249826061211</v>
      </c>
      <c r="AE49" s="5">
        <f t="shared" si="1"/>
        <v>0.13504925442139518</v>
      </c>
      <c r="AF49" s="5">
        <f t="shared" si="2"/>
        <v>2.0526169073461401E-2</v>
      </c>
      <c r="AG49" s="5">
        <f t="shared" si="3"/>
        <v>0.51970461888329045</v>
      </c>
      <c r="AH49" s="5">
        <f t="shared" si="4"/>
        <v>1.2950406764521072</v>
      </c>
      <c r="AI49" s="5">
        <f t="shared" si="5"/>
        <v>331.57047496790761</v>
      </c>
      <c r="AJ49" s="5">
        <f t="shared" si="6"/>
        <v>2.0834992366957406</v>
      </c>
      <c r="AK49" s="5">
        <f t="shared" si="7"/>
        <v>0.21270098615736588</v>
      </c>
      <c r="AL49" s="5">
        <f t="shared" si="8"/>
        <v>1.2942099136134622</v>
      </c>
      <c r="AM49" s="10">
        <f t="shared" si="9"/>
        <v>2.4216796872524178</v>
      </c>
    </row>
    <row r="50" spans="1:39" x14ac:dyDescent="0.3">
      <c r="A50">
        <v>2055</v>
      </c>
      <c r="B50" t="s">
        <v>615</v>
      </c>
      <c r="C50" t="s">
        <v>58</v>
      </c>
      <c r="D50" s="1">
        <v>38979</v>
      </c>
      <c r="E50">
        <v>8</v>
      </c>
      <c r="F50" t="s">
        <v>616</v>
      </c>
      <c r="G50" s="4">
        <v>205.321</v>
      </c>
      <c r="H50" s="4">
        <v>400.64800000000002</v>
      </c>
      <c r="I50" s="4">
        <v>7597.8729999999996</v>
      </c>
      <c r="J50" s="4">
        <v>436.66800000000001</v>
      </c>
      <c r="K50" s="4">
        <v>3348.9639999999999</v>
      </c>
      <c r="L50" s="4">
        <v>53.2</v>
      </c>
      <c r="M50" s="4">
        <v>2316.027</v>
      </c>
      <c r="N50" s="4">
        <v>1032.9369999999999</v>
      </c>
      <c r="O50" s="4">
        <v>280.77999999999997</v>
      </c>
      <c r="P50" s="4">
        <v>221.453</v>
      </c>
      <c r="Q50" s="4">
        <v>540.46199999999999</v>
      </c>
      <c r="R50" s="4">
        <v>55.011000000000003</v>
      </c>
      <c r="S50" s="4">
        <v>1483.502</v>
      </c>
      <c r="T50" s="4">
        <v>2856.489</v>
      </c>
      <c r="U50" s="4">
        <v>3650.877</v>
      </c>
      <c r="V50" s="4">
        <v>2369.9830000000002</v>
      </c>
      <c r="W50" s="4">
        <v>2192.71</v>
      </c>
      <c r="X50" s="4">
        <v>1305.2909999999999</v>
      </c>
      <c r="Y50">
        <v>11.96</v>
      </c>
      <c r="Z50">
        <v>2379.7152500000002</v>
      </c>
      <c r="AA50" t="s">
        <v>32</v>
      </c>
      <c r="AB50">
        <v>3</v>
      </c>
      <c r="AC50" t="s">
        <v>468</v>
      </c>
      <c r="AD50" s="5">
        <f t="shared" si="0"/>
        <v>6.8203213494417728E-2</v>
      </c>
      <c r="AE50" s="5">
        <f t="shared" si="1"/>
        <v>5.2731600014898912E-2</v>
      </c>
      <c r="AF50" s="5">
        <f t="shared" si="2"/>
        <v>2.535074381490653E-2</v>
      </c>
      <c r="AG50" s="5">
        <f t="shared" si="3"/>
        <v>0.28292845801159555</v>
      </c>
      <c r="AH50" s="5">
        <f t="shared" si="4"/>
        <v>1.2780994430575436</v>
      </c>
      <c r="AI50" s="5">
        <f t="shared" si="5"/>
        <v>1.9718314947189697</v>
      </c>
      <c r="AJ50" s="5">
        <f t="shared" si="6"/>
        <v>1.4459952323526453</v>
      </c>
      <c r="AK50" s="5">
        <f t="shared" si="7"/>
        <v>0.11960633020504388</v>
      </c>
      <c r="AL50" s="5">
        <f t="shared" si="8"/>
        <v>1.1724057050455996</v>
      </c>
      <c r="AM50" s="10">
        <f t="shared" si="9"/>
        <v>7.3556015516919233</v>
      </c>
    </row>
    <row r="51" spans="1:39" x14ac:dyDescent="0.3">
      <c r="A51">
        <v>2073</v>
      </c>
      <c r="B51" t="s">
        <v>617</v>
      </c>
      <c r="C51" t="s">
        <v>42</v>
      </c>
      <c r="D51" s="1">
        <v>41779</v>
      </c>
      <c r="E51">
        <v>15</v>
      </c>
      <c r="F51" t="s">
        <v>618</v>
      </c>
      <c r="G51" s="4">
        <v>-65.900999999999996</v>
      </c>
      <c r="H51" s="4">
        <v>21.992999999999999</v>
      </c>
      <c r="I51" s="4">
        <v>7527.357</v>
      </c>
      <c r="J51" s="4">
        <v>42.64</v>
      </c>
      <c r="K51" s="4">
        <v>3351.8389999999999</v>
      </c>
      <c r="L51" s="4">
        <v>50.152999999999999</v>
      </c>
      <c r="M51" s="4">
        <v>3294.6039999999998</v>
      </c>
      <c r="N51" s="4">
        <v>57.234999999999999</v>
      </c>
      <c r="O51" s="4">
        <v>6.5609999999999999</v>
      </c>
      <c r="P51" s="4">
        <v>383.21100000000001</v>
      </c>
      <c r="Q51" s="4">
        <v>335.952</v>
      </c>
      <c r="R51" s="4">
        <v>36.834000000000003</v>
      </c>
      <c r="S51" s="4">
        <v>2937.4859999999999</v>
      </c>
      <c r="T51" s="4">
        <v>3630.556</v>
      </c>
      <c r="U51" s="4">
        <v>3748.2020000000002</v>
      </c>
      <c r="V51" s="4">
        <v>3115.4670000000001</v>
      </c>
      <c r="W51" s="4">
        <v>2509.8409999999999</v>
      </c>
      <c r="X51" s="4">
        <v>2455.1930000000002</v>
      </c>
      <c r="Y51">
        <v>1.1399999999999999</v>
      </c>
      <c r="Z51">
        <v>2957.1757499999999</v>
      </c>
      <c r="AA51" t="s">
        <v>32</v>
      </c>
      <c r="AB51">
        <v>3</v>
      </c>
      <c r="AC51" t="s">
        <v>468</v>
      </c>
      <c r="AD51" s="5">
        <f t="shared" si="0"/>
        <v>-1.9202849088439434E-2</v>
      </c>
      <c r="AE51" s="5">
        <f t="shared" si="1"/>
        <v>2.9217426515043723E-3</v>
      </c>
      <c r="AF51" s="5">
        <f t="shared" si="2"/>
        <v>1.1216128033286026E-2</v>
      </c>
      <c r="AG51" s="5">
        <f t="shared" si="3"/>
        <v>1.5269988116969148E-2</v>
      </c>
      <c r="AH51" s="5">
        <f t="shared" si="4"/>
        <v>1.0324044030721466</v>
      </c>
      <c r="AI51" s="5">
        <f t="shared" si="5"/>
        <v>0.11127029234547024</v>
      </c>
      <c r="AJ51" s="5">
        <f t="shared" si="6"/>
        <v>1.0173723458115149</v>
      </c>
      <c r="AK51" s="5">
        <f t="shared" si="7"/>
        <v>1.1376121137548082E-2</v>
      </c>
      <c r="AL51" s="5">
        <f t="shared" si="8"/>
        <v>0.92323021597793831</v>
      </c>
      <c r="AM51" s="10">
        <f t="shared" si="9"/>
        <v>131.51667685856557</v>
      </c>
    </row>
    <row r="52" spans="1:39" x14ac:dyDescent="0.3">
      <c r="A52">
        <v>2076</v>
      </c>
      <c r="B52" t="s">
        <v>619</v>
      </c>
      <c r="C52" t="s">
        <v>58</v>
      </c>
      <c r="D52" s="1">
        <v>30134</v>
      </c>
      <c r="E52">
        <v>18</v>
      </c>
      <c r="F52" t="s">
        <v>620</v>
      </c>
      <c r="G52" s="4">
        <v>4.3159999999999998</v>
      </c>
      <c r="H52" s="4">
        <v>152.86199999999999</v>
      </c>
      <c r="I52" s="4">
        <v>7511.9179999999997</v>
      </c>
      <c r="J52" s="4">
        <v>481.59699999999998</v>
      </c>
      <c r="K52" s="4">
        <v>3351.6680000000001</v>
      </c>
      <c r="L52" s="4">
        <v>20.282</v>
      </c>
      <c r="M52" s="4">
        <v>3121.6860000000001</v>
      </c>
      <c r="N52" s="4">
        <v>229.982</v>
      </c>
      <c r="O52" s="4">
        <v>61.908999999999999</v>
      </c>
      <c r="P52" s="4">
        <v>913.26099999999997</v>
      </c>
      <c r="Q52" s="4">
        <v>412.14499999999998</v>
      </c>
      <c r="R52" s="4">
        <v>21.763999999999999</v>
      </c>
      <c r="S52" s="4">
        <v>3062.482</v>
      </c>
      <c r="T52" s="4">
        <v>3533.8310000000001</v>
      </c>
      <c r="U52" s="4">
        <v>4291.5749999999998</v>
      </c>
      <c r="V52" s="4">
        <v>3669.8339999999998</v>
      </c>
      <c r="W52" s="4">
        <v>1934.03</v>
      </c>
      <c r="X52" s="4">
        <v>1914.971</v>
      </c>
      <c r="Y52">
        <v>11.22</v>
      </c>
      <c r="Z52">
        <v>2952.6025</v>
      </c>
      <c r="AA52" t="s">
        <v>32</v>
      </c>
      <c r="AB52">
        <v>3</v>
      </c>
      <c r="AC52" t="s">
        <v>468</v>
      </c>
      <c r="AD52" s="5">
        <f t="shared" si="0"/>
        <v>1.0842301909121865E-3</v>
      </c>
      <c r="AE52" s="5">
        <f t="shared" si="1"/>
        <v>2.0349263663421248E-2</v>
      </c>
      <c r="AF52" s="5">
        <f t="shared" si="2"/>
        <v>6.5988378659411701E-3</v>
      </c>
      <c r="AG52" s="5">
        <f t="shared" si="3"/>
        <v>5.3589183458287462E-2</v>
      </c>
      <c r="AH52" s="5">
        <f t="shared" si="4"/>
        <v>1.2144256474064548</v>
      </c>
      <c r="AI52" s="5">
        <f t="shared" si="5"/>
        <v>0.52733774901150932</v>
      </c>
      <c r="AJ52" s="5">
        <f t="shared" si="6"/>
        <v>1.0736723680728939</v>
      </c>
      <c r="AK52" s="5">
        <f t="shared" si="7"/>
        <v>0.11221917361341699</v>
      </c>
      <c r="AL52" s="5">
        <f t="shared" si="8"/>
        <v>0.94845169449246436</v>
      </c>
      <c r="AM52" s="10">
        <f t="shared" si="9"/>
        <v>32.663069283683072</v>
      </c>
    </row>
    <row r="53" spans="1:39" x14ac:dyDescent="0.3">
      <c r="A53">
        <v>2098</v>
      </c>
      <c r="B53" t="s">
        <v>623</v>
      </c>
      <c r="C53" t="s">
        <v>58</v>
      </c>
      <c r="D53" s="1">
        <v>42503</v>
      </c>
      <c r="E53">
        <v>21</v>
      </c>
      <c r="F53" t="s">
        <v>624</v>
      </c>
      <c r="G53" s="4">
        <v>29.34</v>
      </c>
      <c r="H53" s="4">
        <v>136.26499999999999</v>
      </c>
      <c r="I53" s="4">
        <v>7441.085</v>
      </c>
      <c r="J53" s="4">
        <v>152.441</v>
      </c>
      <c r="K53" s="4">
        <v>4123.8879999999999</v>
      </c>
      <c r="L53" s="4">
        <v>0</v>
      </c>
      <c r="M53" s="4">
        <v>3691.8609999999999</v>
      </c>
      <c r="N53" s="4">
        <v>432.02699999999999</v>
      </c>
      <c r="O53" s="4">
        <v>75.183000000000007</v>
      </c>
      <c r="P53" s="4">
        <v>142.21899999999999</v>
      </c>
      <c r="Q53" s="4">
        <v>151.29400000000001</v>
      </c>
      <c r="R53" s="4">
        <v>21.097999999999999</v>
      </c>
      <c r="S53" s="4">
        <v>1058.7550000000001</v>
      </c>
      <c r="T53" s="4">
        <v>3843.1550000000002</v>
      </c>
      <c r="U53" s="4">
        <v>4316.68</v>
      </c>
      <c r="V53" s="4">
        <v>1417.518</v>
      </c>
      <c r="W53" s="4">
        <v>187.30500000000001</v>
      </c>
      <c r="X53" s="4">
        <v>141.24299999999999</v>
      </c>
      <c r="Y53">
        <v>3.53</v>
      </c>
      <c r="Z53">
        <v>1515.6865</v>
      </c>
      <c r="AA53" t="s">
        <v>32</v>
      </c>
      <c r="AB53">
        <v>3</v>
      </c>
      <c r="AC53" t="s">
        <v>468</v>
      </c>
      <c r="AD53" s="5">
        <f t="shared" si="0"/>
        <v>1.0233340390408562E-2</v>
      </c>
      <c r="AE53" s="5">
        <f t="shared" si="1"/>
        <v>1.8312517596560177E-2</v>
      </c>
      <c r="AF53" s="5">
        <f t="shared" si="2"/>
        <v>8.6080731796381402E-3</v>
      </c>
      <c r="AG53" s="5">
        <f t="shared" si="3"/>
        <v>0.10008316576628334</v>
      </c>
      <c r="AH53" s="5">
        <f t="shared" si="4"/>
        <v>1.1232125688399246</v>
      </c>
      <c r="AI53" s="5">
        <f t="shared" si="5"/>
        <v>1.0718750659194622</v>
      </c>
      <c r="AJ53" s="5">
        <f t="shared" si="6"/>
        <v>1.1170214696598815</v>
      </c>
      <c r="AK53" s="5">
        <f t="shared" si="7"/>
        <v>3.5314408295263951E-2</v>
      </c>
      <c r="AL53" s="5">
        <f t="shared" si="8"/>
        <v>1.0730475351631668</v>
      </c>
      <c r="AM53" s="10">
        <f t="shared" si="9"/>
        <v>17.22365731771394</v>
      </c>
    </row>
    <row r="54" spans="1:39" x14ac:dyDescent="0.3">
      <c r="A54">
        <v>2104</v>
      </c>
      <c r="B54" t="s">
        <v>625</v>
      </c>
      <c r="C54" t="s">
        <v>58</v>
      </c>
      <c r="D54" s="1">
        <v>43869</v>
      </c>
      <c r="E54">
        <v>19</v>
      </c>
      <c r="F54" t="s">
        <v>626</v>
      </c>
      <c r="G54" s="4">
        <v>363.327</v>
      </c>
      <c r="H54" s="4">
        <v>622.30100000000004</v>
      </c>
      <c r="I54" s="4">
        <v>7425.6689999999999</v>
      </c>
      <c r="J54" s="4">
        <v>943.63400000000001</v>
      </c>
      <c r="K54" s="4">
        <v>6049.5950000000003</v>
      </c>
      <c r="L54" s="4">
        <v>165.41399999999999</v>
      </c>
      <c r="M54" s="4">
        <v>4786.4170000000004</v>
      </c>
      <c r="N54" s="4">
        <v>1263.1780000000001</v>
      </c>
      <c r="O54" s="4">
        <v>409.661</v>
      </c>
      <c r="P54" s="4">
        <v>787.53399999999999</v>
      </c>
      <c r="Q54" s="4">
        <v>895.05700000000002</v>
      </c>
      <c r="R54" s="4">
        <v>457.71899999999999</v>
      </c>
      <c r="S54" s="4">
        <v>2220.2649999999999</v>
      </c>
      <c r="T54" s="4">
        <v>5681.4740000000002</v>
      </c>
      <c r="U54" s="4">
        <v>6921.1729999999998</v>
      </c>
      <c r="V54" s="4">
        <v>2989.6489999999999</v>
      </c>
      <c r="W54" s="4">
        <v>1199.3679999999999</v>
      </c>
      <c r="X54" s="4">
        <v>363.36399999999998</v>
      </c>
      <c r="Y54">
        <v>13.63</v>
      </c>
      <c r="Z54">
        <v>2868.3885</v>
      </c>
      <c r="AA54" t="s">
        <v>32</v>
      </c>
      <c r="AB54">
        <v>3</v>
      </c>
      <c r="AC54" t="s">
        <v>468</v>
      </c>
      <c r="AD54" s="5">
        <f t="shared" si="0"/>
        <v>7.3319246375325886E-2</v>
      </c>
      <c r="AE54" s="5">
        <f t="shared" si="1"/>
        <v>8.3804031663679071E-2</v>
      </c>
      <c r="AF54" s="5">
        <f t="shared" si="2"/>
        <v>0.11585272558357092</v>
      </c>
      <c r="AG54" s="5">
        <f t="shared" si="3"/>
        <v>0.18250923651236578</v>
      </c>
      <c r="AH54" s="5">
        <f t="shared" si="4"/>
        <v>1.218200241697841</v>
      </c>
      <c r="AI54" s="5">
        <f t="shared" si="5"/>
        <v>1.1982136644259169</v>
      </c>
      <c r="AJ54" s="5">
        <f t="shared" si="6"/>
        <v>1.2639088905124647</v>
      </c>
      <c r="AK54" s="5">
        <f t="shared" si="7"/>
        <v>0.13634018395436728</v>
      </c>
      <c r="AL54" s="5">
        <f t="shared" si="8"/>
        <v>1.0647932209141502</v>
      </c>
      <c r="AM54" s="10">
        <f t="shared" si="9"/>
        <v>5.8785610579031609</v>
      </c>
    </row>
    <row r="55" spans="1:39" x14ac:dyDescent="0.3">
      <c r="A55">
        <v>2134</v>
      </c>
      <c r="B55" t="s">
        <v>629</v>
      </c>
      <c r="C55" t="s">
        <v>101</v>
      </c>
      <c r="D55" s="1">
        <v>41290</v>
      </c>
      <c r="E55">
        <v>26</v>
      </c>
      <c r="F55" t="s">
        <v>630</v>
      </c>
      <c r="G55" s="4">
        <v>81.638999999999996</v>
      </c>
      <c r="H55" s="4">
        <v>366.45</v>
      </c>
      <c r="I55" s="4">
        <v>7337.77</v>
      </c>
      <c r="J55" s="4">
        <v>890.15599999999995</v>
      </c>
      <c r="K55" s="4">
        <v>3598.01</v>
      </c>
      <c r="L55" s="4">
        <v>1139.461</v>
      </c>
      <c r="M55" s="4">
        <v>3150.8339999999998</v>
      </c>
      <c r="N55" s="4">
        <v>447.17599999999999</v>
      </c>
      <c r="O55" s="4">
        <v>240.625</v>
      </c>
      <c r="P55" s="4">
        <v>723.61699999999996</v>
      </c>
      <c r="Q55" s="4">
        <v>14.757999999999999</v>
      </c>
      <c r="R55" s="4">
        <v>13.28</v>
      </c>
      <c r="S55" s="4">
        <v>3705.4259999999999</v>
      </c>
      <c r="T55" s="4">
        <v>3165.5920000000001</v>
      </c>
      <c r="U55" s="4">
        <v>4329.5360000000001</v>
      </c>
      <c r="V55" s="4">
        <v>4805.4340000000002</v>
      </c>
      <c r="W55" s="4">
        <v>3059.8820000000001</v>
      </c>
      <c r="X55" s="4">
        <v>1608.883</v>
      </c>
      <c r="Y55">
        <v>20.56</v>
      </c>
      <c r="Z55">
        <v>3450.9337500000001</v>
      </c>
      <c r="AA55" t="s">
        <v>32</v>
      </c>
      <c r="AB55">
        <v>3</v>
      </c>
      <c r="AC55" t="s">
        <v>468</v>
      </c>
      <c r="AD55" s="5">
        <f t="shared" si="0"/>
        <v>1.7873950324960013E-2</v>
      </c>
      <c r="AE55" s="5">
        <f t="shared" si="1"/>
        <v>4.9940240699831141E-2</v>
      </c>
      <c r="AF55" s="5">
        <f t="shared" si="2"/>
        <v>3.8655116316097552E-3</v>
      </c>
      <c r="AG55" s="5">
        <f t="shared" si="3"/>
        <v>0.10328497095300743</v>
      </c>
      <c r="AH55" s="5">
        <f t="shared" si="4"/>
        <v>1.3676860441901546</v>
      </c>
      <c r="AI55" s="5">
        <f t="shared" si="5"/>
        <v>1.2301479926535723</v>
      </c>
      <c r="AJ55" s="5">
        <f t="shared" si="6"/>
        <v>1.1419230591011778</v>
      </c>
      <c r="AK55" s="5">
        <f t="shared" si="7"/>
        <v>0.20560078493399753</v>
      </c>
      <c r="AL55" s="5">
        <f t="shared" si="8"/>
        <v>1.136599410157721</v>
      </c>
      <c r="AM55" s="10">
        <f t="shared" si="9"/>
        <v>16.409131974882374</v>
      </c>
    </row>
    <row r="56" spans="1:39" x14ac:dyDescent="0.3">
      <c r="A56">
        <v>2137</v>
      </c>
      <c r="B56" t="s">
        <v>631</v>
      </c>
      <c r="C56" t="s">
        <v>143</v>
      </c>
      <c r="D56" s="1">
        <v>33315</v>
      </c>
      <c r="E56">
        <v>21</v>
      </c>
      <c r="F56" t="s">
        <v>632</v>
      </c>
      <c r="G56" s="4">
        <v>292.01</v>
      </c>
      <c r="H56" s="4">
        <v>577.22400000000005</v>
      </c>
      <c r="I56" s="4">
        <v>7332.5230000000001</v>
      </c>
      <c r="J56" s="4">
        <v>1135.6189999999999</v>
      </c>
      <c r="K56" s="4">
        <v>3088.4870000000001</v>
      </c>
      <c r="L56" s="4">
        <v>155.91300000000001</v>
      </c>
      <c r="M56" s="4">
        <v>1949.9659999999999</v>
      </c>
      <c r="N56" s="4">
        <v>1138.521</v>
      </c>
      <c r="O56" s="4">
        <v>393.666</v>
      </c>
      <c r="P56" s="4">
        <v>416.21899999999999</v>
      </c>
      <c r="Q56" s="4">
        <v>218.63399999999999</v>
      </c>
      <c r="R56" s="4">
        <v>68.489000000000004</v>
      </c>
      <c r="S56" s="4">
        <v>2063.54</v>
      </c>
      <c r="T56" s="4">
        <v>2168.6</v>
      </c>
      <c r="U56" s="4">
        <v>3549.404</v>
      </c>
      <c r="V56" s="4">
        <v>3227.2069999999999</v>
      </c>
      <c r="W56" s="4">
        <v>2907.9690000000001</v>
      </c>
      <c r="X56" s="4">
        <v>4113.6019999999999</v>
      </c>
      <c r="Y56">
        <v>31.99</v>
      </c>
      <c r="Z56">
        <v>3449.5455000000002</v>
      </c>
      <c r="AA56" t="s">
        <v>32</v>
      </c>
      <c r="AB56">
        <v>3</v>
      </c>
      <c r="AC56" t="s">
        <v>468</v>
      </c>
      <c r="AD56" s="5">
        <f t="shared" si="0"/>
        <v>8.6181721217286927E-2</v>
      </c>
      <c r="AE56" s="5">
        <f t="shared" si="1"/>
        <v>7.8721062313749313E-2</v>
      </c>
      <c r="AF56" s="5">
        <f t="shared" si="2"/>
        <v>3.2366131555194307E-2</v>
      </c>
      <c r="AG56" s="5">
        <f t="shared" si="3"/>
        <v>0.32076399305348163</v>
      </c>
      <c r="AH56" s="5">
        <f t="shared" si="4"/>
        <v>1.6367259983399429</v>
      </c>
      <c r="AI56" s="5">
        <f t="shared" si="5"/>
        <v>2.7284170112368726</v>
      </c>
      <c r="AJ56" s="5">
        <f t="shared" si="6"/>
        <v>1.5838671033238529</v>
      </c>
      <c r="AK56" s="5">
        <f t="shared" si="7"/>
        <v>0.31994639099972838</v>
      </c>
      <c r="AL56" s="5">
        <f t="shared" si="8"/>
        <v>1.4241847274739465</v>
      </c>
      <c r="AM56" s="10">
        <f t="shared" si="9"/>
        <v>6.4403932821616818</v>
      </c>
    </row>
    <row r="57" spans="1:39" x14ac:dyDescent="0.3">
      <c r="A57">
        <v>2152</v>
      </c>
      <c r="B57" t="s">
        <v>633</v>
      </c>
      <c r="C57" t="s">
        <v>58</v>
      </c>
      <c r="D57" s="1">
        <v>43202</v>
      </c>
      <c r="E57">
        <v>28</v>
      </c>
      <c r="F57" t="s">
        <v>634</v>
      </c>
      <c r="G57" s="4">
        <v>134.58500000000001</v>
      </c>
      <c r="H57" s="4">
        <v>323.25400000000002</v>
      </c>
      <c r="I57" s="4">
        <v>7309.4939999999997</v>
      </c>
      <c r="J57" s="4">
        <v>331.43400000000003</v>
      </c>
      <c r="K57" s="4">
        <v>2909.4780000000001</v>
      </c>
      <c r="L57" s="4">
        <v>359.86</v>
      </c>
      <c r="M57" s="4">
        <v>2617.8649999999998</v>
      </c>
      <c r="N57" s="4">
        <v>291.613</v>
      </c>
      <c r="O57" s="4">
        <v>181.72200000000001</v>
      </c>
      <c r="P57" s="4">
        <v>473.92200000000003</v>
      </c>
      <c r="Q57" s="4">
        <v>282.92099999999999</v>
      </c>
      <c r="R57" s="4">
        <v>65.248999999999995</v>
      </c>
      <c r="S57" s="4">
        <v>3652.9639999999999</v>
      </c>
      <c r="T57" s="4">
        <v>2900.7860000000001</v>
      </c>
      <c r="U57" s="4">
        <v>3386.59</v>
      </c>
      <c r="V57" s="4">
        <v>4068.5819999999999</v>
      </c>
      <c r="W57" s="4">
        <v>2876.5990000000002</v>
      </c>
      <c r="X57" s="4">
        <v>2047.0830000000001</v>
      </c>
      <c r="Y57">
        <v>9.7899999999999991</v>
      </c>
      <c r="Z57">
        <v>3094.7134999999998</v>
      </c>
      <c r="AA57" t="s">
        <v>32</v>
      </c>
      <c r="AB57">
        <v>3</v>
      </c>
      <c r="AC57" t="s">
        <v>468</v>
      </c>
      <c r="AD57" s="5">
        <f t="shared" si="0"/>
        <v>3.6105136139045486E-2</v>
      </c>
      <c r="AE57" s="5">
        <f t="shared" si="1"/>
        <v>4.4223854619758911E-2</v>
      </c>
      <c r="AF57" s="5">
        <f t="shared" si="2"/>
        <v>1.9911958802212474E-2</v>
      </c>
      <c r="AG57" s="5">
        <f t="shared" si="3"/>
        <v>8.6108150086074781E-2</v>
      </c>
      <c r="AH57" s="5">
        <f t="shared" si="4"/>
        <v>1.1674732296694759</v>
      </c>
      <c r="AI57" s="5">
        <f t="shared" si="5"/>
        <v>0.69934292984921576</v>
      </c>
      <c r="AJ57" s="5">
        <f t="shared" si="6"/>
        <v>1.111393444658147</v>
      </c>
      <c r="AK57" s="5">
        <f t="shared" si="7"/>
        <v>9.7866585562468439E-2</v>
      </c>
      <c r="AL57" s="5">
        <f t="shared" si="8"/>
        <v>1.0029964292436602</v>
      </c>
      <c r="AM57" s="10">
        <f t="shared" si="9"/>
        <v>25.065734380840361</v>
      </c>
    </row>
    <row r="58" spans="1:39" x14ac:dyDescent="0.3">
      <c r="A58">
        <v>2157</v>
      </c>
      <c r="B58" t="s">
        <v>635</v>
      </c>
      <c r="C58" t="s">
        <v>58</v>
      </c>
      <c r="D58" s="1">
        <v>39954</v>
      </c>
      <c r="E58">
        <v>21</v>
      </c>
      <c r="F58" t="s">
        <v>636</v>
      </c>
      <c r="G58" s="4">
        <v>272.13799999999998</v>
      </c>
      <c r="H58" s="4">
        <v>784.97199999999998</v>
      </c>
      <c r="I58" s="4">
        <v>7304.6149999999998</v>
      </c>
      <c r="J58" s="4">
        <v>1028.501</v>
      </c>
      <c r="K58" s="4">
        <v>4469.3559999999998</v>
      </c>
      <c r="L58" s="4">
        <v>380.786</v>
      </c>
      <c r="M58" s="4">
        <v>1860.0650000000001</v>
      </c>
      <c r="N58" s="4">
        <v>2609.2910000000002</v>
      </c>
      <c r="O58" s="4">
        <v>349.05799999999999</v>
      </c>
      <c r="P58" s="4">
        <v>116.925</v>
      </c>
      <c r="Q58" s="4">
        <v>1460.7940000000001</v>
      </c>
      <c r="R58" s="4">
        <v>734.88599999999997</v>
      </c>
      <c r="S58" s="4">
        <v>4159.8940000000002</v>
      </c>
      <c r="T58" s="4">
        <v>3320.8589999999999</v>
      </c>
      <c r="U58" s="4">
        <v>4606.585</v>
      </c>
      <c r="V58" s="4">
        <v>5311.5630000000001</v>
      </c>
      <c r="W58" s="4">
        <v>1342.252</v>
      </c>
      <c r="X58" s="4">
        <v>411.34399999999999</v>
      </c>
      <c r="Y58">
        <v>22.33</v>
      </c>
      <c r="Z58">
        <v>2917.9360000000001</v>
      </c>
      <c r="AA58" t="s">
        <v>32</v>
      </c>
      <c r="AB58">
        <v>3</v>
      </c>
      <c r="AC58" t="s">
        <v>468</v>
      </c>
      <c r="AD58" s="5">
        <f t="shared" si="0"/>
        <v>5.4876777398361054E-2</v>
      </c>
      <c r="AE58" s="5">
        <f t="shared" si="1"/>
        <v>0.10746247406605276</v>
      </c>
      <c r="AF58" s="5">
        <f t="shared" si="2"/>
        <v>0.19647380417452626</v>
      </c>
      <c r="AG58" s="5">
        <f t="shared" si="3"/>
        <v>0.56642632231902812</v>
      </c>
      <c r="AH58" s="5">
        <f t="shared" si="4"/>
        <v>1.3871666939186518</v>
      </c>
      <c r="AI58" s="5">
        <f t="shared" si="5"/>
        <v>8.7962454564892028</v>
      </c>
      <c r="AJ58" s="5">
        <f t="shared" si="6"/>
        <v>2.4027956012289891</v>
      </c>
      <c r="AK58" s="5">
        <f t="shared" si="7"/>
        <v>0.22326756154504909</v>
      </c>
      <c r="AL58" s="5">
        <f t="shared" si="8"/>
        <v>1.345843349567085</v>
      </c>
      <c r="AM58" s="10">
        <f t="shared" si="9"/>
        <v>2.7994635324308401</v>
      </c>
    </row>
    <row r="59" spans="1:39" x14ac:dyDescent="0.3">
      <c r="A59">
        <v>2186</v>
      </c>
      <c r="B59" t="s">
        <v>641</v>
      </c>
      <c r="C59" t="s">
        <v>58</v>
      </c>
      <c r="D59" s="1">
        <v>30709</v>
      </c>
      <c r="E59">
        <v>18</v>
      </c>
      <c r="F59" t="s">
        <v>642</v>
      </c>
      <c r="G59" s="4">
        <v>336.822</v>
      </c>
      <c r="H59" s="4">
        <v>1033.308</v>
      </c>
      <c r="I59" s="4">
        <v>7215.2709999999997</v>
      </c>
      <c r="J59" s="4">
        <v>1235.135</v>
      </c>
      <c r="K59" s="4">
        <v>2104.0030000000002</v>
      </c>
      <c r="L59" s="4">
        <v>0</v>
      </c>
      <c r="M59" s="4">
        <v>3063.2669999999998</v>
      </c>
      <c r="N59" s="4">
        <v>-959.26400000000001</v>
      </c>
      <c r="O59" s="4">
        <v>845.93499999999995</v>
      </c>
      <c r="P59" s="4">
        <v>2625.59</v>
      </c>
      <c r="Q59" s="4">
        <v>0</v>
      </c>
      <c r="R59" s="4">
        <v>55.078000000000003</v>
      </c>
      <c r="S59" s="4">
        <v>1844.7470000000001</v>
      </c>
      <c r="T59" s="4">
        <v>3063.2669999999998</v>
      </c>
      <c r="U59" s="4">
        <v>4729.5929999999998</v>
      </c>
      <c r="V59" s="4">
        <v>2663.6779999999999</v>
      </c>
      <c r="W59" s="4">
        <v>3369.5340000000001</v>
      </c>
      <c r="X59" s="4">
        <v>2895.23</v>
      </c>
      <c r="Y59">
        <v>26.12</v>
      </c>
      <c r="Z59">
        <v>3414.50875</v>
      </c>
      <c r="AA59" t="s">
        <v>32</v>
      </c>
      <c r="AB59">
        <v>3</v>
      </c>
      <c r="AC59" t="s">
        <v>468</v>
      </c>
      <c r="AD59" s="5">
        <f t="shared" si="0"/>
        <v>9.1115826810622802E-2</v>
      </c>
      <c r="AE59" s="5">
        <f t="shared" si="1"/>
        <v>0.14321125291066683</v>
      </c>
      <c r="AF59" s="5">
        <f t="shared" si="2"/>
        <v>2.2444108757635983E-2</v>
      </c>
      <c r="AG59" s="5">
        <f t="shared" si="3"/>
        <v>-0.20282168042789306</v>
      </c>
      <c r="AH59" s="5">
        <f t="shared" si="4"/>
        <v>1.5439702121950192</v>
      </c>
      <c r="AI59" s="5">
        <f t="shared" si="5"/>
        <v>0.47042188612845109</v>
      </c>
      <c r="AJ59" s="5">
        <f t="shared" si="6"/>
        <v>0.68684936703199562</v>
      </c>
      <c r="AK59" s="5">
        <f t="shared" si="7"/>
        <v>0.26115037805578623</v>
      </c>
      <c r="AL59" s="5">
        <f t="shared" si="8"/>
        <v>0.68684936703199562</v>
      </c>
      <c r="AM59" s="10">
        <f t="shared" si="9"/>
        <v>-7.5216739083297188</v>
      </c>
    </row>
    <row r="60" spans="1:39" x14ac:dyDescent="0.3">
      <c r="A60">
        <v>2199</v>
      </c>
      <c r="B60" t="s">
        <v>643</v>
      </c>
      <c r="C60" t="s">
        <v>58</v>
      </c>
      <c r="D60" s="1">
        <v>40603</v>
      </c>
      <c r="E60">
        <v>20</v>
      </c>
      <c r="F60" t="s">
        <v>644</v>
      </c>
      <c r="G60" s="4">
        <v>3.37</v>
      </c>
      <c r="H60" s="4">
        <v>128.33099999999999</v>
      </c>
      <c r="I60" s="4">
        <v>7174.076</v>
      </c>
      <c r="J60" s="4">
        <v>183.458</v>
      </c>
      <c r="K60" s="4">
        <v>2181.0990000000002</v>
      </c>
      <c r="L60" s="4">
        <v>0</v>
      </c>
      <c r="M60" s="4">
        <v>1815.34</v>
      </c>
      <c r="N60" s="4">
        <v>365.75900000000001</v>
      </c>
      <c r="O60" s="4">
        <v>18.91</v>
      </c>
      <c r="P60" s="4">
        <v>115.86</v>
      </c>
      <c r="Q60" s="4">
        <v>234.09100000000001</v>
      </c>
      <c r="R60" s="4">
        <v>33.344000000000001</v>
      </c>
      <c r="S60" s="4">
        <v>1948.171</v>
      </c>
      <c r="T60" s="4">
        <v>2049.431</v>
      </c>
      <c r="U60" s="4">
        <v>2336.6579999999999</v>
      </c>
      <c r="V60" s="4">
        <v>2197.9340000000002</v>
      </c>
      <c r="W60" s="4">
        <v>1935.933</v>
      </c>
      <c r="X60" s="4">
        <v>1698.268</v>
      </c>
      <c r="Y60">
        <v>7.85</v>
      </c>
      <c r="Z60">
        <v>2042.1982499999999</v>
      </c>
      <c r="AA60" t="s">
        <v>32</v>
      </c>
      <c r="AB60">
        <v>3</v>
      </c>
      <c r="AC60" t="s">
        <v>468</v>
      </c>
      <c r="AD60" s="5">
        <f t="shared" si="0"/>
        <v>1.4863520246143423E-3</v>
      </c>
      <c r="AE60" s="5">
        <f t="shared" si="1"/>
        <v>1.7888157304160143E-2</v>
      </c>
      <c r="AF60" s="5">
        <f t="shared" si="2"/>
        <v>1.6682000859515281E-2</v>
      </c>
      <c r="AG60" s="5">
        <f t="shared" si="3"/>
        <v>0.15653082308151214</v>
      </c>
      <c r="AH60" s="5">
        <f t="shared" si="4"/>
        <v>1.1401496317758442</v>
      </c>
      <c r="AI60" s="5">
        <f t="shared" si="5"/>
        <v>1.5834455377179355</v>
      </c>
      <c r="AJ60" s="5">
        <f t="shared" si="6"/>
        <v>1.2014823669395267</v>
      </c>
      <c r="AK60" s="5">
        <f t="shared" si="7"/>
        <v>7.8512987352021571E-2</v>
      </c>
      <c r="AL60" s="5">
        <f t="shared" si="8"/>
        <v>1.0642461249000332</v>
      </c>
      <c r="AM60" s="10">
        <f t="shared" si="9"/>
        <v>19.614215918131883</v>
      </c>
    </row>
    <row r="61" spans="1:39" x14ac:dyDescent="0.3">
      <c r="A61">
        <v>3225</v>
      </c>
      <c r="B61" t="s">
        <v>675</v>
      </c>
      <c r="C61" t="s">
        <v>58</v>
      </c>
      <c r="D61" s="1">
        <v>39378</v>
      </c>
      <c r="E61">
        <v>9</v>
      </c>
      <c r="F61" t="s">
        <v>676</v>
      </c>
      <c r="G61" s="4">
        <v>1.6839999999999999</v>
      </c>
      <c r="H61" s="4">
        <v>25.466000000000001</v>
      </c>
      <c r="I61" s="4">
        <v>4928.8599999999997</v>
      </c>
      <c r="J61" s="4">
        <v>89.652000000000001</v>
      </c>
      <c r="K61" s="4">
        <v>2197.1129999999998</v>
      </c>
      <c r="L61" s="4">
        <v>202.15</v>
      </c>
      <c r="M61" s="4">
        <v>1650.05</v>
      </c>
      <c r="N61" s="4">
        <v>547.06299999999999</v>
      </c>
      <c r="O61" s="4">
        <v>3.5870000000000002</v>
      </c>
      <c r="P61" s="4">
        <v>44.253</v>
      </c>
      <c r="Q61" s="4">
        <v>337.40600000000001</v>
      </c>
      <c r="R61" s="4">
        <v>12.704000000000001</v>
      </c>
      <c r="S61" s="4">
        <v>1116.355</v>
      </c>
      <c r="T61" s="4">
        <v>1987.4559999999999</v>
      </c>
      <c r="U61" s="4">
        <v>2241.366</v>
      </c>
      <c r="V61" s="4">
        <v>1356.0820000000001</v>
      </c>
      <c r="W61" s="4">
        <v>914.17700000000002</v>
      </c>
      <c r="X61" s="4">
        <v>840.553</v>
      </c>
      <c r="Y61">
        <v>4</v>
      </c>
      <c r="Z61">
        <v>1338.0445</v>
      </c>
      <c r="AA61" t="s">
        <v>32</v>
      </c>
      <c r="AB61">
        <v>2</v>
      </c>
      <c r="AC61" t="s">
        <v>468</v>
      </c>
      <c r="AD61" s="5">
        <f t="shared" si="0"/>
        <v>9.362192309659513E-4</v>
      </c>
      <c r="AE61" s="5">
        <f t="shared" si="1"/>
        <v>5.166711978023316E-3</v>
      </c>
      <c r="AF61" s="5">
        <f t="shared" si="2"/>
        <v>8.1860654530833236E-3</v>
      </c>
      <c r="AG61" s="5">
        <f t="shared" si="3"/>
        <v>0.24407571097268363</v>
      </c>
      <c r="AH61" s="5">
        <f t="shared" si="4"/>
        <v>1.1277562874347911</v>
      </c>
      <c r="AI61" s="5">
        <f t="shared" si="5"/>
        <v>2.0258965493864824</v>
      </c>
      <c r="AJ61" s="5">
        <f t="shared" si="6"/>
        <v>1.3315432865670735</v>
      </c>
      <c r="AK61" s="5">
        <f t="shared" si="7"/>
        <v>3.999882214685152E-2</v>
      </c>
      <c r="AL61" s="5">
        <f t="shared" si="8"/>
        <v>1.1054901341212082</v>
      </c>
      <c r="AM61" s="10">
        <f t="shared" si="9"/>
        <v>9.0096753024788736</v>
      </c>
    </row>
    <row r="62" spans="1:39" x14ac:dyDescent="0.3">
      <c r="A62">
        <v>3399</v>
      </c>
      <c r="B62" t="s">
        <v>679</v>
      </c>
      <c r="C62" t="s">
        <v>58</v>
      </c>
      <c r="D62" s="1">
        <v>39195</v>
      </c>
      <c r="E62">
        <v>57</v>
      </c>
      <c r="F62" t="s">
        <v>680</v>
      </c>
      <c r="G62" s="4">
        <v>115.877</v>
      </c>
      <c r="H62" s="4">
        <v>298.52600000000001</v>
      </c>
      <c r="I62" s="4">
        <v>4693.1639999999998</v>
      </c>
      <c r="J62" s="4">
        <v>382.97500000000002</v>
      </c>
      <c r="K62" s="4">
        <v>1298.6279999999999</v>
      </c>
      <c r="L62" s="4">
        <v>10.65</v>
      </c>
      <c r="M62" s="4">
        <v>906.798</v>
      </c>
      <c r="N62" s="4">
        <v>391.83</v>
      </c>
      <c r="O62" s="4">
        <v>176.21</v>
      </c>
      <c r="P62" s="4">
        <v>457.96300000000002</v>
      </c>
      <c r="Q62" s="4">
        <v>329.28899999999999</v>
      </c>
      <c r="R62" s="4">
        <v>18.756</v>
      </c>
      <c r="S62" s="4">
        <v>764.02300000000002</v>
      </c>
      <c r="T62" s="4">
        <v>1236.087</v>
      </c>
      <c r="U62" s="4">
        <v>1784.6469999999999</v>
      </c>
      <c r="V62" s="4">
        <v>1169.654</v>
      </c>
      <c r="W62" s="4">
        <v>886.85500000000002</v>
      </c>
      <c r="X62" s="4">
        <v>586.745</v>
      </c>
      <c r="Y62">
        <v>21.46</v>
      </c>
      <c r="Z62">
        <v>1106.97525</v>
      </c>
      <c r="AA62" t="s">
        <v>32</v>
      </c>
      <c r="AB62">
        <v>2</v>
      </c>
      <c r="AC62" t="s">
        <v>468</v>
      </c>
      <c r="AD62" s="5">
        <f t="shared" si="0"/>
        <v>7.8446305911279865E-2</v>
      </c>
      <c r="AE62" s="5">
        <f t="shared" si="1"/>
        <v>6.3608687017969123E-2</v>
      </c>
      <c r="AF62" s="5">
        <f t="shared" si="2"/>
        <v>1.8754968476733778E-2</v>
      </c>
      <c r="AG62" s="5">
        <f t="shared" si="3"/>
        <v>0.21955602424457049</v>
      </c>
      <c r="AH62" s="5">
        <f t="shared" si="4"/>
        <v>1.4437875327545715</v>
      </c>
      <c r="AI62" s="5">
        <f t="shared" si="5"/>
        <v>0.83625751425333483</v>
      </c>
      <c r="AJ62" s="5">
        <f t="shared" si="6"/>
        <v>1.432102849807785</v>
      </c>
      <c r="AK62" s="5">
        <f t="shared" si="7"/>
        <v>0.21459425869653775</v>
      </c>
      <c r="AL62" s="5">
        <f t="shared" si="8"/>
        <v>1.0505959531974691</v>
      </c>
      <c r="AM62" s="10">
        <f t="shared" si="9"/>
        <v>11.97755148916622</v>
      </c>
    </row>
    <row r="63" spans="1:39" x14ac:dyDescent="0.3">
      <c r="A63">
        <v>3682</v>
      </c>
      <c r="B63" t="s">
        <v>681</v>
      </c>
      <c r="C63" t="s">
        <v>58</v>
      </c>
      <c r="D63" s="1">
        <v>40095</v>
      </c>
      <c r="E63">
        <v>18</v>
      </c>
      <c r="F63" t="s">
        <v>682</v>
      </c>
      <c r="G63" s="4">
        <v>1.454</v>
      </c>
      <c r="H63" s="4">
        <v>80.323999999999998</v>
      </c>
      <c r="I63" s="4">
        <v>4344.8459999999995</v>
      </c>
      <c r="J63" s="4">
        <v>204.38800000000001</v>
      </c>
      <c r="K63" s="4">
        <v>2288.0920000000001</v>
      </c>
      <c r="L63" s="4">
        <v>699.67</v>
      </c>
      <c r="M63" s="4">
        <v>1384.865</v>
      </c>
      <c r="N63" s="4">
        <v>903.22699999999998</v>
      </c>
      <c r="O63" s="4">
        <v>48.476999999999997</v>
      </c>
      <c r="P63" s="4">
        <v>261.46800000000002</v>
      </c>
      <c r="Q63" s="4">
        <v>903.11599999999999</v>
      </c>
      <c r="R63" s="4">
        <v>17.731999999999999</v>
      </c>
      <c r="S63" s="4">
        <v>757.66399999999999</v>
      </c>
      <c r="T63" s="4">
        <v>2287.9810000000002</v>
      </c>
      <c r="U63" s="4">
        <v>2554.904</v>
      </c>
      <c r="V63" s="4">
        <v>992.78499999999997</v>
      </c>
      <c r="W63" s="4">
        <v>806.94100000000003</v>
      </c>
      <c r="X63" s="4">
        <v>634.47699999999998</v>
      </c>
      <c r="Y63">
        <v>8</v>
      </c>
      <c r="Z63">
        <v>1247.27675</v>
      </c>
      <c r="AA63" t="s">
        <v>32</v>
      </c>
      <c r="AB63">
        <v>2</v>
      </c>
      <c r="AC63" t="s">
        <v>468</v>
      </c>
      <c r="AD63" s="5">
        <f t="shared" si="0"/>
        <v>8.1968853526901602E-4</v>
      </c>
      <c r="AE63" s="5">
        <f t="shared" si="1"/>
        <v>1.8487191490791619E-2</v>
      </c>
      <c r="AF63" s="5">
        <f t="shared" si="2"/>
        <v>1.1644167327446237E-2</v>
      </c>
      <c r="AG63" s="5">
        <f t="shared" si="3"/>
        <v>0.3535267861336473</v>
      </c>
      <c r="AH63" s="5">
        <f t="shared" si="4"/>
        <v>1.1166631191430347</v>
      </c>
      <c r="AI63" s="5">
        <f t="shared" si="5"/>
        <v>0.78169412700598162</v>
      </c>
      <c r="AJ63" s="5">
        <f t="shared" si="6"/>
        <v>1.6522130315951375</v>
      </c>
      <c r="AK63" s="5">
        <f t="shared" si="7"/>
        <v>7.9998309134120107E-2</v>
      </c>
      <c r="AL63" s="5">
        <f t="shared" si="8"/>
        <v>1.0000485143888869</v>
      </c>
      <c r="AM63" s="10">
        <f t="shared" si="9"/>
        <v>4.8103588577400807</v>
      </c>
    </row>
    <row r="64" spans="1:39" x14ac:dyDescent="0.3">
      <c r="A64">
        <v>3738</v>
      </c>
      <c r="B64" t="s">
        <v>683</v>
      </c>
      <c r="C64" t="s">
        <v>42</v>
      </c>
      <c r="D64" s="1">
        <v>42683</v>
      </c>
      <c r="E64">
        <v>3</v>
      </c>
      <c r="F64" t="s">
        <v>684</v>
      </c>
      <c r="G64" s="4">
        <v>56.573</v>
      </c>
      <c r="H64" s="4">
        <v>94.366</v>
      </c>
      <c r="I64" s="4">
        <v>4278.8190000000004</v>
      </c>
      <c r="J64" s="4">
        <v>326.39400000000001</v>
      </c>
      <c r="K64" s="4">
        <v>962.78</v>
      </c>
      <c r="L64" s="4">
        <v>66.5</v>
      </c>
      <c r="M64" s="4">
        <v>525.29200000000003</v>
      </c>
      <c r="N64" s="4">
        <v>437.488</v>
      </c>
      <c r="O64" s="4">
        <v>58.982999999999997</v>
      </c>
      <c r="P64" s="4">
        <v>55.497999999999998</v>
      </c>
      <c r="Q64" s="4">
        <v>120.771</v>
      </c>
      <c r="R64" s="4">
        <v>8.3390000000000004</v>
      </c>
      <c r="S64" s="4">
        <v>470.57799999999997</v>
      </c>
      <c r="T64" s="4">
        <v>646.06299999999999</v>
      </c>
      <c r="U64" s="4">
        <v>1018.287</v>
      </c>
      <c r="V64" s="4">
        <v>776.98299999999995</v>
      </c>
      <c r="W64" s="4">
        <v>1882.3710000000001</v>
      </c>
      <c r="X64" s="4">
        <v>370.93200000000002</v>
      </c>
      <c r="Y64">
        <v>32.049999999999997</v>
      </c>
      <c r="Z64">
        <v>1012.14325</v>
      </c>
      <c r="AA64" t="s">
        <v>32</v>
      </c>
      <c r="AB64">
        <v>2</v>
      </c>
      <c r="AC64" t="s">
        <v>468</v>
      </c>
      <c r="AD64" s="5">
        <f t="shared" si="0"/>
        <v>6.3024503278058461E-2</v>
      </c>
      <c r="AE64" s="5">
        <f t="shared" si="1"/>
        <v>2.2054216362038213E-2</v>
      </c>
      <c r="AF64" s="5">
        <f t="shared" si="2"/>
        <v>1.4935865690047203E-2</v>
      </c>
      <c r="AG64" s="5">
        <f t="shared" si="3"/>
        <v>0.42963133183473812</v>
      </c>
      <c r="AH64" s="5">
        <f t="shared" si="4"/>
        <v>1.5761419551963201</v>
      </c>
      <c r="AI64" s="5">
        <f t="shared" si="5"/>
        <v>5.8811849075642373</v>
      </c>
      <c r="AJ64" s="5">
        <f t="shared" si="6"/>
        <v>1.8328472544794132</v>
      </c>
      <c r="AK64" s="5">
        <f t="shared" si="7"/>
        <v>0.32053242357017225</v>
      </c>
      <c r="AL64" s="5">
        <f t="shared" si="8"/>
        <v>1.4902261853720147</v>
      </c>
      <c r="AM64" s="10">
        <f t="shared" si="9"/>
        <v>9.780425977398238</v>
      </c>
    </row>
    <row r="65" spans="1:39" x14ac:dyDescent="0.3">
      <c r="A65">
        <v>3771</v>
      </c>
      <c r="B65" t="s">
        <v>685</v>
      </c>
      <c r="C65" t="s">
        <v>58</v>
      </c>
      <c r="D65" s="1">
        <v>43251</v>
      </c>
      <c r="E65">
        <v>12</v>
      </c>
      <c r="F65" t="s">
        <v>686</v>
      </c>
      <c r="G65" s="4">
        <v>119.506</v>
      </c>
      <c r="H65" s="4">
        <v>232.489</v>
      </c>
      <c r="I65" s="4">
        <v>4244.2849999999999</v>
      </c>
      <c r="J65" s="4">
        <v>160.32300000000001</v>
      </c>
      <c r="K65" s="4">
        <v>923.346</v>
      </c>
      <c r="L65" s="4">
        <v>5.218</v>
      </c>
      <c r="M65" s="4">
        <v>1023.193</v>
      </c>
      <c r="N65" s="4">
        <v>-99.846999999999994</v>
      </c>
      <c r="O65" s="4">
        <v>161.26400000000001</v>
      </c>
      <c r="P65" s="4">
        <v>722.82399999999996</v>
      </c>
      <c r="Q65" s="4">
        <v>357.49799999999999</v>
      </c>
      <c r="R65" s="4">
        <v>31.428000000000001</v>
      </c>
      <c r="S65" s="4">
        <v>1345.681</v>
      </c>
      <c r="T65" s="4">
        <v>1380.691</v>
      </c>
      <c r="U65" s="4">
        <v>1656.9259999999999</v>
      </c>
      <c r="V65" s="4">
        <v>1462.836</v>
      </c>
      <c r="W65" s="4">
        <v>1325.6179999999999</v>
      </c>
      <c r="X65" s="4">
        <v>645.31100000000004</v>
      </c>
      <c r="Y65">
        <v>9.68</v>
      </c>
      <c r="Z65">
        <v>1272.67275</v>
      </c>
      <c r="AA65" t="s">
        <v>32</v>
      </c>
      <c r="AB65">
        <v>2</v>
      </c>
      <c r="AC65" t="s">
        <v>468</v>
      </c>
      <c r="AD65" s="5">
        <f t="shared" si="0"/>
        <v>7.661225439632896E-2</v>
      </c>
      <c r="AE65" s="5">
        <f t="shared" si="1"/>
        <v>5.4776953008575061E-2</v>
      </c>
      <c r="AF65" s="5">
        <f t="shared" si="2"/>
        <v>2.3054814236648555E-2</v>
      </c>
      <c r="AG65" s="5">
        <f t="shared" si="3"/>
        <v>-6.0260385798762285E-2</v>
      </c>
      <c r="AH65" s="5">
        <f t="shared" si="4"/>
        <v>1.2000701098218209</v>
      </c>
      <c r="AI65" s="5">
        <f t="shared" si="5"/>
        <v>0.2218008809890098</v>
      </c>
      <c r="AJ65" s="5">
        <f t="shared" si="6"/>
        <v>0.90241625968903227</v>
      </c>
      <c r="AK65" s="5">
        <f t="shared" si="7"/>
        <v>9.6759300053231106E-2</v>
      </c>
      <c r="AL65" s="5">
        <f t="shared" si="8"/>
        <v>0.6687564415209486</v>
      </c>
      <c r="AM65" s="10">
        <f t="shared" si="9"/>
        <v>-42.507887067212835</v>
      </c>
    </row>
    <row r="66" spans="1:39" x14ac:dyDescent="0.3">
      <c r="A66">
        <v>3973</v>
      </c>
      <c r="B66" t="s">
        <v>687</v>
      </c>
      <c r="C66" t="s">
        <v>58</v>
      </c>
      <c r="D66" s="1">
        <v>26976</v>
      </c>
      <c r="E66">
        <v>8</v>
      </c>
      <c r="F66" t="s">
        <v>688</v>
      </c>
      <c r="G66" s="4">
        <v>11.37</v>
      </c>
      <c r="H66" s="4">
        <v>65.766000000000005</v>
      </c>
      <c r="I66" s="4">
        <v>4032.8440000000001</v>
      </c>
      <c r="J66" s="4">
        <v>84.662999999999997</v>
      </c>
      <c r="K66" s="4">
        <v>1238.9100000000001</v>
      </c>
      <c r="L66" s="4">
        <v>19.8</v>
      </c>
      <c r="M66" s="4">
        <v>880.65300000000002</v>
      </c>
      <c r="N66" s="4">
        <v>358.25700000000001</v>
      </c>
      <c r="O66" s="4">
        <v>25.375</v>
      </c>
      <c r="P66" s="4">
        <v>37.881999999999998</v>
      </c>
      <c r="Q66" s="4">
        <v>176.67099999999999</v>
      </c>
      <c r="R66" s="4">
        <v>9.3160000000000007</v>
      </c>
      <c r="S66" s="4">
        <v>610.10199999999998</v>
      </c>
      <c r="T66" s="4">
        <v>1057.3240000000001</v>
      </c>
      <c r="U66" s="4">
        <v>1294.722</v>
      </c>
      <c r="V66" s="4">
        <v>1494.4169999999999</v>
      </c>
      <c r="W66" s="4">
        <v>1057.7190000000001</v>
      </c>
      <c r="X66" s="4">
        <v>1208.97</v>
      </c>
      <c r="Y66">
        <v>6.54</v>
      </c>
      <c r="Z66">
        <v>1263.9570000000001</v>
      </c>
      <c r="AA66" t="s">
        <v>32</v>
      </c>
      <c r="AB66">
        <v>2</v>
      </c>
      <c r="AC66" t="s">
        <v>468</v>
      </c>
      <c r="AD66" s="5">
        <f t="shared" si="0"/>
        <v>8.1530536843090282E-3</v>
      </c>
      <c r="AE66" s="5">
        <f t="shared" si="1"/>
        <v>1.6307598310274337E-2</v>
      </c>
      <c r="AF66" s="5">
        <f t="shared" si="2"/>
        <v>1.1174109075905018E-2</v>
      </c>
      <c r="AG66" s="5">
        <f t="shared" si="3"/>
        <v>0.27670573296815842</v>
      </c>
      <c r="AH66" s="5">
        <f t="shared" si="4"/>
        <v>1.2245272026360887</v>
      </c>
      <c r="AI66" s="5">
        <f t="shared" si="5"/>
        <v>2.2349136793199937</v>
      </c>
      <c r="AJ66" s="5">
        <f t="shared" si="6"/>
        <v>1.4068083569805587</v>
      </c>
      <c r="AK66" s="5">
        <f t="shared" si="7"/>
        <v>6.539087155389342E-2</v>
      </c>
      <c r="AL66" s="5">
        <f t="shared" si="8"/>
        <v>1.1717411124688364</v>
      </c>
      <c r="AM66" s="10">
        <f t="shared" si="9"/>
        <v>11.256846342151025</v>
      </c>
    </row>
    <row r="67" spans="1:39" x14ac:dyDescent="0.3">
      <c r="A67">
        <v>4007</v>
      </c>
      <c r="B67" t="s">
        <v>689</v>
      </c>
      <c r="C67" t="s">
        <v>143</v>
      </c>
      <c r="D67" s="1">
        <v>40366</v>
      </c>
      <c r="E67">
        <v>8</v>
      </c>
      <c r="F67" t="s">
        <v>690</v>
      </c>
      <c r="G67" s="4">
        <v>38.314</v>
      </c>
      <c r="H67" s="4">
        <v>117.709</v>
      </c>
      <c r="I67" s="4">
        <v>3999.55</v>
      </c>
      <c r="J67" s="4">
        <v>215.352</v>
      </c>
      <c r="K67" s="4">
        <v>1022.775</v>
      </c>
      <c r="L67" s="4">
        <v>12.702999999999999</v>
      </c>
      <c r="M67" s="4">
        <v>836.04200000000003</v>
      </c>
      <c r="N67" s="4">
        <v>186.733</v>
      </c>
      <c r="O67" s="4">
        <v>62.53</v>
      </c>
      <c r="P67" s="4">
        <v>443.678</v>
      </c>
      <c r="Q67" s="4">
        <v>284.96899999999999</v>
      </c>
      <c r="R67" s="4">
        <v>15.474</v>
      </c>
      <c r="S67" s="4">
        <v>736.73500000000001</v>
      </c>
      <c r="T67" s="4">
        <v>1121.011</v>
      </c>
      <c r="U67" s="4">
        <v>1485.963</v>
      </c>
      <c r="V67" s="4">
        <v>1044.9970000000001</v>
      </c>
      <c r="W67" s="4">
        <v>1115.347</v>
      </c>
      <c r="X67" s="4">
        <v>960.28300000000002</v>
      </c>
      <c r="Y67">
        <v>14.49</v>
      </c>
      <c r="Z67">
        <v>1151.6475</v>
      </c>
      <c r="AA67" t="s">
        <v>32</v>
      </c>
      <c r="AB67">
        <v>2</v>
      </c>
      <c r="AC67" t="s">
        <v>468</v>
      </c>
      <c r="AD67" s="5">
        <f t="shared" ref="AD67:AD130" si="10">G67/((U67+V67)/2)</f>
        <v>3.0276258810885987E-2</v>
      </c>
      <c r="AE67" s="5">
        <f t="shared" ref="AE67:AE130" si="11">H67/I67</f>
        <v>2.9430560938105536E-2</v>
      </c>
      <c r="AF67" s="5">
        <f t="shared" ref="AF67:AF130" si="12">R67/((S67+T67)/2)</f>
        <v>1.6658897395015249E-2</v>
      </c>
      <c r="AG67" s="5">
        <f t="shared" ref="AG67:AG130" si="13">N67/U67</f>
        <v>0.12566463633347533</v>
      </c>
      <c r="AH67" s="5">
        <f t="shared" ref="AH67:AH130" si="14">U67/T67</f>
        <v>1.3255561274599446</v>
      </c>
      <c r="AI67" s="5">
        <f t="shared" ref="AI67:AI130" si="15">J67/P67</f>
        <v>0.48537903614783695</v>
      </c>
      <c r="AJ67" s="5">
        <f t="shared" ref="AJ67:AJ130" si="16">K67/M67</f>
        <v>1.2233536114214356</v>
      </c>
      <c r="AK67" s="5">
        <f t="shared" ref="AK67:AK130" si="17">J67/U67</f>
        <v>0.14492420066986864</v>
      </c>
      <c r="AL67" s="5">
        <f t="shared" ref="AL67:AL130" si="18">K67/T67</f>
        <v>0.91236838889181282</v>
      </c>
      <c r="AM67" s="10">
        <f t="shared" ref="AM67:AM130" si="19">I67/N67</f>
        <v>21.418549479738452</v>
      </c>
    </row>
    <row r="68" spans="1:39" x14ac:dyDescent="0.3">
      <c r="A68">
        <v>4164</v>
      </c>
      <c r="B68" t="s">
        <v>693</v>
      </c>
      <c r="C68" t="s">
        <v>58</v>
      </c>
      <c r="D68" s="1">
        <v>39031</v>
      </c>
      <c r="E68">
        <v>5</v>
      </c>
      <c r="F68" t="s">
        <v>694</v>
      </c>
      <c r="G68" s="4">
        <v>64.474000000000004</v>
      </c>
      <c r="H68" s="4">
        <v>139.65899999999999</v>
      </c>
      <c r="I68" s="4">
        <v>3878.1089999999999</v>
      </c>
      <c r="J68" s="4">
        <v>79.712000000000003</v>
      </c>
      <c r="K68" s="4">
        <v>1563.2380000000001</v>
      </c>
      <c r="L68" s="4">
        <v>8.8559999999999999</v>
      </c>
      <c r="M68" s="4">
        <v>1111.2049999999999</v>
      </c>
      <c r="N68" s="4">
        <v>452.03300000000002</v>
      </c>
      <c r="O68" s="4">
        <v>102.65300000000001</v>
      </c>
      <c r="P68" s="4">
        <v>49.226999999999997</v>
      </c>
      <c r="Q68" s="4">
        <v>403.39600000000002</v>
      </c>
      <c r="R68" s="4">
        <v>0.66</v>
      </c>
      <c r="S68" s="4">
        <v>954.59799999999996</v>
      </c>
      <c r="T68" s="4">
        <v>1514.6010000000001</v>
      </c>
      <c r="U68" s="4">
        <v>1625.364</v>
      </c>
      <c r="V68" s="4">
        <v>996.91700000000003</v>
      </c>
      <c r="W68" s="4">
        <v>819.53800000000001</v>
      </c>
      <c r="X68" s="4">
        <v>295.93099999999998</v>
      </c>
      <c r="Y68">
        <v>4.9000000000000004</v>
      </c>
      <c r="Z68">
        <v>934.4375</v>
      </c>
      <c r="AA68" t="s">
        <v>32</v>
      </c>
      <c r="AB68">
        <v>2</v>
      </c>
      <c r="AC68" t="s">
        <v>468</v>
      </c>
      <c r="AD68" s="5">
        <f t="shared" si="10"/>
        <v>4.9173982498443153E-2</v>
      </c>
      <c r="AE68" s="5">
        <f t="shared" si="11"/>
        <v>3.6012138905843025E-2</v>
      </c>
      <c r="AF68" s="5">
        <f t="shared" si="12"/>
        <v>5.3458631726320961E-4</v>
      </c>
      <c r="AG68" s="5">
        <f t="shared" si="13"/>
        <v>0.27811185679023281</v>
      </c>
      <c r="AH68" s="5">
        <f t="shared" si="14"/>
        <v>1.0731301511091038</v>
      </c>
      <c r="AI68" s="5">
        <f t="shared" si="15"/>
        <v>1.619273975663762</v>
      </c>
      <c r="AJ68" s="5">
        <f t="shared" si="16"/>
        <v>1.4067953257949706</v>
      </c>
      <c r="AK68" s="5">
        <f t="shared" si="17"/>
        <v>4.9042552929682216E-2</v>
      </c>
      <c r="AL68" s="5">
        <f t="shared" si="18"/>
        <v>1.0321120876059107</v>
      </c>
      <c r="AM68" s="10">
        <f t="shared" si="19"/>
        <v>8.5792608061800788</v>
      </c>
    </row>
    <row r="69" spans="1:39" x14ac:dyDescent="0.3">
      <c r="A69">
        <v>4260</v>
      </c>
      <c r="B69" t="s">
        <v>697</v>
      </c>
      <c r="C69" t="s">
        <v>101</v>
      </c>
      <c r="D69" s="1">
        <v>34227</v>
      </c>
      <c r="E69">
        <v>11</v>
      </c>
      <c r="F69" t="s">
        <v>698</v>
      </c>
      <c r="G69" s="4">
        <v>43.406999999999996</v>
      </c>
      <c r="H69" s="4">
        <v>108.373</v>
      </c>
      <c r="I69" s="4">
        <v>3798.1790000000001</v>
      </c>
      <c r="J69" s="4">
        <v>268.68099999999998</v>
      </c>
      <c r="K69" s="4">
        <v>1831.2850000000001</v>
      </c>
      <c r="L69" s="4">
        <v>485.98099999999999</v>
      </c>
      <c r="M69" s="4">
        <v>1571.6020000000001</v>
      </c>
      <c r="N69" s="4">
        <v>259.68299999999999</v>
      </c>
      <c r="O69" s="4">
        <v>79.281999999999996</v>
      </c>
      <c r="P69" s="4">
        <v>62.677999999999997</v>
      </c>
      <c r="Q69" s="4">
        <v>0</v>
      </c>
      <c r="R69" s="4">
        <v>10.877000000000001</v>
      </c>
      <c r="S69" s="4">
        <v>742.75400000000002</v>
      </c>
      <c r="T69" s="4">
        <v>1571.6020000000001</v>
      </c>
      <c r="U69" s="4">
        <v>1906.6990000000001</v>
      </c>
      <c r="V69" s="4">
        <v>1037.5920000000001</v>
      </c>
      <c r="W69" s="4">
        <v>1027.9690000000001</v>
      </c>
      <c r="X69" s="4">
        <v>1174.701</v>
      </c>
      <c r="Y69">
        <v>14.09</v>
      </c>
      <c r="Z69">
        <v>1286.7402500000001</v>
      </c>
      <c r="AA69" t="s">
        <v>32</v>
      </c>
      <c r="AB69">
        <v>2</v>
      </c>
      <c r="AC69" t="s">
        <v>468</v>
      </c>
      <c r="AD69" s="5">
        <f t="shared" si="10"/>
        <v>2.9485536585887737E-2</v>
      </c>
      <c r="AE69" s="5">
        <f t="shared" si="11"/>
        <v>2.8532883784571503E-2</v>
      </c>
      <c r="AF69" s="5">
        <f t="shared" si="12"/>
        <v>9.3995910741476243E-3</v>
      </c>
      <c r="AG69" s="5">
        <f t="shared" si="13"/>
        <v>0.13619506802069964</v>
      </c>
      <c r="AH69" s="5">
        <f t="shared" si="14"/>
        <v>1.2132200137184859</v>
      </c>
      <c r="AI69" s="5">
        <f t="shared" si="15"/>
        <v>4.2866875139602412</v>
      </c>
      <c r="AJ69" s="5">
        <f t="shared" si="16"/>
        <v>1.1652345822924632</v>
      </c>
      <c r="AK69" s="5">
        <f t="shared" si="17"/>
        <v>0.14091421876237412</v>
      </c>
      <c r="AL69" s="5">
        <f t="shared" si="18"/>
        <v>1.1652345822924632</v>
      </c>
      <c r="AM69" s="10">
        <f t="shared" si="19"/>
        <v>14.626213498765804</v>
      </c>
    </row>
    <row r="70" spans="1:39" x14ac:dyDescent="0.3">
      <c r="A70">
        <v>4331</v>
      </c>
      <c r="B70" t="s">
        <v>699</v>
      </c>
      <c r="C70" t="s">
        <v>58</v>
      </c>
      <c r="D70" s="1">
        <v>43461</v>
      </c>
      <c r="E70">
        <v>45</v>
      </c>
      <c r="F70" t="s">
        <v>700</v>
      </c>
      <c r="G70" s="4">
        <v>16.260999999999999</v>
      </c>
      <c r="H70" s="4">
        <v>104.316</v>
      </c>
      <c r="I70" s="4">
        <v>3748.3609999999999</v>
      </c>
      <c r="J70" s="4">
        <v>593.35799999999995</v>
      </c>
      <c r="K70" s="4">
        <v>2340.8820000000001</v>
      </c>
      <c r="L70" s="4">
        <v>0</v>
      </c>
      <c r="M70" s="4">
        <v>1715.521</v>
      </c>
      <c r="N70" s="4">
        <v>625.36099999999999</v>
      </c>
      <c r="O70" s="4">
        <v>62.411000000000001</v>
      </c>
      <c r="P70" s="4">
        <v>222.583</v>
      </c>
      <c r="Q70" s="4">
        <v>39.597999999999999</v>
      </c>
      <c r="R70" s="4">
        <v>4.0910000000000002</v>
      </c>
      <c r="S70" s="4">
        <v>968.96</v>
      </c>
      <c r="T70" s="4">
        <v>1755.1189999999999</v>
      </c>
      <c r="U70" s="4">
        <v>2563.4650000000001</v>
      </c>
      <c r="V70" s="4">
        <v>1688.402</v>
      </c>
      <c r="W70" s="4">
        <v>719.67499999999995</v>
      </c>
      <c r="X70" s="4">
        <v>307.88400000000001</v>
      </c>
      <c r="Y70">
        <v>23.15</v>
      </c>
      <c r="Z70">
        <v>1319.8565000000001</v>
      </c>
      <c r="AA70" t="s">
        <v>32</v>
      </c>
      <c r="AB70">
        <v>2</v>
      </c>
      <c r="AC70" t="s">
        <v>468</v>
      </c>
      <c r="AD70" s="5">
        <f t="shared" si="10"/>
        <v>7.6488751882408355E-3</v>
      </c>
      <c r="AE70" s="5">
        <f t="shared" si="11"/>
        <v>2.7829763461950437E-2</v>
      </c>
      <c r="AF70" s="5">
        <f t="shared" si="12"/>
        <v>3.0035839636075169E-3</v>
      </c>
      <c r="AG70" s="5">
        <f t="shared" si="13"/>
        <v>0.24395144852767639</v>
      </c>
      <c r="AH70" s="5">
        <f t="shared" si="14"/>
        <v>1.4605647822170464</v>
      </c>
      <c r="AI70" s="5">
        <f t="shared" si="15"/>
        <v>2.6657831011353066</v>
      </c>
      <c r="AJ70" s="5">
        <f t="shared" si="16"/>
        <v>1.3645312415295412</v>
      </c>
      <c r="AK70" s="5">
        <f t="shared" si="17"/>
        <v>0.23146717431289288</v>
      </c>
      <c r="AL70" s="5">
        <f t="shared" si="18"/>
        <v>1.3337454611339745</v>
      </c>
      <c r="AM70" s="10">
        <f t="shared" si="19"/>
        <v>5.9939155143988829</v>
      </c>
    </row>
    <row r="71" spans="1:39" x14ac:dyDescent="0.3">
      <c r="A71">
        <v>4362</v>
      </c>
      <c r="B71" t="s">
        <v>701</v>
      </c>
      <c r="C71" t="s">
        <v>58</v>
      </c>
      <c r="D71" s="1">
        <v>40263</v>
      </c>
      <c r="E71">
        <v>90</v>
      </c>
      <c r="F71" t="s">
        <v>702</v>
      </c>
      <c r="G71" s="4">
        <v>72.346000000000004</v>
      </c>
      <c r="H71" s="4">
        <v>180.53</v>
      </c>
      <c r="I71" s="4">
        <v>3729.6689999999999</v>
      </c>
      <c r="J71" s="4">
        <v>1045.3320000000001</v>
      </c>
      <c r="K71" s="4">
        <v>702.49099999999999</v>
      </c>
      <c r="L71" s="4">
        <v>0</v>
      </c>
      <c r="M71" s="4">
        <v>617.82600000000002</v>
      </c>
      <c r="N71" s="4">
        <v>84.665000000000006</v>
      </c>
      <c r="O71" s="4">
        <v>176.11500000000001</v>
      </c>
      <c r="P71" s="4">
        <v>968.27499999999998</v>
      </c>
      <c r="Q71" s="4">
        <v>0</v>
      </c>
      <c r="R71" s="4">
        <v>0</v>
      </c>
      <c r="S71" s="4">
        <v>761.80600000000004</v>
      </c>
      <c r="T71" s="4">
        <v>617.82600000000002</v>
      </c>
      <c r="U71" s="4">
        <v>1671.5920000000001</v>
      </c>
      <c r="V71" s="4">
        <v>735.82500000000005</v>
      </c>
      <c r="W71" s="4">
        <v>10.855</v>
      </c>
      <c r="X71" s="4">
        <v>121.58499999999999</v>
      </c>
      <c r="Y71">
        <v>62.54</v>
      </c>
      <c r="Z71">
        <v>634.96424999999999</v>
      </c>
      <c r="AA71" t="s">
        <v>32</v>
      </c>
      <c r="AB71">
        <v>2</v>
      </c>
      <c r="AC71" t="s">
        <v>468</v>
      </c>
      <c r="AD71" s="5">
        <f t="shared" si="10"/>
        <v>6.0102591283520877E-2</v>
      </c>
      <c r="AE71" s="5">
        <f t="shared" si="11"/>
        <v>4.8403759153962458E-2</v>
      </c>
      <c r="AF71" s="5">
        <f t="shared" si="12"/>
        <v>0</v>
      </c>
      <c r="AG71" s="5">
        <f t="shared" si="13"/>
        <v>5.0649321126207833E-2</v>
      </c>
      <c r="AH71" s="5">
        <f t="shared" si="14"/>
        <v>2.705603195721773</v>
      </c>
      <c r="AI71" s="5">
        <f t="shared" si="15"/>
        <v>1.0795817303968398</v>
      </c>
      <c r="AJ71" s="5">
        <f t="shared" si="16"/>
        <v>1.1370369651002061</v>
      </c>
      <c r="AK71" s="5">
        <f t="shared" si="17"/>
        <v>0.6253511622453326</v>
      </c>
      <c r="AL71" s="5">
        <f t="shared" si="18"/>
        <v>1.1370369651002061</v>
      </c>
      <c r="AM71" s="10">
        <f t="shared" si="19"/>
        <v>44.052075828264329</v>
      </c>
    </row>
    <row r="72" spans="1:39" x14ac:dyDescent="0.3">
      <c r="A72">
        <v>4407</v>
      </c>
      <c r="B72" t="s">
        <v>705</v>
      </c>
      <c r="C72" t="s">
        <v>42</v>
      </c>
      <c r="D72" s="1">
        <v>39070</v>
      </c>
      <c r="E72">
        <v>3</v>
      </c>
      <c r="F72" t="s">
        <v>706</v>
      </c>
      <c r="G72" s="4">
        <v>82.271000000000001</v>
      </c>
      <c r="H72" s="4">
        <v>184</v>
      </c>
      <c r="I72" s="4">
        <v>3680.7040000000002</v>
      </c>
      <c r="J72" s="4">
        <v>188.49799999999999</v>
      </c>
      <c r="K72" s="4">
        <v>1275.4359999999999</v>
      </c>
      <c r="L72" s="4">
        <v>0</v>
      </c>
      <c r="M72" s="4">
        <v>1035.374</v>
      </c>
      <c r="N72" s="4">
        <v>240.06200000000001</v>
      </c>
      <c r="O72" s="4">
        <v>108.044</v>
      </c>
      <c r="P72" s="4">
        <v>352.75</v>
      </c>
      <c r="Q72" s="4">
        <v>236.59</v>
      </c>
      <c r="R72" s="4">
        <v>9.8930000000000007</v>
      </c>
      <c r="S72" s="4">
        <v>847.76900000000001</v>
      </c>
      <c r="T72" s="4">
        <v>1271.9639999999999</v>
      </c>
      <c r="U72" s="4">
        <v>1634.4559999999999</v>
      </c>
      <c r="V72" s="4">
        <v>1168.1030000000001</v>
      </c>
      <c r="W72" s="4">
        <v>990.85900000000004</v>
      </c>
      <c r="X72" s="4">
        <v>810.96199999999999</v>
      </c>
      <c r="Y72">
        <v>11.53</v>
      </c>
      <c r="Z72">
        <v>1151.095</v>
      </c>
      <c r="AA72" t="s">
        <v>32</v>
      </c>
      <c r="AB72">
        <v>2</v>
      </c>
      <c r="AC72" t="s">
        <v>468</v>
      </c>
      <c r="AD72" s="5">
        <f t="shared" si="10"/>
        <v>5.871134202705456E-2</v>
      </c>
      <c r="AE72" s="5">
        <f t="shared" si="11"/>
        <v>4.9990436612126377E-2</v>
      </c>
      <c r="AF72" s="5">
        <f t="shared" si="12"/>
        <v>9.3341944480743559E-3</v>
      </c>
      <c r="AG72" s="5">
        <f t="shared" si="13"/>
        <v>0.14687578007606203</v>
      </c>
      <c r="AH72" s="5">
        <f t="shared" si="14"/>
        <v>1.2849860530643948</v>
      </c>
      <c r="AI72" s="5">
        <f t="shared" si="15"/>
        <v>0.5343671155209071</v>
      </c>
      <c r="AJ72" s="5">
        <f t="shared" si="16"/>
        <v>1.2318601780612608</v>
      </c>
      <c r="AK72" s="5">
        <f t="shared" si="17"/>
        <v>0.11532766865550373</v>
      </c>
      <c r="AL72" s="5">
        <f t="shared" si="18"/>
        <v>1.0027296370023051</v>
      </c>
      <c r="AM72" s="10">
        <f t="shared" si="19"/>
        <v>15.332305820996243</v>
      </c>
    </row>
    <row r="73" spans="1:39" x14ac:dyDescent="0.3">
      <c r="A73">
        <v>4436</v>
      </c>
      <c r="B73" t="s">
        <v>709</v>
      </c>
      <c r="C73" t="s">
        <v>58</v>
      </c>
      <c r="D73" s="1">
        <v>33177</v>
      </c>
      <c r="E73">
        <v>1</v>
      </c>
      <c r="F73" t="s">
        <v>710</v>
      </c>
      <c r="G73" s="4">
        <v>236.48</v>
      </c>
      <c r="H73" s="4">
        <v>294.49700000000001</v>
      </c>
      <c r="I73" s="4">
        <v>3660.5520000000001</v>
      </c>
      <c r="J73" s="4">
        <v>243.75399999999999</v>
      </c>
      <c r="K73" s="4">
        <v>3725.11</v>
      </c>
      <c r="L73" s="4">
        <v>0</v>
      </c>
      <c r="M73" s="4">
        <v>3569.636</v>
      </c>
      <c r="N73" s="4">
        <v>155.47399999999999</v>
      </c>
      <c r="O73" s="4">
        <v>247.74</v>
      </c>
      <c r="P73" s="4">
        <v>86.832999999999998</v>
      </c>
      <c r="Q73" s="4">
        <v>0</v>
      </c>
      <c r="R73" s="4">
        <v>15.567</v>
      </c>
      <c r="S73" s="4">
        <v>2.85</v>
      </c>
      <c r="T73" s="4">
        <v>3569.636</v>
      </c>
      <c r="U73" s="4">
        <v>3822.1419999999998</v>
      </c>
      <c r="V73" s="4">
        <v>10.195</v>
      </c>
      <c r="W73" s="4">
        <v>13.727</v>
      </c>
      <c r="X73" s="4">
        <v>14.837999999999999</v>
      </c>
      <c r="Y73">
        <v>6.38</v>
      </c>
      <c r="Z73">
        <v>965.22550000000001</v>
      </c>
      <c r="AA73" t="s">
        <v>32</v>
      </c>
      <c r="AB73">
        <v>2</v>
      </c>
      <c r="AC73" t="s">
        <v>468</v>
      </c>
      <c r="AD73" s="5">
        <f t="shared" si="10"/>
        <v>0.12341294619966876</v>
      </c>
      <c r="AE73" s="5">
        <f t="shared" si="11"/>
        <v>8.0451527529181388E-2</v>
      </c>
      <c r="AF73" s="5">
        <f t="shared" si="12"/>
        <v>8.7149396806593515E-3</v>
      </c>
      <c r="AG73" s="5">
        <f t="shared" si="13"/>
        <v>4.0677190957321835E-2</v>
      </c>
      <c r="AH73" s="5">
        <f t="shared" si="14"/>
        <v>1.0707371844075979</v>
      </c>
      <c r="AI73" s="5">
        <f t="shared" si="15"/>
        <v>2.8071585687469049</v>
      </c>
      <c r="AJ73" s="5">
        <f t="shared" si="16"/>
        <v>1.0435545809152531</v>
      </c>
      <c r="AK73" s="5">
        <f t="shared" si="17"/>
        <v>6.3774187353583409E-2</v>
      </c>
      <c r="AL73" s="5">
        <f t="shared" si="18"/>
        <v>1.0435545809152531</v>
      </c>
      <c r="AM73" s="10">
        <f t="shared" si="19"/>
        <v>23.544464026139423</v>
      </c>
    </row>
    <row r="74" spans="1:39" x14ac:dyDescent="0.3">
      <c r="A74">
        <v>4439</v>
      </c>
      <c r="B74" t="s">
        <v>711</v>
      </c>
      <c r="C74" t="s">
        <v>143</v>
      </c>
      <c r="D74" s="1">
        <v>43229</v>
      </c>
      <c r="E74">
        <v>3</v>
      </c>
      <c r="F74" t="s">
        <v>712</v>
      </c>
      <c r="G74" s="4">
        <v>6.1890000000000001</v>
      </c>
      <c r="H74" s="4">
        <v>24.568999999999999</v>
      </c>
      <c r="I74" s="4">
        <v>3659.8609999999999</v>
      </c>
      <c r="J74" s="4">
        <v>34.639000000000003</v>
      </c>
      <c r="K74" s="4">
        <v>927.779</v>
      </c>
      <c r="L74" s="4">
        <v>0</v>
      </c>
      <c r="M74" s="4">
        <v>913.49699999999996</v>
      </c>
      <c r="N74" s="4">
        <v>14.282</v>
      </c>
      <c r="O74" s="4">
        <v>10.361000000000001</v>
      </c>
      <c r="P74" s="4">
        <v>24.265000000000001</v>
      </c>
      <c r="Q74" s="4">
        <v>0</v>
      </c>
      <c r="R74" s="4">
        <v>9.3360000000000003</v>
      </c>
      <c r="S74" s="4">
        <v>1423.0219999999999</v>
      </c>
      <c r="T74" s="4">
        <v>913.49699999999996</v>
      </c>
      <c r="U74" s="4">
        <v>952.10500000000002</v>
      </c>
      <c r="V74" s="4">
        <v>1456.2940000000001</v>
      </c>
      <c r="W74" s="4">
        <v>122.33199999999999</v>
      </c>
      <c r="X74" s="4">
        <v>121.16500000000001</v>
      </c>
      <c r="Y74">
        <v>3.64</v>
      </c>
      <c r="Z74">
        <v>662.97400000000005</v>
      </c>
      <c r="AA74" t="s">
        <v>32</v>
      </c>
      <c r="AB74">
        <v>2</v>
      </c>
      <c r="AC74" t="s">
        <v>468</v>
      </c>
      <c r="AD74" s="5">
        <f t="shared" si="10"/>
        <v>5.1395138430135531E-3</v>
      </c>
      <c r="AE74" s="5">
        <f t="shared" si="11"/>
        <v>6.7130964809865726E-3</v>
      </c>
      <c r="AF74" s="5">
        <f t="shared" si="12"/>
        <v>7.9913752038823574E-3</v>
      </c>
      <c r="AG74" s="5">
        <f t="shared" si="13"/>
        <v>1.5000446379338414E-2</v>
      </c>
      <c r="AH74" s="5">
        <f t="shared" si="14"/>
        <v>1.0422639592686129</v>
      </c>
      <c r="AI74" s="5">
        <f t="shared" si="15"/>
        <v>1.4275293632804451</v>
      </c>
      <c r="AJ74" s="5">
        <f t="shared" si="16"/>
        <v>1.0156344246341258</v>
      </c>
      <c r="AK74" s="5">
        <f t="shared" si="17"/>
        <v>3.6381491537172898E-2</v>
      </c>
      <c r="AL74" s="5">
        <f t="shared" si="18"/>
        <v>1.0156344246341258</v>
      </c>
      <c r="AM74" s="10">
        <f t="shared" si="19"/>
        <v>256.25689679316622</v>
      </c>
    </row>
    <row r="75" spans="1:39" x14ac:dyDescent="0.3">
      <c r="A75">
        <v>4503</v>
      </c>
      <c r="B75" t="s">
        <v>715</v>
      </c>
      <c r="C75" t="s">
        <v>101</v>
      </c>
      <c r="D75" s="1">
        <v>42671</v>
      </c>
      <c r="E75">
        <v>11</v>
      </c>
      <c r="F75" t="s">
        <v>716</v>
      </c>
      <c r="G75" s="4">
        <v>46.866</v>
      </c>
      <c r="H75" s="4">
        <v>122.64400000000001</v>
      </c>
      <c r="I75" s="4">
        <v>3608.0810000000001</v>
      </c>
      <c r="J75" s="4">
        <v>169.15899999999999</v>
      </c>
      <c r="K75" s="4">
        <v>959.31200000000001</v>
      </c>
      <c r="L75" s="4">
        <v>0</v>
      </c>
      <c r="M75" s="4">
        <v>628.66899999999998</v>
      </c>
      <c r="N75" s="4">
        <v>330.64299999999997</v>
      </c>
      <c r="O75" s="4">
        <v>77.641999999999996</v>
      </c>
      <c r="P75" s="4">
        <v>77.076999999999998</v>
      </c>
      <c r="Q75" s="4">
        <v>206.73500000000001</v>
      </c>
      <c r="R75" s="4">
        <v>4.0640000000000001</v>
      </c>
      <c r="S75" s="4">
        <v>832.44200000000001</v>
      </c>
      <c r="T75" s="4">
        <v>835.404</v>
      </c>
      <c r="U75" s="4">
        <v>1042.627</v>
      </c>
      <c r="V75" s="4">
        <v>999.74300000000005</v>
      </c>
      <c r="W75" s="4">
        <v>856.50300000000004</v>
      </c>
      <c r="X75" s="4">
        <v>577.774</v>
      </c>
      <c r="Y75">
        <v>16.22</v>
      </c>
      <c r="Z75">
        <v>869.16174999999998</v>
      </c>
      <c r="AA75" t="s">
        <v>32</v>
      </c>
      <c r="AB75">
        <v>2</v>
      </c>
      <c r="AC75" t="s">
        <v>468</v>
      </c>
      <c r="AD75" s="5">
        <f t="shared" si="10"/>
        <v>4.5893741094904454E-2</v>
      </c>
      <c r="AE75" s="5">
        <f t="shared" si="11"/>
        <v>3.399147635543659E-2</v>
      </c>
      <c r="AF75" s="5">
        <f t="shared" si="12"/>
        <v>4.8733516163962385E-3</v>
      </c>
      <c r="AG75" s="5">
        <f t="shared" si="13"/>
        <v>0.31712491619725941</v>
      </c>
      <c r="AH75" s="5">
        <f t="shared" si="14"/>
        <v>1.2480512422731995</v>
      </c>
      <c r="AI75" s="5">
        <f t="shared" si="15"/>
        <v>2.1946754544157141</v>
      </c>
      <c r="AJ75" s="5">
        <f t="shared" si="16"/>
        <v>1.5259413141096507</v>
      </c>
      <c r="AK75" s="5">
        <f t="shared" si="17"/>
        <v>0.16224306487363169</v>
      </c>
      <c r="AL75" s="5">
        <f t="shared" si="18"/>
        <v>1.1483210518503622</v>
      </c>
      <c r="AM75" s="10">
        <f t="shared" si="19"/>
        <v>10.912316304896823</v>
      </c>
    </row>
    <row r="76" spans="1:39" x14ac:dyDescent="0.3">
      <c r="A76">
        <v>4513</v>
      </c>
      <c r="B76" t="s">
        <v>717</v>
      </c>
      <c r="C76" t="s">
        <v>58</v>
      </c>
      <c r="D76" s="1">
        <v>41992</v>
      </c>
      <c r="E76">
        <v>7</v>
      </c>
      <c r="F76" t="s">
        <v>718</v>
      </c>
      <c r="G76" s="4">
        <v>28.120999999999999</v>
      </c>
      <c r="H76" s="4">
        <v>103.146</v>
      </c>
      <c r="I76" s="4">
        <v>3600.4760000000001</v>
      </c>
      <c r="J76" s="4">
        <v>346.48</v>
      </c>
      <c r="K76" s="4">
        <v>1208.704</v>
      </c>
      <c r="L76" s="4">
        <v>75.545000000000002</v>
      </c>
      <c r="M76" s="4">
        <v>909.74599999999998</v>
      </c>
      <c r="N76" s="4">
        <v>298.95800000000003</v>
      </c>
      <c r="O76" s="4">
        <v>71.799000000000007</v>
      </c>
      <c r="P76" s="4">
        <v>294.2</v>
      </c>
      <c r="Q76" s="4">
        <v>179.197</v>
      </c>
      <c r="R76" s="4">
        <v>6.9829999999999997</v>
      </c>
      <c r="S76" s="4">
        <v>1709.1510000000001</v>
      </c>
      <c r="T76" s="4">
        <v>1088.943</v>
      </c>
      <c r="U76" s="4">
        <v>1502.904</v>
      </c>
      <c r="V76" s="4">
        <v>2099.491</v>
      </c>
      <c r="W76" s="4">
        <v>1114.2170000000001</v>
      </c>
      <c r="X76" s="4">
        <v>576.74699999999996</v>
      </c>
      <c r="Y76">
        <v>23.05</v>
      </c>
      <c r="Z76">
        <v>1323.3397500000001</v>
      </c>
      <c r="AA76" t="s">
        <v>32</v>
      </c>
      <c r="AB76">
        <v>2</v>
      </c>
      <c r="AC76" t="s">
        <v>468</v>
      </c>
      <c r="AD76" s="5">
        <f t="shared" si="10"/>
        <v>1.5612391200853875E-2</v>
      </c>
      <c r="AE76" s="5">
        <f t="shared" si="11"/>
        <v>2.8647878780472359E-2</v>
      </c>
      <c r="AF76" s="5">
        <f t="shared" si="12"/>
        <v>4.9912547612767835E-3</v>
      </c>
      <c r="AG76" s="5">
        <f t="shared" si="13"/>
        <v>0.19892022378009508</v>
      </c>
      <c r="AH76" s="5">
        <f t="shared" si="14"/>
        <v>1.3801493742096693</v>
      </c>
      <c r="AI76" s="5">
        <f t="shared" si="15"/>
        <v>1.177702243371856</v>
      </c>
      <c r="AJ76" s="5">
        <f t="shared" si="16"/>
        <v>1.3286169985908154</v>
      </c>
      <c r="AK76" s="5">
        <f t="shared" si="17"/>
        <v>0.23054034056732833</v>
      </c>
      <c r="AL76" s="5">
        <f t="shared" si="18"/>
        <v>1.1099791265474868</v>
      </c>
      <c r="AM76" s="10">
        <f t="shared" si="19"/>
        <v>12.043417470012509</v>
      </c>
    </row>
    <row r="77" spans="1:39" x14ac:dyDescent="0.3">
      <c r="A77">
        <v>4525</v>
      </c>
      <c r="B77" t="s">
        <v>719</v>
      </c>
      <c r="C77" t="s">
        <v>58</v>
      </c>
      <c r="D77" s="1">
        <v>42261</v>
      </c>
      <c r="E77">
        <v>4</v>
      </c>
      <c r="F77" t="s">
        <v>720</v>
      </c>
      <c r="G77" s="4">
        <v>3.3109999999999999</v>
      </c>
      <c r="H77" s="4">
        <v>36.610999999999997</v>
      </c>
      <c r="I77" s="4">
        <v>3590.1930000000002</v>
      </c>
      <c r="J77" s="4">
        <v>94.228999999999999</v>
      </c>
      <c r="K77" s="4">
        <v>1548.6769999999999</v>
      </c>
      <c r="L77" s="4">
        <v>0</v>
      </c>
      <c r="M77" s="4">
        <v>1398.8309999999999</v>
      </c>
      <c r="N77" s="4">
        <v>149.846</v>
      </c>
      <c r="O77" s="4">
        <v>15.933999999999999</v>
      </c>
      <c r="P77" s="4">
        <v>32.421999999999997</v>
      </c>
      <c r="Q77" s="4">
        <v>57.262999999999998</v>
      </c>
      <c r="R77" s="4">
        <v>7.7080000000000002</v>
      </c>
      <c r="S77" s="4">
        <v>1162.5999999999999</v>
      </c>
      <c r="T77" s="4">
        <v>1456.0940000000001</v>
      </c>
      <c r="U77" s="4">
        <v>1581.0989999999999</v>
      </c>
      <c r="V77" s="4">
        <v>1277.7460000000001</v>
      </c>
      <c r="W77" s="4">
        <v>1068.7370000000001</v>
      </c>
      <c r="X77" s="4">
        <v>951.35799999999995</v>
      </c>
      <c r="Y77">
        <v>5.96</v>
      </c>
      <c r="Z77">
        <v>1219.7349999999999</v>
      </c>
      <c r="AA77" t="s">
        <v>32</v>
      </c>
      <c r="AB77">
        <v>2</v>
      </c>
      <c r="AC77" t="s">
        <v>468</v>
      </c>
      <c r="AD77" s="5">
        <f t="shared" si="10"/>
        <v>2.3163200523288251E-3</v>
      </c>
      <c r="AE77" s="5">
        <f t="shared" si="11"/>
        <v>1.0197501917027858E-2</v>
      </c>
      <c r="AF77" s="5">
        <f t="shared" si="12"/>
        <v>5.8869039299742545E-3</v>
      </c>
      <c r="AG77" s="5">
        <f t="shared" si="13"/>
        <v>9.4773319064777095E-2</v>
      </c>
      <c r="AH77" s="5">
        <f t="shared" si="14"/>
        <v>1.0858495399335482</v>
      </c>
      <c r="AI77" s="5">
        <f t="shared" si="15"/>
        <v>2.9063290358398621</v>
      </c>
      <c r="AJ77" s="5">
        <f t="shared" si="16"/>
        <v>1.10712230426692</v>
      </c>
      <c r="AK77" s="5">
        <f t="shared" si="17"/>
        <v>5.9597153625421305E-2</v>
      </c>
      <c r="AL77" s="5">
        <f t="shared" si="18"/>
        <v>1.0635831203205286</v>
      </c>
      <c r="AM77" s="10">
        <f t="shared" si="19"/>
        <v>23.959218130614097</v>
      </c>
    </row>
    <row r="78" spans="1:39" x14ac:dyDescent="0.3">
      <c r="A78">
        <v>4562</v>
      </c>
      <c r="B78" t="s">
        <v>721</v>
      </c>
      <c r="C78" t="s">
        <v>58</v>
      </c>
      <c r="D78" s="1">
        <v>43427</v>
      </c>
      <c r="E78">
        <v>6</v>
      </c>
      <c r="F78" t="s">
        <v>722</v>
      </c>
      <c r="G78" s="4">
        <v>108.441</v>
      </c>
      <c r="H78" s="4">
        <v>193.27799999999999</v>
      </c>
      <c r="I78" s="4">
        <v>3559.7510000000002</v>
      </c>
      <c r="J78" s="4">
        <v>483.51900000000001</v>
      </c>
      <c r="K78" s="4">
        <v>1858.2660000000001</v>
      </c>
      <c r="L78" s="4">
        <v>14.97</v>
      </c>
      <c r="M78" s="4">
        <v>1251.3679999999999</v>
      </c>
      <c r="N78" s="4">
        <v>606.89800000000002</v>
      </c>
      <c r="O78" s="4">
        <v>116.26900000000001</v>
      </c>
      <c r="P78" s="4">
        <v>29.061</v>
      </c>
      <c r="Q78" s="4">
        <v>106.12</v>
      </c>
      <c r="R78" s="4">
        <v>14.948</v>
      </c>
      <c r="S78" s="4">
        <v>786.59299999999996</v>
      </c>
      <c r="T78" s="4">
        <v>1357.4880000000001</v>
      </c>
      <c r="U78" s="4">
        <v>1924.3489999999999</v>
      </c>
      <c r="V78" s="4">
        <v>1235.3130000000001</v>
      </c>
      <c r="W78" s="4">
        <v>1070.482</v>
      </c>
      <c r="X78" s="4">
        <v>864.37599999999998</v>
      </c>
      <c r="Y78">
        <v>25.13</v>
      </c>
      <c r="Z78">
        <v>1273.6300000000001</v>
      </c>
      <c r="AA78" t="s">
        <v>32</v>
      </c>
      <c r="AB78">
        <v>2</v>
      </c>
      <c r="AC78" t="s">
        <v>468</v>
      </c>
      <c r="AD78" s="5">
        <f t="shared" si="10"/>
        <v>6.8640886272012633E-2</v>
      </c>
      <c r="AE78" s="5">
        <f t="shared" si="11"/>
        <v>5.4295370659352291E-2</v>
      </c>
      <c r="AF78" s="5">
        <f t="shared" si="12"/>
        <v>1.3943503067281506E-2</v>
      </c>
      <c r="AG78" s="5">
        <f t="shared" si="13"/>
        <v>0.31537834353331962</v>
      </c>
      <c r="AH78" s="5">
        <f t="shared" si="14"/>
        <v>1.4175808552267128</v>
      </c>
      <c r="AI78" s="5">
        <f t="shared" si="15"/>
        <v>16.63807164240735</v>
      </c>
      <c r="AJ78" s="5">
        <f t="shared" si="16"/>
        <v>1.4849876295382336</v>
      </c>
      <c r="AK78" s="5">
        <f t="shared" si="17"/>
        <v>0.25126367410485312</v>
      </c>
      <c r="AL78" s="5">
        <f t="shared" si="18"/>
        <v>1.3689004985679432</v>
      </c>
      <c r="AM78" s="10">
        <f t="shared" si="19"/>
        <v>5.8654848096385228</v>
      </c>
    </row>
    <row r="79" spans="1:39" x14ac:dyDescent="0.3">
      <c r="A79">
        <v>4586</v>
      </c>
      <c r="B79" t="s">
        <v>723</v>
      </c>
      <c r="C79" t="s">
        <v>101</v>
      </c>
      <c r="D79" s="1">
        <v>40091</v>
      </c>
      <c r="E79">
        <v>19</v>
      </c>
      <c r="F79" t="s">
        <v>724</v>
      </c>
      <c r="G79" s="4">
        <v>96.897999999999996</v>
      </c>
      <c r="H79" s="4">
        <v>172.94399999999999</v>
      </c>
      <c r="I79" s="4">
        <v>3543.6410000000001</v>
      </c>
      <c r="J79" s="4">
        <v>375.64400000000001</v>
      </c>
      <c r="K79" s="4">
        <v>1763.5730000000001</v>
      </c>
      <c r="L79" s="4">
        <v>195.95099999999999</v>
      </c>
      <c r="M79" s="4">
        <v>1321.9069999999999</v>
      </c>
      <c r="N79" s="4">
        <v>441.666</v>
      </c>
      <c r="O79" s="4">
        <v>113.568</v>
      </c>
      <c r="P79" s="4">
        <v>73.399000000000001</v>
      </c>
      <c r="Q79" s="4">
        <v>0</v>
      </c>
      <c r="R79" s="4">
        <v>15.785</v>
      </c>
      <c r="S79" s="4">
        <v>634.46</v>
      </c>
      <c r="T79" s="4">
        <v>1321.9069999999999</v>
      </c>
      <c r="U79" s="4">
        <v>1836.972</v>
      </c>
      <c r="V79" s="4">
        <v>957.02499999999998</v>
      </c>
      <c r="W79" s="4">
        <v>490.2</v>
      </c>
      <c r="X79" s="4">
        <v>216.386</v>
      </c>
      <c r="Y79">
        <v>20.45</v>
      </c>
      <c r="Z79">
        <v>875.14575000000002</v>
      </c>
      <c r="AA79" t="s">
        <v>32</v>
      </c>
      <c r="AB79">
        <v>2</v>
      </c>
      <c r="AC79" t="s">
        <v>468</v>
      </c>
      <c r="AD79" s="5">
        <f t="shared" si="10"/>
        <v>6.9361563380347227E-2</v>
      </c>
      <c r="AE79" s="5">
        <f t="shared" si="11"/>
        <v>4.8804040815646953E-2</v>
      </c>
      <c r="AF79" s="5">
        <f t="shared" si="12"/>
        <v>1.6137054039451697E-2</v>
      </c>
      <c r="AG79" s="5">
        <f t="shared" si="13"/>
        <v>0.24043153624551708</v>
      </c>
      <c r="AH79" s="5">
        <f t="shared" si="14"/>
        <v>1.3896378489560914</v>
      </c>
      <c r="AI79" s="5">
        <f t="shared" si="15"/>
        <v>5.117835392852764</v>
      </c>
      <c r="AJ79" s="5">
        <f t="shared" si="16"/>
        <v>1.3341127628494291</v>
      </c>
      <c r="AK79" s="5">
        <f t="shared" si="17"/>
        <v>0.2044908686686569</v>
      </c>
      <c r="AL79" s="5">
        <f t="shared" si="18"/>
        <v>1.3341127628494291</v>
      </c>
      <c r="AM79" s="10">
        <f t="shared" si="19"/>
        <v>8.0233502239248669</v>
      </c>
    </row>
    <row r="80" spans="1:39" x14ac:dyDescent="0.3">
      <c r="A80">
        <v>4588</v>
      </c>
      <c r="B80" t="s">
        <v>725</v>
      </c>
      <c r="C80" t="s">
        <v>58</v>
      </c>
      <c r="D80" s="1">
        <v>36811</v>
      </c>
      <c r="E80">
        <v>2</v>
      </c>
      <c r="F80" t="s">
        <v>726</v>
      </c>
      <c r="G80" s="4">
        <v>94.125</v>
      </c>
      <c r="H80" s="4">
        <v>140.024</v>
      </c>
      <c r="I80" s="4">
        <v>3542.7</v>
      </c>
      <c r="J80" s="4">
        <v>438.64600000000002</v>
      </c>
      <c r="K80" s="4">
        <v>2144.4879999999998</v>
      </c>
      <c r="L80" s="4">
        <v>221.5</v>
      </c>
      <c r="M80" s="4">
        <v>1635.1020000000001</v>
      </c>
      <c r="N80" s="4">
        <v>509.38600000000002</v>
      </c>
      <c r="O80" s="4">
        <v>105.441</v>
      </c>
      <c r="P80" s="4">
        <v>23.361999999999998</v>
      </c>
      <c r="Q80" s="4">
        <v>1.0999999999999999E-2</v>
      </c>
      <c r="R80" s="4">
        <v>3.6999999999999998E-2</v>
      </c>
      <c r="S80" s="4">
        <v>956.096</v>
      </c>
      <c r="T80" s="4">
        <v>1635.1130000000001</v>
      </c>
      <c r="U80" s="4">
        <v>2176.5250000000001</v>
      </c>
      <c r="V80" s="4">
        <v>1351.4480000000001</v>
      </c>
      <c r="W80" s="4">
        <v>623.96100000000001</v>
      </c>
      <c r="X80" s="4">
        <v>617.95899999999995</v>
      </c>
      <c r="Y80">
        <v>20.149999999999999</v>
      </c>
      <c r="Z80">
        <v>1192.47325</v>
      </c>
      <c r="AA80" t="s">
        <v>32</v>
      </c>
      <c r="AB80">
        <v>2</v>
      </c>
      <c r="AC80" t="s">
        <v>468</v>
      </c>
      <c r="AD80" s="5">
        <f t="shared" si="10"/>
        <v>5.335925189903664E-2</v>
      </c>
      <c r="AE80" s="5">
        <f t="shared" si="11"/>
        <v>3.952465633556327E-2</v>
      </c>
      <c r="AF80" s="5">
        <f t="shared" si="12"/>
        <v>2.8558097783698653E-5</v>
      </c>
      <c r="AG80" s="5">
        <f t="shared" si="13"/>
        <v>0.23403636530708355</v>
      </c>
      <c r="AH80" s="5">
        <f t="shared" si="14"/>
        <v>1.3311159534539814</v>
      </c>
      <c r="AI80" s="5">
        <f t="shared" si="15"/>
        <v>18.776046571355195</v>
      </c>
      <c r="AJ80" s="5">
        <f t="shared" si="16"/>
        <v>1.3115316353352877</v>
      </c>
      <c r="AK80" s="5">
        <f t="shared" si="17"/>
        <v>0.20153501567866208</v>
      </c>
      <c r="AL80" s="5">
        <f t="shared" si="18"/>
        <v>1.3115228121848459</v>
      </c>
      <c r="AM80" s="10">
        <f t="shared" si="19"/>
        <v>6.9548436745415065</v>
      </c>
    </row>
    <row r="81" spans="1:39" x14ac:dyDescent="0.3">
      <c r="A81">
        <v>4640</v>
      </c>
      <c r="B81" t="s">
        <v>727</v>
      </c>
      <c r="C81" t="s">
        <v>58</v>
      </c>
      <c r="D81" s="1">
        <v>41550</v>
      </c>
      <c r="E81">
        <v>2</v>
      </c>
      <c r="F81" t="s">
        <v>728</v>
      </c>
      <c r="G81" s="4">
        <v>30.556999999999999</v>
      </c>
      <c r="H81" s="4">
        <v>67.644000000000005</v>
      </c>
      <c r="I81" s="4">
        <v>3503.3420000000001</v>
      </c>
      <c r="J81" s="4">
        <v>200.988</v>
      </c>
      <c r="K81" s="4">
        <v>1225.7</v>
      </c>
      <c r="L81" s="4">
        <v>0</v>
      </c>
      <c r="M81" s="4">
        <v>1022.976</v>
      </c>
      <c r="N81" s="4">
        <v>202.72399999999999</v>
      </c>
      <c r="O81" s="4">
        <v>36.715000000000003</v>
      </c>
      <c r="P81" s="4">
        <v>37.609000000000002</v>
      </c>
      <c r="Q81" s="4">
        <v>0</v>
      </c>
      <c r="R81" s="4">
        <v>0.36399999999999999</v>
      </c>
      <c r="S81" s="4">
        <v>834.702</v>
      </c>
      <c r="T81" s="4">
        <v>1022.976</v>
      </c>
      <c r="U81" s="4">
        <v>1273.0930000000001</v>
      </c>
      <c r="V81" s="4">
        <v>1047.4490000000001</v>
      </c>
      <c r="W81" s="4">
        <v>649.46</v>
      </c>
      <c r="X81" s="4">
        <v>700.51300000000003</v>
      </c>
      <c r="Y81">
        <v>15.79</v>
      </c>
      <c r="Z81">
        <v>917.62874999999997</v>
      </c>
      <c r="AA81" t="s">
        <v>32</v>
      </c>
      <c r="AB81">
        <v>2</v>
      </c>
      <c r="AC81" t="s">
        <v>468</v>
      </c>
      <c r="AD81" s="5">
        <f t="shared" si="10"/>
        <v>2.6336088724099795E-2</v>
      </c>
      <c r="AE81" s="5">
        <f t="shared" si="11"/>
        <v>1.930842035975934E-2</v>
      </c>
      <c r="AF81" s="5">
        <f t="shared" si="12"/>
        <v>3.9188707623172584E-4</v>
      </c>
      <c r="AG81" s="5">
        <f t="shared" si="13"/>
        <v>0.15923738485719424</v>
      </c>
      <c r="AH81" s="5">
        <f t="shared" si="14"/>
        <v>1.2444993821946948</v>
      </c>
      <c r="AI81" s="5">
        <f t="shared" si="15"/>
        <v>5.3441463479486293</v>
      </c>
      <c r="AJ81" s="5">
        <f t="shared" si="16"/>
        <v>1.1981708270770772</v>
      </c>
      <c r="AK81" s="5">
        <f t="shared" si="17"/>
        <v>0.15787377669973834</v>
      </c>
      <c r="AL81" s="5">
        <f t="shared" si="18"/>
        <v>1.1981708270770772</v>
      </c>
      <c r="AM81" s="10">
        <f t="shared" si="19"/>
        <v>17.28133817406918</v>
      </c>
    </row>
    <row r="82" spans="1:39" x14ac:dyDescent="0.3">
      <c r="A82">
        <v>4050</v>
      </c>
      <c r="B82" t="s">
        <v>691</v>
      </c>
      <c r="C82" t="s">
        <v>42</v>
      </c>
      <c r="D82" s="1">
        <v>39087</v>
      </c>
      <c r="E82">
        <v>2</v>
      </c>
      <c r="F82" t="s">
        <v>692</v>
      </c>
      <c r="G82" s="4">
        <v>53.689</v>
      </c>
      <c r="H82" s="4">
        <v>81.138999999999996</v>
      </c>
      <c r="I82" s="4">
        <v>3965.2629999999999</v>
      </c>
      <c r="J82" s="4">
        <v>355.46499999999997</v>
      </c>
      <c r="K82" s="4">
        <v>497.80599999999998</v>
      </c>
      <c r="L82" s="4">
        <v>44.698</v>
      </c>
      <c r="M82" s="4">
        <v>111.09099999999999</v>
      </c>
      <c r="N82" s="4">
        <v>386.71499999999997</v>
      </c>
      <c r="O82" s="4">
        <v>60.472999999999999</v>
      </c>
      <c r="P82" s="4">
        <v>16.178999999999998</v>
      </c>
      <c r="Q82" s="4">
        <v>29.757000000000001</v>
      </c>
      <c r="R82" s="4">
        <v>1.294</v>
      </c>
      <c r="S82" s="4">
        <v>146.44</v>
      </c>
      <c r="T82" s="4">
        <v>140.84800000000001</v>
      </c>
      <c r="U82" s="4">
        <v>523.91800000000001</v>
      </c>
      <c r="V82" s="4">
        <v>449.83800000000002</v>
      </c>
      <c r="W82" s="4">
        <v>400.88200000000001</v>
      </c>
      <c r="X82" s="4">
        <v>285.30799999999999</v>
      </c>
      <c r="Y82">
        <v>67.849999999999994</v>
      </c>
      <c r="Z82">
        <v>414.98649999999998</v>
      </c>
      <c r="AA82" t="s">
        <v>32</v>
      </c>
      <c r="AB82">
        <v>1</v>
      </c>
      <c r="AC82" t="s">
        <v>468</v>
      </c>
      <c r="AD82" s="5">
        <f t="shared" si="10"/>
        <v>0.11027197778498925</v>
      </c>
      <c r="AE82" s="5">
        <f t="shared" si="11"/>
        <v>2.0462451040448009E-2</v>
      </c>
      <c r="AF82" s="5">
        <f t="shared" si="12"/>
        <v>9.0083818328645822E-3</v>
      </c>
      <c r="AG82" s="5">
        <f t="shared" si="13"/>
        <v>0.73812123271198926</v>
      </c>
      <c r="AH82" s="5">
        <f t="shared" si="14"/>
        <v>3.7197404293990681</v>
      </c>
      <c r="AI82" s="5">
        <f t="shared" si="15"/>
        <v>21.970764571357932</v>
      </c>
      <c r="AJ82" s="5">
        <f t="shared" si="16"/>
        <v>4.4810650727781729</v>
      </c>
      <c r="AK82" s="5">
        <f t="shared" si="17"/>
        <v>0.67847449410022176</v>
      </c>
      <c r="AL82" s="5">
        <f t="shared" si="18"/>
        <v>3.5343490855390205</v>
      </c>
      <c r="AM82" s="10">
        <f t="shared" si="19"/>
        <v>10.253708803640924</v>
      </c>
    </row>
    <row r="83" spans="1:39" x14ac:dyDescent="0.3">
      <c r="A83">
        <v>6494</v>
      </c>
      <c r="B83" t="s">
        <v>781</v>
      </c>
      <c r="C83" t="s">
        <v>101</v>
      </c>
      <c r="D83" s="1">
        <v>31090</v>
      </c>
      <c r="E83">
        <v>14</v>
      </c>
      <c r="F83" t="s">
        <v>782</v>
      </c>
      <c r="G83" s="4">
        <v>21.387</v>
      </c>
      <c r="H83" s="4">
        <v>67.789000000000001</v>
      </c>
      <c r="I83" s="4">
        <v>2519.777</v>
      </c>
      <c r="J83" s="4">
        <v>303.32299999999998</v>
      </c>
      <c r="K83" s="4">
        <v>1043.828</v>
      </c>
      <c r="L83" s="4">
        <v>192.15</v>
      </c>
      <c r="M83" s="4">
        <v>889.18499999999995</v>
      </c>
      <c r="N83" s="4">
        <v>154.643</v>
      </c>
      <c r="O83" s="4">
        <v>60.783000000000001</v>
      </c>
      <c r="P83" s="4">
        <v>239.17</v>
      </c>
      <c r="Q83" s="4">
        <v>0</v>
      </c>
      <c r="R83" s="4">
        <v>1.242</v>
      </c>
      <c r="S83" s="4">
        <v>273.404</v>
      </c>
      <c r="T83" s="4">
        <v>889.18499999999995</v>
      </c>
      <c r="U83" s="4">
        <v>1355.17</v>
      </c>
      <c r="V83" s="4">
        <v>391.98599999999999</v>
      </c>
      <c r="W83" s="4">
        <v>288.89299999999997</v>
      </c>
      <c r="X83" s="4">
        <v>285.34100000000001</v>
      </c>
      <c r="Y83">
        <v>22.38</v>
      </c>
      <c r="Z83">
        <v>580.34749999999997</v>
      </c>
      <c r="AA83" t="s">
        <v>32</v>
      </c>
      <c r="AB83">
        <v>1</v>
      </c>
      <c r="AC83" t="s">
        <v>468</v>
      </c>
      <c r="AD83" s="5">
        <f t="shared" si="10"/>
        <v>2.4482072579666614E-2</v>
      </c>
      <c r="AE83" s="5">
        <f t="shared" si="11"/>
        <v>2.6902777507692148E-2</v>
      </c>
      <c r="AF83" s="5">
        <f t="shared" si="12"/>
        <v>2.1366106164775341E-3</v>
      </c>
      <c r="AG83" s="5">
        <f t="shared" si="13"/>
        <v>0.11411335847163086</v>
      </c>
      <c r="AH83" s="5">
        <f t="shared" si="14"/>
        <v>1.524058547996199</v>
      </c>
      <c r="AI83" s="5">
        <f t="shared" si="15"/>
        <v>1.2682318016473637</v>
      </c>
      <c r="AJ83" s="5">
        <f t="shared" si="16"/>
        <v>1.1739154394192435</v>
      </c>
      <c r="AK83" s="5">
        <f t="shared" si="17"/>
        <v>0.22382653098873201</v>
      </c>
      <c r="AL83" s="5">
        <f t="shared" si="18"/>
        <v>1.1739154394192435</v>
      </c>
      <c r="AM83" s="10">
        <f t="shared" si="19"/>
        <v>16.2941549245682</v>
      </c>
    </row>
    <row r="84" spans="1:39" x14ac:dyDescent="0.3">
      <c r="A84">
        <v>6827</v>
      </c>
      <c r="B84" t="s">
        <v>785</v>
      </c>
      <c r="C84" t="s">
        <v>101</v>
      </c>
      <c r="D84" s="1">
        <v>43641</v>
      </c>
      <c r="E84">
        <v>13</v>
      </c>
      <c r="F84" t="s">
        <v>786</v>
      </c>
      <c r="G84" s="4">
        <v>17.722000000000001</v>
      </c>
      <c r="H84" s="4">
        <v>85.245000000000005</v>
      </c>
      <c r="I84" s="4">
        <v>2397.1990000000001</v>
      </c>
      <c r="J84" s="4">
        <v>103.173</v>
      </c>
      <c r="K84" s="4">
        <v>782.27499999999998</v>
      </c>
      <c r="L84" s="4">
        <v>41.15</v>
      </c>
      <c r="M84" s="4">
        <v>839.59500000000003</v>
      </c>
      <c r="N84" s="4">
        <v>-57.32</v>
      </c>
      <c r="O84" s="4">
        <v>75.478999999999999</v>
      </c>
      <c r="P84" s="4">
        <v>161.72800000000001</v>
      </c>
      <c r="Q84" s="4">
        <v>0</v>
      </c>
      <c r="R84" s="4">
        <v>1.49</v>
      </c>
      <c r="S84" s="4">
        <v>601.50800000000004</v>
      </c>
      <c r="T84" s="4">
        <v>839.59500000000003</v>
      </c>
      <c r="U84" s="4">
        <v>944.00300000000004</v>
      </c>
      <c r="V84" s="4">
        <v>688.19299999999998</v>
      </c>
      <c r="W84" s="4">
        <v>321.72199999999998</v>
      </c>
      <c r="X84" s="4">
        <v>211.768</v>
      </c>
      <c r="Y84">
        <v>10.93</v>
      </c>
      <c r="Z84">
        <v>541.42150000000004</v>
      </c>
      <c r="AA84" t="s">
        <v>32</v>
      </c>
      <c r="AB84">
        <v>1</v>
      </c>
      <c r="AC84" t="s">
        <v>468</v>
      </c>
      <c r="AD84" s="5">
        <f t="shared" si="10"/>
        <v>2.1715529262417016E-2</v>
      </c>
      <c r="AE84" s="5">
        <f t="shared" si="11"/>
        <v>3.5560251777178281E-2</v>
      </c>
      <c r="AF84" s="5">
        <f t="shared" si="12"/>
        <v>2.0678605207261383E-3</v>
      </c>
      <c r="AG84" s="5">
        <f t="shared" si="13"/>
        <v>-6.0720146016485115E-2</v>
      </c>
      <c r="AH84" s="5">
        <f t="shared" si="14"/>
        <v>1.1243551950642869</v>
      </c>
      <c r="AI84" s="5">
        <f t="shared" si="15"/>
        <v>0.63794148199445977</v>
      </c>
      <c r="AJ84" s="5">
        <f t="shared" si="16"/>
        <v>0.9317289883813028</v>
      </c>
      <c r="AK84" s="5">
        <f t="shared" si="17"/>
        <v>0.10929308487367095</v>
      </c>
      <c r="AL84" s="5">
        <f t="shared" si="18"/>
        <v>0.9317289883813028</v>
      </c>
      <c r="AM84" s="10">
        <f t="shared" si="19"/>
        <v>-41.821336357292395</v>
      </c>
    </row>
    <row r="85" spans="1:39" x14ac:dyDescent="0.3">
      <c r="A85">
        <v>7204</v>
      </c>
      <c r="B85" t="s">
        <v>789</v>
      </c>
      <c r="C85" t="s">
        <v>101</v>
      </c>
      <c r="D85" s="1">
        <v>41715</v>
      </c>
      <c r="E85">
        <v>7</v>
      </c>
      <c r="F85" t="s">
        <v>790</v>
      </c>
      <c r="G85" s="4">
        <v>22.686</v>
      </c>
      <c r="H85" s="4">
        <v>64.781999999999996</v>
      </c>
      <c r="I85" s="4">
        <v>2261.5010000000002</v>
      </c>
      <c r="J85" s="4">
        <v>133.13900000000001</v>
      </c>
      <c r="K85" s="4">
        <v>657.69100000000003</v>
      </c>
      <c r="L85" s="4">
        <v>44.357999999999997</v>
      </c>
      <c r="M85" s="4">
        <v>499.346</v>
      </c>
      <c r="N85" s="4">
        <v>158.345</v>
      </c>
      <c r="O85" s="4">
        <v>36.628999999999998</v>
      </c>
      <c r="P85" s="4">
        <v>54.878</v>
      </c>
      <c r="Q85" s="4">
        <v>74.010000000000005</v>
      </c>
      <c r="R85" s="4">
        <v>5.1630000000000003</v>
      </c>
      <c r="S85" s="4">
        <v>490.54300000000001</v>
      </c>
      <c r="T85" s="4">
        <v>573.35599999999999</v>
      </c>
      <c r="U85" s="4">
        <v>727.23500000000001</v>
      </c>
      <c r="V85" s="4">
        <v>662.16</v>
      </c>
      <c r="W85" s="4">
        <v>585.00300000000004</v>
      </c>
      <c r="X85" s="4">
        <v>240.30799999999999</v>
      </c>
      <c r="Y85">
        <v>18.309999999999999</v>
      </c>
      <c r="Z85">
        <v>553.67650000000003</v>
      </c>
      <c r="AA85" t="s">
        <v>32</v>
      </c>
      <c r="AB85">
        <v>1</v>
      </c>
      <c r="AC85" t="s">
        <v>468</v>
      </c>
      <c r="AD85" s="5">
        <f t="shared" si="10"/>
        <v>3.2655940175400085E-2</v>
      </c>
      <c r="AE85" s="5">
        <f t="shared" si="11"/>
        <v>2.8645576544074042E-2</v>
      </c>
      <c r="AF85" s="5">
        <f t="shared" si="12"/>
        <v>9.7058085400963823E-3</v>
      </c>
      <c r="AG85" s="5">
        <f t="shared" si="13"/>
        <v>0.21773567003788322</v>
      </c>
      <c r="AH85" s="5">
        <f t="shared" si="14"/>
        <v>1.2683829941606961</v>
      </c>
      <c r="AI85" s="5">
        <f t="shared" si="15"/>
        <v>2.4260906009694234</v>
      </c>
      <c r="AJ85" s="5">
        <f t="shared" si="16"/>
        <v>1.3171047730431404</v>
      </c>
      <c r="AK85" s="5">
        <f t="shared" si="17"/>
        <v>0.18307562204789374</v>
      </c>
      <c r="AL85" s="5">
        <f t="shared" si="18"/>
        <v>1.1470901150419635</v>
      </c>
      <c r="AM85" s="10">
        <f t="shared" si="19"/>
        <v>14.282111844390414</v>
      </c>
    </row>
    <row r="86" spans="1:39" x14ac:dyDescent="0.3">
      <c r="A86">
        <v>7416</v>
      </c>
      <c r="B86" t="s">
        <v>795</v>
      </c>
      <c r="C86" t="s">
        <v>101</v>
      </c>
      <c r="D86" s="1">
        <v>38729</v>
      </c>
      <c r="E86">
        <v>0</v>
      </c>
      <c r="F86" t="s">
        <v>796</v>
      </c>
      <c r="G86" s="4">
        <v>57.749000000000002</v>
      </c>
      <c r="H86" s="4">
        <v>85.009</v>
      </c>
      <c r="I86" s="4">
        <v>2196.7190000000001</v>
      </c>
      <c r="J86" s="4">
        <v>343.99099999999999</v>
      </c>
      <c r="K86" s="4">
        <v>690.70399999999995</v>
      </c>
      <c r="L86" s="4">
        <v>77.757000000000005</v>
      </c>
      <c r="M86" s="4">
        <v>337.48099999999999</v>
      </c>
      <c r="N86" s="4">
        <v>353.22300000000001</v>
      </c>
      <c r="O86" s="4">
        <v>59.716999999999999</v>
      </c>
      <c r="P86" s="4">
        <v>8.75</v>
      </c>
      <c r="Q86" s="4">
        <v>27.44</v>
      </c>
      <c r="R86" s="4">
        <v>3.4689999999999999</v>
      </c>
      <c r="S86" s="4">
        <v>385.19</v>
      </c>
      <c r="T86" s="4">
        <v>364.92099999999999</v>
      </c>
      <c r="U86" s="4">
        <v>714.09199999999998</v>
      </c>
      <c r="V86" s="4">
        <v>674.31299999999999</v>
      </c>
      <c r="W86" s="4">
        <v>569.37</v>
      </c>
      <c r="X86" s="4">
        <v>154.905</v>
      </c>
      <c r="Y86">
        <v>48.17</v>
      </c>
      <c r="Z86">
        <v>528.16999999999996</v>
      </c>
      <c r="AA86" t="s">
        <v>32</v>
      </c>
      <c r="AB86">
        <v>1</v>
      </c>
      <c r="AC86" t="s">
        <v>468</v>
      </c>
      <c r="AD86" s="5">
        <f t="shared" si="10"/>
        <v>8.3187542539820872E-2</v>
      </c>
      <c r="AE86" s="5">
        <f t="shared" si="11"/>
        <v>3.8698167585385294E-2</v>
      </c>
      <c r="AF86" s="5">
        <f t="shared" si="12"/>
        <v>9.2492977705966178E-3</v>
      </c>
      <c r="AG86" s="5">
        <f t="shared" si="13"/>
        <v>0.49464634808960195</v>
      </c>
      <c r="AH86" s="5">
        <f t="shared" si="14"/>
        <v>1.9568399735833235</v>
      </c>
      <c r="AI86" s="5">
        <f t="shared" si="15"/>
        <v>39.31325714285714</v>
      </c>
      <c r="AJ86" s="5">
        <f t="shared" si="16"/>
        <v>2.0466455889368587</v>
      </c>
      <c r="AK86" s="5">
        <f t="shared" si="17"/>
        <v>0.48171804193297219</v>
      </c>
      <c r="AL86" s="5">
        <f t="shared" si="18"/>
        <v>1.892749389593912</v>
      </c>
      <c r="AM86" s="10">
        <f t="shared" si="19"/>
        <v>6.2190712382828979</v>
      </c>
    </row>
    <row r="87" spans="1:39" x14ac:dyDescent="0.3">
      <c r="A87">
        <v>7795</v>
      </c>
      <c r="B87" t="s">
        <v>797</v>
      </c>
      <c r="C87" t="s">
        <v>58</v>
      </c>
      <c r="D87" s="1">
        <v>44076</v>
      </c>
      <c r="E87">
        <v>6</v>
      </c>
      <c r="F87" t="s">
        <v>798</v>
      </c>
      <c r="G87" s="4">
        <v>4.0190000000000001</v>
      </c>
      <c r="H87" s="4">
        <v>54.743000000000002</v>
      </c>
      <c r="I87" s="4">
        <v>2081.643</v>
      </c>
      <c r="J87" s="4">
        <v>91.682000000000002</v>
      </c>
      <c r="K87" s="4">
        <v>574.89</v>
      </c>
      <c r="L87" s="4">
        <v>160.27000000000001</v>
      </c>
      <c r="M87" s="4">
        <v>559.221</v>
      </c>
      <c r="N87" s="4">
        <v>15.669</v>
      </c>
      <c r="O87" s="4">
        <v>13.377000000000001</v>
      </c>
      <c r="P87" s="4">
        <v>277.173</v>
      </c>
      <c r="Q87" s="4">
        <v>206.559</v>
      </c>
      <c r="R87" s="4">
        <v>12.087</v>
      </c>
      <c r="S87" s="4">
        <v>354.041</v>
      </c>
      <c r="T87" s="4">
        <v>765.78</v>
      </c>
      <c r="U87" s="4">
        <v>899.96400000000006</v>
      </c>
      <c r="V87" s="4">
        <v>451.24</v>
      </c>
      <c r="W87" s="4">
        <v>256.822</v>
      </c>
      <c r="X87" s="4">
        <v>76.423000000000002</v>
      </c>
      <c r="Y87">
        <v>10.19</v>
      </c>
      <c r="Z87">
        <v>421.11225000000002</v>
      </c>
      <c r="AA87" t="s">
        <v>32</v>
      </c>
      <c r="AB87">
        <v>1</v>
      </c>
      <c r="AC87" t="s">
        <v>468</v>
      </c>
      <c r="AD87" s="5">
        <f t="shared" si="10"/>
        <v>5.9487686537340028E-3</v>
      </c>
      <c r="AE87" s="5">
        <f t="shared" si="11"/>
        <v>2.6297977126721536E-2</v>
      </c>
      <c r="AF87" s="5">
        <f t="shared" si="12"/>
        <v>2.1587378697131062E-2</v>
      </c>
      <c r="AG87" s="5">
        <f t="shared" si="13"/>
        <v>1.7410696427857114E-2</v>
      </c>
      <c r="AH87" s="5">
        <f t="shared" si="14"/>
        <v>1.175225260518687</v>
      </c>
      <c r="AI87" s="5">
        <f t="shared" si="15"/>
        <v>0.33077536412276809</v>
      </c>
      <c r="AJ87" s="5">
        <f t="shared" si="16"/>
        <v>1.0280193340378847</v>
      </c>
      <c r="AK87" s="5">
        <f t="shared" si="17"/>
        <v>0.10187296380744118</v>
      </c>
      <c r="AL87" s="5">
        <f t="shared" si="18"/>
        <v>0.75072475123403593</v>
      </c>
      <c r="AM87" s="10">
        <f t="shared" si="19"/>
        <v>132.85104346161211</v>
      </c>
    </row>
    <row r="88" spans="1:39" x14ac:dyDescent="0.3">
      <c r="A88">
        <v>8119</v>
      </c>
      <c r="B88" t="s">
        <v>799</v>
      </c>
      <c r="C88" t="s">
        <v>101</v>
      </c>
      <c r="D88" s="1">
        <v>41558</v>
      </c>
      <c r="E88">
        <v>5</v>
      </c>
      <c r="F88" t="s">
        <v>800</v>
      </c>
      <c r="G88" s="4">
        <v>5.0309999999999997</v>
      </c>
      <c r="H88" s="4">
        <v>24.77</v>
      </c>
      <c r="I88" s="4">
        <v>1999.723</v>
      </c>
      <c r="J88" s="4">
        <v>112.236</v>
      </c>
      <c r="K88" s="4">
        <v>487.60700000000003</v>
      </c>
      <c r="L88" s="4">
        <v>89.799000000000007</v>
      </c>
      <c r="M88" s="4">
        <v>353.21800000000002</v>
      </c>
      <c r="N88" s="4">
        <v>134.38900000000001</v>
      </c>
      <c r="O88" s="4">
        <v>10.157999999999999</v>
      </c>
      <c r="P88" s="4">
        <v>29.463999999999999</v>
      </c>
      <c r="Q88" s="4">
        <v>49.523000000000003</v>
      </c>
      <c r="R88" s="4">
        <v>5.74</v>
      </c>
      <c r="S88" s="4">
        <v>471.74700000000001</v>
      </c>
      <c r="T88" s="4">
        <v>402.74099999999999</v>
      </c>
      <c r="U88" s="4">
        <v>540.12900000000002</v>
      </c>
      <c r="V88" s="4">
        <v>558.39</v>
      </c>
      <c r="W88" s="4">
        <v>347.96199999999999</v>
      </c>
      <c r="X88" s="4">
        <v>344.16</v>
      </c>
      <c r="Y88">
        <v>20.78</v>
      </c>
      <c r="Z88">
        <v>447.66025000000002</v>
      </c>
      <c r="AA88" t="s">
        <v>32</v>
      </c>
      <c r="AB88">
        <v>1</v>
      </c>
      <c r="AC88" t="s">
        <v>468</v>
      </c>
      <c r="AD88" s="5">
        <f t="shared" si="10"/>
        <v>9.1596048862149851E-3</v>
      </c>
      <c r="AE88" s="5">
        <f t="shared" si="11"/>
        <v>1.2386715560105075E-2</v>
      </c>
      <c r="AF88" s="5">
        <f t="shared" si="12"/>
        <v>1.3127681569101005E-2</v>
      </c>
      <c r="AG88" s="5">
        <f t="shared" si="13"/>
        <v>0.24880908079366226</v>
      </c>
      <c r="AH88" s="5">
        <f t="shared" si="14"/>
        <v>1.3411323902955001</v>
      </c>
      <c r="AI88" s="5">
        <f t="shared" si="15"/>
        <v>3.8092587564485476</v>
      </c>
      <c r="AJ88" s="5">
        <f t="shared" si="16"/>
        <v>1.3804704177023821</v>
      </c>
      <c r="AK88" s="5">
        <f t="shared" si="17"/>
        <v>0.20779480457446275</v>
      </c>
      <c r="AL88" s="5">
        <f t="shared" si="18"/>
        <v>1.2107210341137358</v>
      </c>
      <c r="AM88" s="10">
        <f t="shared" si="19"/>
        <v>14.880109235130851</v>
      </c>
    </row>
    <row r="89" spans="1:39" x14ac:dyDescent="0.3">
      <c r="A89">
        <v>8161</v>
      </c>
      <c r="B89" t="s">
        <v>801</v>
      </c>
      <c r="C89" t="s">
        <v>35</v>
      </c>
      <c r="D89" s="1">
        <v>42615</v>
      </c>
      <c r="E89">
        <v>38</v>
      </c>
      <c r="F89" t="s">
        <v>802</v>
      </c>
      <c r="G89" s="4">
        <v>89.382999999999996</v>
      </c>
      <c r="H89" s="4">
        <v>128.61000000000001</v>
      </c>
      <c r="I89" s="4">
        <v>1987.277</v>
      </c>
      <c r="J89" s="4">
        <v>157.17599999999999</v>
      </c>
      <c r="K89" s="4">
        <v>817.70600000000002</v>
      </c>
      <c r="L89" s="4">
        <v>17.878</v>
      </c>
      <c r="M89" s="4">
        <v>765.97199999999998</v>
      </c>
      <c r="N89" s="4">
        <v>51.734000000000002</v>
      </c>
      <c r="O89" s="4">
        <v>99.096000000000004</v>
      </c>
      <c r="P89" s="4">
        <v>179.91200000000001</v>
      </c>
      <c r="Q89" s="4">
        <v>24.709</v>
      </c>
      <c r="R89" s="4">
        <v>2.008</v>
      </c>
      <c r="S89" s="4">
        <v>489.51400000000001</v>
      </c>
      <c r="T89" s="4">
        <v>790.68100000000004</v>
      </c>
      <c r="U89" s="4">
        <v>997.61800000000005</v>
      </c>
      <c r="V89" s="4">
        <v>594.17700000000002</v>
      </c>
      <c r="W89" s="4">
        <v>352.86700000000002</v>
      </c>
      <c r="X89" s="4">
        <v>0.05</v>
      </c>
      <c r="Y89">
        <v>15.76</v>
      </c>
      <c r="Z89">
        <v>486.178</v>
      </c>
      <c r="AA89" t="s">
        <v>32</v>
      </c>
      <c r="AB89">
        <v>1</v>
      </c>
      <c r="AC89" t="s">
        <v>468</v>
      </c>
      <c r="AD89" s="5">
        <f t="shared" si="10"/>
        <v>0.11230466234659613</v>
      </c>
      <c r="AE89" s="5">
        <f t="shared" si="11"/>
        <v>6.4716695256876622E-2</v>
      </c>
      <c r="AF89" s="5">
        <f t="shared" si="12"/>
        <v>3.1370220942903227E-3</v>
      </c>
      <c r="AG89" s="5">
        <f t="shared" si="13"/>
        <v>5.1857524623653541E-2</v>
      </c>
      <c r="AH89" s="5">
        <f t="shared" si="14"/>
        <v>1.2617199603885765</v>
      </c>
      <c r="AI89" s="5">
        <f t="shared" si="15"/>
        <v>0.87362710658544163</v>
      </c>
      <c r="AJ89" s="5">
        <f t="shared" si="16"/>
        <v>1.0675403278448821</v>
      </c>
      <c r="AK89" s="5">
        <f t="shared" si="17"/>
        <v>0.15755128716602945</v>
      </c>
      <c r="AL89" s="5">
        <f t="shared" si="18"/>
        <v>1.0341793972537596</v>
      </c>
      <c r="AM89" s="10">
        <f t="shared" si="19"/>
        <v>38.413364518498476</v>
      </c>
    </row>
    <row r="90" spans="1:39" x14ac:dyDescent="0.3">
      <c r="A90">
        <v>8265</v>
      </c>
      <c r="B90" t="s">
        <v>805</v>
      </c>
      <c r="C90" t="s">
        <v>58</v>
      </c>
      <c r="D90" s="1">
        <v>38343</v>
      </c>
      <c r="E90">
        <v>12</v>
      </c>
      <c r="F90" t="s">
        <v>806</v>
      </c>
      <c r="G90" s="4">
        <v>4.5590000000000002</v>
      </c>
      <c r="H90" s="4">
        <v>19.001999999999999</v>
      </c>
      <c r="I90" s="4">
        <v>1958.7349999999999</v>
      </c>
      <c r="J90" s="4">
        <v>90.296000000000006</v>
      </c>
      <c r="K90" s="4">
        <v>415.79500000000002</v>
      </c>
      <c r="L90" s="4">
        <v>0</v>
      </c>
      <c r="M90" s="4">
        <v>219.66</v>
      </c>
      <c r="N90" s="4">
        <v>196.13499999999999</v>
      </c>
      <c r="O90" s="4">
        <v>9.673</v>
      </c>
      <c r="P90" s="4">
        <v>10.436999999999999</v>
      </c>
      <c r="Q90" s="4">
        <v>16.302</v>
      </c>
      <c r="R90" s="4">
        <v>0.19600000000000001</v>
      </c>
      <c r="S90" s="4">
        <v>335.42899999999997</v>
      </c>
      <c r="T90" s="4">
        <v>235.96199999999999</v>
      </c>
      <c r="U90" s="4">
        <v>435.84300000000002</v>
      </c>
      <c r="V90" s="4">
        <v>523.60900000000004</v>
      </c>
      <c r="W90" s="4">
        <v>502.43</v>
      </c>
      <c r="X90" s="4">
        <v>348.18099999999998</v>
      </c>
      <c r="Y90">
        <v>20.72</v>
      </c>
      <c r="Z90">
        <v>452.51575000000003</v>
      </c>
      <c r="AA90" t="s">
        <v>32</v>
      </c>
      <c r="AB90">
        <v>1</v>
      </c>
      <c r="AC90" t="s">
        <v>468</v>
      </c>
      <c r="AD90" s="5">
        <f t="shared" si="10"/>
        <v>9.5033414907676472E-3</v>
      </c>
      <c r="AE90" s="5">
        <f t="shared" si="11"/>
        <v>9.7011591665028696E-3</v>
      </c>
      <c r="AF90" s="5">
        <f t="shared" si="12"/>
        <v>6.860451074658159E-4</v>
      </c>
      <c r="AG90" s="5">
        <f t="shared" si="13"/>
        <v>0.45001296338360369</v>
      </c>
      <c r="AH90" s="5">
        <f t="shared" si="14"/>
        <v>1.8470897856434512</v>
      </c>
      <c r="AI90" s="5">
        <f t="shared" si="15"/>
        <v>8.6515282169205729</v>
      </c>
      <c r="AJ90" s="5">
        <f t="shared" si="16"/>
        <v>1.8929026677592644</v>
      </c>
      <c r="AK90" s="5">
        <f t="shared" si="17"/>
        <v>0.20717551962518613</v>
      </c>
      <c r="AL90" s="5">
        <f t="shared" si="18"/>
        <v>1.7621269526449175</v>
      </c>
      <c r="AM90" s="10">
        <f t="shared" si="19"/>
        <v>9.9866673464705435</v>
      </c>
    </row>
    <row r="91" spans="1:39" x14ac:dyDescent="0.3">
      <c r="A91">
        <v>8527</v>
      </c>
      <c r="B91" t="s">
        <v>809</v>
      </c>
      <c r="C91" t="s">
        <v>35</v>
      </c>
      <c r="D91" s="1">
        <v>42664</v>
      </c>
      <c r="E91">
        <v>2</v>
      </c>
      <c r="F91" t="s">
        <v>810</v>
      </c>
      <c r="G91" s="4">
        <v>56.363</v>
      </c>
      <c r="H91" s="4">
        <v>116.643</v>
      </c>
      <c r="I91" s="4">
        <v>1896.075</v>
      </c>
      <c r="J91" s="4">
        <v>340.19</v>
      </c>
      <c r="K91" s="4">
        <v>732.91899999999998</v>
      </c>
      <c r="L91" s="4">
        <v>0</v>
      </c>
      <c r="M91" s="4">
        <v>427.34100000000001</v>
      </c>
      <c r="N91" s="4">
        <v>305.57799999999997</v>
      </c>
      <c r="O91" s="4">
        <v>64.501999999999995</v>
      </c>
      <c r="P91" s="4">
        <v>81.254999999999995</v>
      </c>
      <c r="Q91" s="4">
        <v>46.087000000000003</v>
      </c>
      <c r="R91" s="4">
        <v>3.2570000000000001</v>
      </c>
      <c r="S91" s="4">
        <v>366.36099999999999</v>
      </c>
      <c r="T91" s="4">
        <v>473.428</v>
      </c>
      <c r="U91" s="4">
        <v>819.52</v>
      </c>
      <c r="V91" s="4">
        <v>656.22900000000004</v>
      </c>
      <c r="W91" s="4">
        <v>376.84100000000001</v>
      </c>
      <c r="X91" s="4">
        <v>242.607</v>
      </c>
      <c r="Y91">
        <v>41.51</v>
      </c>
      <c r="Z91">
        <v>523.79925000000003</v>
      </c>
      <c r="AA91" t="s">
        <v>32</v>
      </c>
      <c r="AB91">
        <v>1</v>
      </c>
      <c r="AC91" t="s">
        <v>468</v>
      </c>
      <c r="AD91" s="5">
        <f t="shared" si="10"/>
        <v>7.6385618421560844E-2</v>
      </c>
      <c r="AE91" s="5">
        <f t="shared" si="11"/>
        <v>6.1518136149677626E-2</v>
      </c>
      <c r="AF91" s="5">
        <f t="shared" si="12"/>
        <v>7.756710316519983E-3</v>
      </c>
      <c r="AG91" s="5">
        <f t="shared" si="13"/>
        <v>0.37287436548223346</v>
      </c>
      <c r="AH91" s="5">
        <f t="shared" si="14"/>
        <v>1.7310340748751658</v>
      </c>
      <c r="AI91" s="5">
        <f t="shared" si="15"/>
        <v>4.1866962033105661</v>
      </c>
      <c r="AJ91" s="5">
        <f t="shared" si="16"/>
        <v>1.7150682944065745</v>
      </c>
      <c r="AK91" s="5">
        <f t="shared" si="17"/>
        <v>0.41510884420148381</v>
      </c>
      <c r="AL91" s="5">
        <f t="shared" si="18"/>
        <v>1.5481108003751363</v>
      </c>
      <c r="AM91" s="10">
        <f t="shared" si="19"/>
        <v>6.2048805869532497</v>
      </c>
    </row>
    <row r="92" spans="1:39" x14ac:dyDescent="0.3">
      <c r="A92">
        <v>8573</v>
      </c>
      <c r="B92" t="s">
        <v>811</v>
      </c>
      <c r="C92" t="s">
        <v>101</v>
      </c>
      <c r="D92" s="1">
        <v>42072</v>
      </c>
      <c r="E92">
        <v>0</v>
      </c>
      <c r="F92" t="s">
        <v>812</v>
      </c>
      <c r="G92" s="4">
        <v>11.847</v>
      </c>
      <c r="H92" s="4">
        <v>46.518000000000001</v>
      </c>
      <c r="I92" s="4">
        <v>1886.135</v>
      </c>
      <c r="J92" s="4">
        <v>72.515000000000001</v>
      </c>
      <c r="K92" s="4">
        <v>412.83</v>
      </c>
      <c r="L92" s="4">
        <v>0</v>
      </c>
      <c r="M92" s="4">
        <v>373.904</v>
      </c>
      <c r="N92" s="4">
        <v>38.926000000000002</v>
      </c>
      <c r="O92" s="4">
        <v>32.018999999999998</v>
      </c>
      <c r="P92" s="4">
        <v>73.588999999999999</v>
      </c>
      <c r="Q92" s="4">
        <v>0</v>
      </c>
      <c r="R92" s="4">
        <v>1.292</v>
      </c>
      <c r="S92" s="4">
        <v>419.35</v>
      </c>
      <c r="T92" s="4">
        <v>373.904</v>
      </c>
      <c r="U92" s="4">
        <v>486.41899999999998</v>
      </c>
      <c r="V92" s="4">
        <v>510.01799999999997</v>
      </c>
      <c r="W92" s="4">
        <v>319.12200000000001</v>
      </c>
      <c r="X92" s="4">
        <v>167.792</v>
      </c>
      <c r="Y92">
        <v>14.91</v>
      </c>
      <c r="Z92">
        <v>370.83775000000003</v>
      </c>
      <c r="AA92" t="s">
        <v>32</v>
      </c>
      <c r="AB92">
        <v>1</v>
      </c>
      <c r="AC92" t="s">
        <v>468</v>
      </c>
      <c r="AD92" s="5">
        <f t="shared" si="10"/>
        <v>2.3778723592158865E-2</v>
      </c>
      <c r="AE92" s="5">
        <f t="shared" si="11"/>
        <v>2.4663133868996653E-2</v>
      </c>
      <c r="AF92" s="5">
        <f t="shared" si="12"/>
        <v>3.2574686040032575E-3</v>
      </c>
      <c r="AG92" s="5">
        <f t="shared" si="13"/>
        <v>8.002565689251448E-2</v>
      </c>
      <c r="AH92" s="5">
        <f t="shared" si="14"/>
        <v>1.3009194873550429</v>
      </c>
      <c r="AI92" s="5">
        <f t="shared" si="15"/>
        <v>0.98540542744160131</v>
      </c>
      <c r="AJ92" s="5">
        <f t="shared" si="16"/>
        <v>1.1041069365398604</v>
      </c>
      <c r="AK92" s="5">
        <f t="shared" si="17"/>
        <v>0.14907929172174608</v>
      </c>
      <c r="AL92" s="5">
        <f t="shared" si="18"/>
        <v>1.1041069365398604</v>
      </c>
      <c r="AM92" s="10">
        <f t="shared" si="19"/>
        <v>48.454374967887787</v>
      </c>
    </row>
    <row r="93" spans="1:39" x14ac:dyDescent="0.3">
      <c r="A93">
        <v>8650</v>
      </c>
      <c r="B93" t="s">
        <v>817</v>
      </c>
      <c r="C93" t="s">
        <v>58</v>
      </c>
      <c r="D93" s="1">
        <v>43161</v>
      </c>
      <c r="E93">
        <v>13</v>
      </c>
      <c r="F93" t="s">
        <v>818</v>
      </c>
      <c r="G93" s="4">
        <v>16.332000000000001</v>
      </c>
      <c r="H93" s="4">
        <v>73.691999999999993</v>
      </c>
      <c r="I93" s="4">
        <v>1865.75</v>
      </c>
      <c r="J93" s="4">
        <v>206.358</v>
      </c>
      <c r="K93" s="4">
        <v>714.04100000000005</v>
      </c>
      <c r="L93" s="4">
        <v>101.047</v>
      </c>
      <c r="M93" s="4">
        <v>416.83199999999999</v>
      </c>
      <c r="N93" s="4">
        <v>297.209</v>
      </c>
      <c r="O93" s="4">
        <v>28.931000000000001</v>
      </c>
      <c r="P93" s="4">
        <v>8.6950000000000003</v>
      </c>
      <c r="Q93" s="4">
        <v>8.0649999999999995</v>
      </c>
      <c r="R93" s="4">
        <v>3.7679999999999998</v>
      </c>
      <c r="S93" s="4">
        <v>415.96100000000001</v>
      </c>
      <c r="T93" s="4">
        <v>424.89699999999999</v>
      </c>
      <c r="U93" s="4">
        <v>725.87599999999998</v>
      </c>
      <c r="V93" s="4">
        <v>700.46600000000001</v>
      </c>
      <c r="W93" s="4">
        <v>502.73099999999999</v>
      </c>
      <c r="X93" s="4">
        <v>394.16399999999999</v>
      </c>
      <c r="Y93">
        <v>28.43</v>
      </c>
      <c r="Z93">
        <v>580.80925000000002</v>
      </c>
      <c r="AA93" t="s">
        <v>32</v>
      </c>
      <c r="AB93">
        <v>1</v>
      </c>
      <c r="AC93" t="s">
        <v>468</v>
      </c>
      <c r="AD93" s="5">
        <f t="shared" si="10"/>
        <v>2.290053858050874E-2</v>
      </c>
      <c r="AE93" s="5">
        <f t="shared" si="11"/>
        <v>3.9497253115369148E-2</v>
      </c>
      <c r="AF93" s="5">
        <f t="shared" si="12"/>
        <v>8.9622742484462298E-3</v>
      </c>
      <c r="AG93" s="5">
        <f t="shared" si="13"/>
        <v>0.40944872126919751</v>
      </c>
      <c r="AH93" s="5">
        <f t="shared" si="14"/>
        <v>1.7083575548897734</v>
      </c>
      <c r="AI93" s="5">
        <f t="shared" si="15"/>
        <v>23.732949971247844</v>
      </c>
      <c r="AJ93" s="5">
        <f t="shared" si="16"/>
        <v>1.7130186741900815</v>
      </c>
      <c r="AK93" s="5">
        <f t="shared" si="17"/>
        <v>0.28428822553714411</v>
      </c>
      <c r="AL93" s="5">
        <f t="shared" si="18"/>
        <v>1.6805037456136429</v>
      </c>
      <c r="AM93" s="10">
        <f t="shared" si="19"/>
        <v>6.2775689834426283</v>
      </c>
    </row>
    <row r="94" spans="1:39" x14ac:dyDescent="0.3">
      <c r="A94">
        <v>8661</v>
      </c>
      <c r="B94" t="s">
        <v>819</v>
      </c>
      <c r="C94" t="s">
        <v>58</v>
      </c>
      <c r="D94" s="1">
        <v>43845</v>
      </c>
      <c r="E94">
        <v>3</v>
      </c>
      <c r="F94" t="s">
        <v>820</v>
      </c>
      <c r="G94" s="4">
        <v>39.770000000000003</v>
      </c>
      <c r="H94" s="4">
        <v>107.273</v>
      </c>
      <c r="I94" s="4">
        <v>1864.0309999999999</v>
      </c>
      <c r="J94" s="4">
        <v>101.664</v>
      </c>
      <c r="K94" s="4">
        <v>862.73</v>
      </c>
      <c r="L94" s="4">
        <v>0</v>
      </c>
      <c r="M94" s="4">
        <v>744.07799999999997</v>
      </c>
      <c r="N94" s="4">
        <v>118.652</v>
      </c>
      <c r="O94" s="4">
        <v>50.838999999999999</v>
      </c>
      <c r="P94" s="4">
        <v>21.105</v>
      </c>
      <c r="Q94" s="4">
        <v>25.945</v>
      </c>
      <c r="R94" s="4">
        <v>24.577999999999999</v>
      </c>
      <c r="S94" s="4">
        <v>324.99400000000003</v>
      </c>
      <c r="T94" s="4">
        <v>770.02300000000002</v>
      </c>
      <c r="U94" s="4">
        <v>899.83199999999999</v>
      </c>
      <c r="V94" s="4">
        <v>396.47800000000001</v>
      </c>
      <c r="W94" s="4">
        <v>359.87599999999998</v>
      </c>
      <c r="X94" s="4">
        <v>182.864</v>
      </c>
      <c r="Y94">
        <v>11.3</v>
      </c>
      <c r="Z94">
        <v>459.76249999999999</v>
      </c>
      <c r="AA94" t="s">
        <v>32</v>
      </c>
      <c r="AB94">
        <v>1</v>
      </c>
      <c r="AC94" t="s">
        <v>468</v>
      </c>
      <c r="AD94" s="5">
        <f t="shared" si="10"/>
        <v>6.135877992146941E-2</v>
      </c>
      <c r="AE94" s="5">
        <f t="shared" si="11"/>
        <v>5.7548935613195275E-2</v>
      </c>
      <c r="AF94" s="5">
        <f t="shared" si="12"/>
        <v>4.4890627268800387E-2</v>
      </c>
      <c r="AG94" s="5">
        <f t="shared" si="13"/>
        <v>0.13186016945385362</v>
      </c>
      <c r="AH94" s="5">
        <f t="shared" si="14"/>
        <v>1.168578081433931</v>
      </c>
      <c r="AI94" s="5">
        <f t="shared" si="15"/>
        <v>4.8170575692963755</v>
      </c>
      <c r="AJ94" s="5">
        <f t="shared" si="16"/>
        <v>1.1594617768567275</v>
      </c>
      <c r="AK94" s="5">
        <f t="shared" si="17"/>
        <v>0.11298108980342998</v>
      </c>
      <c r="AL94" s="5">
        <f t="shared" si="18"/>
        <v>1.1203951050812768</v>
      </c>
      <c r="AM94" s="10">
        <f t="shared" si="19"/>
        <v>15.710068098304284</v>
      </c>
    </row>
    <row r="95" spans="1:39" x14ac:dyDescent="0.3">
      <c r="A95">
        <v>8921</v>
      </c>
      <c r="B95" t="s">
        <v>823</v>
      </c>
      <c r="C95" t="s">
        <v>101</v>
      </c>
      <c r="D95" s="1">
        <v>42041</v>
      </c>
      <c r="E95">
        <v>4</v>
      </c>
      <c r="F95" t="s">
        <v>824</v>
      </c>
      <c r="G95" s="4">
        <v>104.008</v>
      </c>
      <c r="H95" s="4">
        <v>162.113</v>
      </c>
      <c r="I95" s="4">
        <v>1801.6790000000001</v>
      </c>
      <c r="J95" s="4">
        <v>189.71100000000001</v>
      </c>
      <c r="K95" s="4">
        <v>600.96299999999997</v>
      </c>
      <c r="L95" s="4">
        <v>17.53</v>
      </c>
      <c r="M95" s="4">
        <v>404.613</v>
      </c>
      <c r="N95" s="4">
        <v>196.35</v>
      </c>
      <c r="O95" s="4">
        <v>116.19799999999999</v>
      </c>
      <c r="P95" s="4">
        <v>303.459</v>
      </c>
      <c r="Q95" s="4">
        <v>316.74599999999998</v>
      </c>
      <c r="R95" s="4">
        <v>2.4889999999999999</v>
      </c>
      <c r="S95" s="4">
        <v>341.24299999999999</v>
      </c>
      <c r="T95" s="4">
        <v>721.35900000000004</v>
      </c>
      <c r="U95" s="4">
        <v>926.46100000000001</v>
      </c>
      <c r="V95" s="4">
        <v>469.077</v>
      </c>
      <c r="W95" s="4">
        <v>366.56799999999998</v>
      </c>
      <c r="X95" s="4">
        <v>139.56100000000001</v>
      </c>
      <c r="Y95">
        <v>20.48</v>
      </c>
      <c r="Z95">
        <v>475.41674999999998</v>
      </c>
      <c r="AA95" t="s">
        <v>32</v>
      </c>
      <c r="AB95">
        <v>1</v>
      </c>
      <c r="AC95" t="s">
        <v>468</v>
      </c>
      <c r="AD95" s="5">
        <f t="shared" si="10"/>
        <v>0.14905792604715887</v>
      </c>
      <c r="AE95" s="5">
        <f t="shared" si="11"/>
        <v>8.9978847508351931E-2</v>
      </c>
      <c r="AF95" s="5">
        <f t="shared" si="12"/>
        <v>4.6847267368214998E-3</v>
      </c>
      <c r="AG95" s="5">
        <f t="shared" si="13"/>
        <v>0.21193552669783186</v>
      </c>
      <c r="AH95" s="5">
        <f t="shared" si="14"/>
        <v>1.2843272212587629</v>
      </c>
      <c r="AI95" s="5">
        <f t="shared" si="15"/>
        <v>0.62516188348343604</v>
      </c>
      <c r="AJ95" s="5">
        <f t="shared" si="16"/>
        <v>1.4852785254057581</v>
      </c>
      <c r="AK95" s="5">
        <f t="shared" si="17"/>
        <v>0.20476954777373252</v>
      </c>
      <c r="AL95" s="5">
        <f t="shared" si="18"/>
        <v>0.83309836017849637</v>
      </c>
      <c r="AM95" s="10">
        <f t="shared" si="19"/>
        <v>9.1758543417366951</v>
      </c>
    </row>
    <row r="96" spans="1:39" x14ac:dyDescent="0.3">
      <c r="A96">
        <v>8984</v>
      </c>
      <c r="B96" t="s">
        <v>825</v>
      </c>
      <c r="C96" t="s">
        <v>58</v>
      </c>
      <c r="D96" s="1">
        <v>43581</v>
      </c>
      <c r="E96">
        <v>5</v>
      </c>
      <c r="F96" t="s">
        <v>826</v>
      </c>
      <c r="G96" s="4">
        <v>0.19</v>
      </c>
      <c r="H96" s="4">
        <v>21.309000000000001</v>
      </c>
      <c r="I96" s="4">
        <v>1789.8689999999999</v>
      </c>
      <c r="J96" s="4">
        <v>46.241</v>
      </c>
      <c r="K96" s="4">
        <v>340.19299999999998</v>
      </c>
      <c r="L96" s="4">
        <v>0</v>
      </c>
      <c r="M96" s="4">
        <v>291.51</v>
      </c>
      <c r="N96" s="4">
        <v>48.683</v>
      </c>
      <c r="O96" s="4">
        <v>8.7609999999999992</v>
      </c>
      <c r="P96" s="4">
        <v>25.852</v>
      </c>
      <c r="Q96" s="4">
        <v>25.338000000000001</v>
      </c>
      <c r="R96" s="4">
        <v>0.54400000000000004</v>
      </c>
      <c r="S96" s="4">
        <v>298.34899999999999</v>
      </c>
      <c r="T96" s="4">
        <v>316.84800000000001</v>
      </c>
      <c r="U96" s="4">
        <v>367.74400000000003</v>
      </c>
      <c r="V96" s="4">
        <v>352.24799999999999</v>
      </c>
      <c r="W96" s="4">
        <v>116.816</v>
      </c>
      <c r="X96" s="4">
        <v>119.508</v>
      </c>
      <c r="Y96">
        <v>12.57</v>
      </c>
      <c r="Z96">
        <v>239.07900000000001</v>
      </c>
      <c r="AA96" t="s">
        <v>32</v>
      </c>
      <c r="AB96">
        <v>1</v>
      </c>
      <c r="AC96" t="s">
        <v>468</v>
      </c>
      <c r="AD96" s="5">
        <f t="shared" si="10"/>
        <v>5.2778364204046711E-4</v>
      </c>
      <c r="AE96" s="5">
        <f t="shared" si="11"/>
        <v>1.1905340558443105E-2</v>
      </c>
      <c r="AF96" s="5">
        <f t="shared" si="12"/>
        <v>1.7685391833835342E-3</v>
      </c>
      <c r="AG96" s="5">
        <f t="shared" si="13"/>
        <v>0.13238285328924468</v>
      </c>
      <c r="AH96" s="5">
        <f t="shared" si="14"/>
        <v>1.1606322274402869</v>
      </c>
      <c r="AI96" s="5">
        <f t="shared" si="15"/>
        <v>1.7886817267522821</v>
      </c>
      <c r="AJ96" s="5">
        <f t="shared" si="16"/>
        <v>1.1670028472436622</v>
      </c>
      <c r="AK96" s="5">
        <f t="shared" si="17"/>
        <v>0.12574236425339366</v>
      </c>
      <c r="AL96" s="5">
        <f t="shared" si="18"/>
        <v>1.0736788617886177</v>
      </c>
      <c r="AM96" s="10">
        <f t="shared" si="19"/>
        <v>36.765790933179957</v>
      </c>
    </row>
    <row r="97" spans="1:39" x14ac:dyDescent="0.3">
      <c r="A97">
        <v>9078</v>
      </c>
      <c r="B97" t="s">
        <v>827</v>
      </c>
      <c r="C97" t="s">
        <v>58</v>
      </c>
      <c r="D97" s="1">
        <v>43158</v>
      </c>
      <c r="E97">
        <v>7</v>
      </c>
      <c r="F97" t="s">
        <v>828</v>
      </c>
      <c r="G97" s="4">
        <v>34.723999999999997</v>
      </c>
      <c r="H97" s="4">
        <v>84.899000000000001</v>
      </c>
      <c r="I97" s="4">
        <v>1773.9359999999999</v>
      </c>
      <c r="J97" s="4">
        <v>135.35300000000001</v>
      </c>
      <c r="K97" s="4">
        <v>705.47299999999996</v>
      </c>
      <c r="L97" s="4">
        <v>0</v>
      </c>
      <c r="M97" s="4">
        <v>528.375</v>
      </c>
      <c r="N97" s="4">
        <v>177.09800000000001</v>
      </c>
      <c r="O97" s="4">
        <v>52.459000000000003</v>
      </c>
      <c r="P97" s="4">
        <v>76.061999999999998</v>
      </c>
      <c r="Q97" s="4">
        <v>90.537999999999997</v>
      </c>
      <c r="R97" s="4">
        <v>12.397</v>
      </c>
      <c r="S97" s="4">
        <v>321.524</v>
      </c>
      <c r="T97" s="4">
        <v>618.91300000000001</v>
      </c>
      <c r="U97" s="4">
        <v>792.23599999999999</v>
      </c>
      <c r="V97" s="4">
        <v>456.26600000000002</v>
      </c>
      <c r="W97" s="4">
        <v>413.70299999999997</v>
      </c>
      <c r="X97" s="4">
        <v>292.88099999999997</v>
      </c>
      <c r="Y97">
        <v>17.079999999999998</v>
      </c>
      <c r="Z97">
        <v>488.7715</v>
      </c>
      <c r="AA97" t="s">
        <v>32</v>
      </c>
      <c r="AB97">
        <v>1</v>
      </c>
      <c r="AC97" t="s">
        <v>468</v>
      </c>
      <c r="AD97" s="5">
        <f t="shared" si="10"/>
        <v>5.562506107319011E-2</v>
      </c>
      <c r="AE97" s="5">
        <f t="shared" si="11"/>
        <v>4.7859111038955182E-2</v>
      </c>
      <c r="AF97" s="5">
        <f t="shared" si="12"/>
        <v>2.6364339131701539E-2</v>
      </c>
      <c r="AG97" s="5">
        <f t="shared" si="13"/>
        <v>0.22354197486607527</v>
      </c>
      <c r="AH97" s="5">
        <f t="shared" si="14"/>
        <v>1.2800442065362982</v>
      </c>
      <c r="AI97" s="5">
        <f t="shared" si="15"/>
        <v>1.7795088217506771</v>
      </c>
      <c r="AJ97" s="5">
        <f t="shared" si="16"/>
        <v>1.3351748284835581</v>
      </c>
      <c r="AK97" s="5">
        <f t="shared" si="17"/>
        <v>0.17084934287257839</v>
      </c>
      <c r="AL97" s="5">
        <f t="shared" si="18"/>
        <v>1.1398581060666038</v>
      </c>
      <c r="AM97" s="10">
        <f t="shared" si="19"/>
        <v>10.016691323448033</v>
      </c>
    </row>
    <row r="98" spans="1:39" x14ac:dyDescent="0.3">
      <c r="A98">
        <v>9079</v>
      </c>
      <c r="B98" t="s">
        <v>829</v>
      </c>
      <c r="C98" t="s">
        <v>42</v>
      </c>
      <c r="D98" s="1">
        <v>37651</v>
      </c>
      <c r="E98">
        <v>1</v>
      </c>
      <c r="F98" t="s">
        <v>830</v>
      </c>
      <c r="G98" s="4">
        <v>51.307000000000002</v>
      </c>
      <c r="H98" s="4">
        <v>102.425</v>
      </c>
      <c r="I98" s="4">
        <v>1773.4780000000001</v>
      </c>
      <c r="J98" s="4">
        <v>214.88200000000001</v>
      </c>
      <c r="K98" s="4">
        <v>368.74299999999999</v>
      </c>
      <c r="L98" s="4">
        <v>112</v>
      </c>
      <c r="M98" s="4">
        <v>326.61500000000001</v>
      </c>
      <c r="N98" s="4">
        <v>42.128</v>
      </c>
      <c r="O98" s="4">
        <v>52.012</v>
      </c>
      <c r="P98" s="4">
        <v>203.261</v>
      </c>
      <c r="Q98" s="4">
        <v>42.975999999999999</v>
      </c>
      <c r="R98" s="4">
        <v>5.2060000000000004</v>
      </c>
      <c r="S98" s="4">
        <v>326.81599999999997</v>
      </c>
      <c r="T98" s="4">
        <v>369.59100000000001</v>
      </c>
      <c r="U98" s="4">
        <v>587.35</v>
      </c>
      <c r="V98" s="4">
        <v>491.28899999999999</v>
      </c>
      <c r="W98" s="4">
        <v>509.54399999999998</v>
      </c>
      <c r="X98" s="4">
        <v>432.154</v>
      </c>
      <c r="Y98">
        <v>36.590000000000003</v>
      </c>
      <c r="Z98">
        <v>505.08425</v>
      </c>
      <c r="AA98" t="s">
        <v>32</v>
      </c>
      <c r="AB98">
        <v>1</v>
      </c>
      <c r="AC98" t="s">
        <v>468</v>
      </c>
      <c r="AD98" s="5">
        <f t="shared" si="10"/>
        <v>9.5132847968597459E-2</v>
      </c>
      <c r="AE98" s="5">
        <f t="shared" si="11"/>
        <v>5.7753747156716911E-2</v>
      </c>
      <c r="AF98" s="5">
        <f t="shared" si="12"/>
        <v>1.4951027201047667E-2</v>
      </c>
      <c r="AG98" s="5">
        <f t="shared" si="13"/>
        <v>7.1725546948156971E-2</v>
      </c>
      <c r="AH98" s="5">
        <f t="shared" si="14"/>
        <v>1.5891891306877062</v>
      </c>
      <c r="AI98" s="5">
        <f t="shared" si="15"/>
        <v>1.0571727975361727</v>
      </c>
      <c r="AJ98" s="5">
        <f t="shared" si="16"/>
        <v>1.1289836657838739</v>
      </c>
      <c r="AK98" s="5">
        <f t="shared" si="17"/>
        <v>0.3658500042564059</v>
      </c>
      <c r="AL98" s="5">
        <f t="shared" si="18"/>
        <v>0.99770557183481201</v>
      </c>
      <c r="AM98" s="10">
        <f t="shared" si="19"/>
        <v>42.097369920243068</v>
      </c>
    </row>
    <row r="99" spans="1:39" x14ac:dyDescent="0.3">
      <c r="A99">
        <v>9130</v>
      </c>
      <c r="B99" t="s">
        <v>831</v>
      </c>
      <c r="C99" t="s">
        <v>58</v>
      </c>
      <c r="D99" s="1">
        <v>43790</v>
      </c>
      <c r="E99">
        <v>6</v>
      </c>
      <c r="F99" t="s">
        <v>832</v>
      </c>
      <c r="G99" s="4">
        <v>14.988</v>
      </c>
      <c r="H99" s="4">
        <v>86.405000000000001</v>
      </c>
      <c r="I99" s="4">
        <v>1764.595</v>
      </c>
      <c r="J99" s="4">
        <v>34.271999999999998</v>
      </c>
      <c r="K99" s="4">
        <v>512.15300000000002</v>
      </c>
      <c r="L99" s="4">
        <v>180</v>
      </c>
      <c r="M99" s="4">
        <v>402.15699999999998</v>
      </c>
      <c r="N99" s="4">
        <v>109.996</v>
      </c>
      <c r="O99" s="4">
        <v>36.6</v>
      </c>
      <c r="P99" s="4">
        <v>75.573999999999998</v>
      </c>
      <c r="Q99" s="4">
        <v>146.57</v>
      </c>
      <c r="R99" s="4">
        <v>9.2409999999999997</v>
      </c>
      <c r="S99" s="4">
        <v>650.59500000000003</v>
      </c>
      <c r="T99" s="4">
        <v>548.72699999999998</v>
      </c>
      <c r="U99" s="4">
        <v>593.25900000000001</v>
      </c>
      <c r="V99" s="4">
        <v>673.19399999999996</v>
      </c>
      <c r="W99" s="4">
        <v>411.37599999999998</v>
      </c>
      <c r="X99" s="4">
        <v>182.74700000000001</v>
      </c>
      <c r="Y99">
        <v>5.78</v>
      </c>
      <c r="Z99">
        <v>465.14400000000001</v>
      </c>
      <c r="AA99" t="s">
        <v>32</v>
      </c>
      <c r="AB99">
        <v>1</v>
      </c>
      <c r="AC99" t="s">
        <v>468</v>
      </c>
      <c r="AD99" s="5">
        <f t="shared" si="10"/>
        <v>2.3669255787621017E-2</v>
      </c>
      <c r="AE99" s="5">
        <f t="shared" si="11"/>
        <v>4.8965910024679885E-2</v>
      </c>
      <c r="AF99" s="5">
        <f t="shared" si="12"/>
        <v>1.541037352770982E-2</v>
      </c>
      <c r="AG99" s="5">
        <f t="shared" si="13"/>
        <v>0.18540974515346584</v>
      </c>
      <c r="AH99" s="5">
        <f t="shared" si="14"/>
        <v>1.0811551099180468</v>
      </c>
      <c r="AI99" s="5">
        <f t="shared" si="15"/>
        <v>0.45348929526027471</v>
      </c>
      <c r="AJ99" s="5">
        <f t="shared" si="16"/>
        <v>1.2735150699851054</v>
      </c>
      <c r="AK99" s="5">
        <f t="shared" si="17"/>
        <v>5.7769035109454719E-2</v>
      </c>
      <c r="AL99" s="5">
        <f t="shared" si="18"/>
        <v>0.93334754805212805</v>
      </c>
      <c r="AM99" s="10">
        <f t="shared" si="19"/>
        <v>16.042356085675845</v>
      </c>
    </row>
    <row r="100" spans="1:39" x14ac:dyDescent="0.3">
      <c r="A100">
        <v>9184</v>
      </c>
      <c r="B100" t="s">
        <v>833</v>
      </c>
      <c r="C100" t="s">
        <v>58</v>
      </c>
      <c r="D100" s="1">
        <v>40904</v>
      </c>
      <c r="E100">
        <v>7</v>
      </c>
      <c r="F100" t="s">
        <v>834</v>
      </c>
      <c r="G100" s="4">
        <v>-23.355</v>
      </c>
      <c r="H100" s="4">
        <v>-17.082999999999998</v>
      </c>
      <c r="I100" s="4">
        <v>1750.779</v>
      </c>
      <c r="J100" s="4">
        <v>139.077</v>
      </c>
      <c r="K100" s="4">
        <v>487.42700000000002</v>
      </c>
      <c r="L100" s="4">
        <v>0</v>
      </c>
      <c r="M100" s="4">
        <v>335.49</v>
      </c>
      <c r="N100" s="4">
        <v>151.93700000000001</v>
      </c>
      <c r="O100" s="4">
        <v>-21.754999999999999</v>
      </c>
      <c r="P100" s="4">
        <v>19.212</v>
      </c>
      <c r="Q100" s="4">
        <v>0</v>
      </c>
      <c r="R100" s="4">
        <v>0.754</v>
      </c>
      <c r="S100" s="4">
        <v>593.91099999999994</v>
      </c>
      <c r="T100" s="4">
        <v>335.49</v>
      </c>
      <c r="U100" s="4">
        <v>513.70399999999995</v>
      </c>
      <c r="V100" s="4">
        <v>803.04</v>
      </c>
      <c r="W100" s="4">
        <v>431.267</v>
      </c>
      <c r="X100" s="4">
        <v>426.90199999999999</v>
      </c>
      <c r="Y100">
        <v>27.07</v>
      </c>
      <c r="Z100">
        <v>543.72825</v>
      </c>
      <c r="AA100" t="s">
        <v>32</v>
      </c>
      <c r="AB100">
        <v>1</v>
      </c>
      <c r="AC100" t="s">
        <v>468</v>
      </c>
      <c r="AD100" s="5">
        <f t="shared" si="10"/>
        <v>-3.5473865838765932E-2</v>
      </c>
      <c r="AE100" s="5">
        <f t="shared" si="11"/>
        <v>-9.7573708617706735E-3</v>
      </c>
      <c r="AF100" s="5">
        <f t="shared" si="12"/>
        <v>1.6225504384006473E-3</v>
      </c>
      <c r="AG100" s="5">
        <f t="shared" si="13"/>
        <v>0.2957676015760049</v>
      </c>
      <c r="AH100" s="5">
        <f t="shared" si="14"/>
        <v>1.5312051029836953</v>
      </c>
      <c r="AI100" s="5">
        <f t="shared" si="15"/>
        <v>7.2390693316677073</v>
      </c>
      <c r="AJ100" s="5">
        <f t="shared" si="16"/>
        <v>1.4528808608304271</v>
      </c>
      <c r="AK100" s="5">
        <f t="shared" si="17"/>
        <v>0.27073372993007649</v>
      </c>
      <c r="AL100" s="5">
        <f t="shared" si="18"/>
        <v>1.4528808608304271</v>
      </c>
      <c r="AM100" s="10">
        <f t="shared" si="19"/>
        <v>11.523058899412256</v>
      </c>
    </row>
    <row r="101" spans="1:39" x14ac:dyDescent="0.3">
      <c r="A101">
        <v>9269</v>
      </c>
      <c r="B101" t="s">
        <v>835</v>
      </c>
      <c r="C101" t="s">
        <v>58</v>
      </c>
      <c r="D101" s="1">
        <v>42552</v>
      </c>
      <c r="E101">
        <v>0</v>
      </c>
      <c r="F101" t="s">
        <v>836</v>
      </c>
      <c r="G101" s="4">
        <v>14.911</v>
      </c>
      <c r="H101" s="4">
        <v>48.652999999999999</v>
      </c>
      <c r="I101" s="4">
        <v>1732.557</v>
      </c>
      <c r="J101" s="4">
        <v>448.95800000000003</v>
      </c>
      <c r="K101" s="4">
        <v>472.04500000000002</v>
      </c>
      <c r="L101" s="4">
        <v>0</v>
      </c>
      <c r="M101" s="4">
        <v>30.280999999999999</v>
      </c>
      <c r="N101" s="4">
        <v>441.76400000000001</v>
      </c>
      <c r="O101" s="4">
        <v>15.843999999999999</v>
      </c>
      <c r="P101" s="4">
        <v>2.9860000000000002</v>
      </c>
      <c r="Q101" s="4">
        <v>0</v>
      </c>
      <c r="R101" s="4">
        <v>26.408000000000001</v>
      </c>
      <c r="S101" s="4">
        <v>835.12800000000004</v>
      </c>
      <c r="T101" s="4">
        <v>30.280999999999999</v>
      </c>
      <c r="U101" s="4">
        <v>479.39699999999999</v>
      </c>
      <c r="V101" s="4">
        <v>1269.3510000000001</v>
      </c>
      <c r="W101" s="4">
        <v>267.49400000000003</v>
      </c>
      <c r="X101" s="4">
        <v>152.95699999999999</v>
      </c>
      <c r="Y101">
        <v>93.65</v>
      </c>
      <c r="Z101">
        <v>542.29975000000002</v>
      </c>
      <c r="AA101" t="s">
        <v>32</v>
      </c>
      <c r="AB101">
        <v>1</v>
      </c>
      <c r="AC101" t="s">
        <v>468</v>
      </c>
      <c r="AD101" s="5">
        <f t="shared" si="10"/>
        <v>1.7053343306182481E-2</v>
      </c>
      <c r="AE101" s="5">
        <f t="shared" si="11"/>
        <v>2.8081615785223803E-2</v>
      </c>
      <c r="AF101" s="5">
        <f t="shared" si="12"/>
        <v>6.1030102529555395E-2</v>
      </c>
      <c r="AG101" s="5">
        <f t="shared" si="13"/>
        <v>0.92149930016249582</v>
      </c>
      <c r="AH101" s="5">
        <f t="shared" si="14"/>
        <v>15.83161058089231</v>
      </c>
      <c r="AI101" s="5">
        <f t="shared" si="15"/>
        <v>150.35432016075018</v>
      </c>
      <c r="AJ101" s="5">
        <f t="shared" si="16"/>
        <v>15.588818070737426</v>
      </c>
      <c r="AK101" s="5">
        <f t="shared" si="17"/>
        <v>0.93650565189185586</v>
      </c>
      <c r="AL101" s="5">
        <f t="shared" si="18"/>
        <v>15.588818070737426</v>
      </c>
      <c r="AM101" s="10">
        <f t="shared" si="19"/>
        <v>3.921906266694434</v>
      </c>
    </row>
    <row r="102" spans="1:39" x14ac:dyDescent="0.3">
      <c r="A102">
        <v>9285</v>
      </c>
      <c r="B102" t="s">
        <v>837</v>
      </c>
      <c r="C102" t="s">
        <v>101</v>
      </c>
      <c r="D102" s="1">
        <v>43846</v>
      </c>
      <c r="E102">
        <v>14</v>
      </c>
      <c r="F102" t="s">
        <v>838</v>
      </c>
      <c r="G102" s="4">
        <v>16.291</v>
      </c>
      <c r="H102" s="4">
        <v>48.085000000000001</v>
      </c>
      <c r="I102" s="4">
        <v>1728.7760000000001</v>
      </c>
      <c r="J102" s="4">
        <v>88.459000000000003</v>
      </c>
      <c r="K102" s="4">
        <v>408.25700000000001</v>
      </c>
      <c r="L102" s="4">
        <v>75.188000000000002</v>
      </c>
      <c r="M102" s="4">
        <v>410.76799999999997</v>
      </c>
      <c r="N102" s="4">
        <v>-2.5110000000000001</v>
      </c>
      <c r="O102" s="4">
        <v>27.702999999999999</v>
      </c>
      <c r="P102" s="4">
        <v>88.266999999999996</v>
      </c>
      <c r="Q102" s="4">
        <v>0</v>
      </c>
      <c r="R102" s="4">
        <v>0.52100000000000002</v>
      </c>
      <c r="S102" s="4">
        <v>417.755</v>
      </c>
      <c r="T102" s="4">
        <v>410.76799999999997</v>
      </c>
      <c r="U102" s="4">
        <v>525.69600000000003</v>
      </c>
      <c r="V102" s="4">
        <v>502.04399999999998</v>
      </c>
      <c r="W102" s="4">
        <v>145.923</v>
      </c>
      <c r="X102" s="4">
        <v>94.099000000000004</v>
      </c>
      <c r="Y102">
        <v>16.829999999999998</v>
      </c>
      <c r="Z102">
        <v>316.94049999999999</v>
      </c>
      <c r="AA102" t="s">
        <v>32</v>
      </c>
      <c r="AB102">
        <v>1</v>
      </c>
      <c r="AC102" t="s">
        <v>468</v>
      </c>
      <c r="AD102" s="5">
        <f t="shared" si="10"/>
        <v>3.1702570689084789E-2</v>
      </c>
      <c r="AE102" s="5">
        <f t="shared" si="11"/>
        <v>2.7814476832163332E-2</v>
      </c>
      <c r="AF102" s="5">
        <f t="shared" si="12"/>
        <v>1.2576597149385113E-3</v>
      </c>
      <c r="AG102" s="5">
        <f t="shared" si="13"/>
        <v>-4.7765248356464573E-3</v>
      </c>
      <c r="AH102" s="5">
        <f t="shared" si="14"/>
        <v>1.2797881042340202</v>
      </c>
      <c r="AI102" s="5">
        <f t="shared" si="15"/>
        <v>1.002175218371532</v>
      </c>
      <c r="AJ102" s="5">
        <f t="shared" si="16"/>
        <v>0.99388706033576135</v>
      </c>
      <c r="AK102" s="5">
        <f t="shared" si="17"/>
        <v>0.16827025505234963</v>
      </c>
      <c r="AL102" s="5">
        <f t="shared" si="18"/>
        <v>0.99388706033576135</v>
      </c>
      <c r="AM102" s="10">
        <f t="shared" si="19"/>
        <v>-688.48108323377141</v>
      </c>
    </row>
    <row r="103" spans="1:39" x14ac:dyDescent="0.3">
      <c r="A103">
        <v>7</v>
      </c>
      <c r="B103" t="s">
        <v>477</v>
      </c>
      <c r="C103" t="s">
        <v>55</v>
      </c>
      <c r="D103" s="1">
        <v>31309</v>
      </c>
      <c r="E103">
        <v>1831</v>
      </c>
      <c r="F103" t="s">
        <v>478</v>
      </c>
      <c r="G103" s="4">
        <v>6199</v>
      </c>
      <c r="H103" s="4">
        <v>36061</v>
      </c>
      <c r="I103" s="4">
        <v>805095</v>
      </c>
      <c r="J103" s="4">
        <v>473563</v>
      </c>
      <c r="K103" s="4">
        <v>843789</v>
      </c>
      <c r="L103" s="4">
        <v>27747</v>
      </c>
      <c r="M103" s="4">
        <v>540150</v>
      </c>
      <c r="N103" s="4">
        <v>303639</v>
      </c>
      <c r="O103" s="4">
        <v>22002</v>
      </c>
      <c r="P103" s="4">
        <v>501116</v>
      </c>
      <c r="Q103" s="4">
        <v>270026</v>
      </c>
      <c r="R103" s="4">
        <v>20187</v>
      </c>
      <c r="S103" s="4">
        <v>630366</v>
      </c>
      <c r="T103" s="4">
        <v>810176</v>
      </c>
      <c r="U103" s="4">
        <v>1357551</v>
      </c>
      <c r="V103" s="4">
        <v>1153174</v>
      </c>
      <c r="W103" s="4">
        <v>974073</v>
      </c>
      <c r="X103" s="4">
        <v>948465</v>
      </c>
      <c r="Y103">
        <v>34.880000000000003</v>
      </c>
      <c r="Z103">
        <v>1108315.75</v>
      </c>
      <c r="AA103" t="s">
        <v>53</v>
      </c>
      <c r="AB103">
        <v>4</v>
      </c>
      <c r="AC103" t="s">
        <v>468</v>
      </c>
      <c r="AD103" s="5">
        <f t="shared" si="10"/>
        <v>4.9380159117386416E-3</v>
      </c>
      <c r="AE103" s="5">
        <f t="shared" si="11"/>
        <v>4.4790987399002599E-2</v>
      </c>
      <c r="AF103" s="5">
        <f t="shared" si="12"/>
        <v>2.8026950967066564E-2</v>
      </c>
      <c r="AG103" s="5">
        <f t="shared" si="13"/>
        <v>0.22366673517238025</v>
      </c>
      <c r="AH103" s="5">
        <f t="shared" si="14"/>
        <v>1.6756248025120468</v>
      </c>
      <c r="AI103" s="5">
        <f t="shared" si="15"/>
        <v>0.94501672267498937</v>
      </c>
      <c r="AJ103" s="5">
        <f t="shared" si="16"/>
        <v>1.5621382949180782</v>
      </c>
      <c r="AK103" s="5">
        <f t="shared" si="17"/>
        <v>0.34883624998250529</v>
      </c>
      <c r="AL103" s="5">
        <f t="shared" si="18"/>
        <v>1.0414885160755194</v>
      </c>
      <c r="AM103" s="10">
        <f t="shared" si="19"/>
        <v>2.651487457144833</v>
      </c>
    </row>
    <row r="104" spans="1:39" x14ac:dyDescent="0.3">
      <c r="A104">
        <v>8</v>
      </c>
      <c r="B104" t="s">
        <v>479</v>
      </c>
      <c r="C104" t="s">
        <v>55</v>
      </c>
      <c r="D104" s="1">
        <v>25692</v>
      </c>
      <c r="E104">
        <v>1460</v>
      </c>
      <c r="F104" t="s">
        <v>480</v>
      </c>
      <c r="G104" s="4">
        <v>88.07</v>
      </c>
      <c r="H104" s="4">
        <v>20379</v>
      </c>
      <c r="I104" s="4">
        <v>668847</v>
      </c>
      <c r="J104" s="4">
        <v>54235.07</v>
      </c>
      <c r="K104" s="4">
        <v>528353</v>
      </c>
      <c r="L104" s="4">
        <v>380163</v>
      </c>
      <c r="M104" s="4">
        <v>446860.33299999998</v>
      </c>
      <c r="N104" s="4">
        <v>81492.667000000001</v>
      </c>
      <c r="O104" s="4">
        <v>10140.07</v>
      </c>
      <c r="P104" s="4">
        <v>84721</v>
      </c>
      <c r="Q104" s="4">
        <v>106195.59699999999</v>
      </c>
      <c r="R104" s="4">
        <v>7504</v>
      </c>
      <c r="S104" s="4">
        <v>498244.087</v>
      </c>
      <c r="T104" s="4">
        <v>553055.93000000005</v>
      </c>
      <c r="U104" s="4">
        <v>618609</v>
      </c>
      <c r="V104" s="4">
        <v>562415.74800000002</v>
      </c>
      <c r="W104" s="4">
        <v>541070.57299999997</v>
      </c>
      <c r="X104" s="4">
        <v>459926.533</v>
      </c>
      <c r="Y104">
        <v>8.77</v>
      </c>
      <c r="Z104">
        <v>545505.46349999995</v>
      </c>
      <c r="AA104" t="s">
        <v>53</v>
      </c>
      <c r="AB104">
        <v>4</v>
      </c>
      <c r="AC104" t="s">
        <v>468</v>
      </c>
      <c r="AD104" s="5">
        <f t="shared" si="10"/>
        <v>1.4914166726673873E-4</v>
      </c>
      <c r="AE104" s="5">
        <f t="shared" si="11"/>
        <v>3.0468851620774257E-2</v>
      </c>
      <c r="AF104" s="5">
        <f t="shared" si="12"/>
        <v>1.4275658477422055E-2</v>
      </c>
      <c r="AG104" s="5">
        <f t="shared" si="13"/>
        <v>0.13173534009366175</v>
      </c>
      <c r="AH104" s="5">
        <f t="shared" si="14"/>
        <v>1.1185288258277963</v>
      </c>
      <c r="AI104" s="5">
        <f t="shared" si="15"/>
        <v>0.64016088100943092</v>
      </c>
      <c r="AJ104" s="5">
        <f t="shared" si="16"/>
        <v>1.1823671983881372</v>
      </c>
      <c r="AK104" s="5">
        <f t="shared" si="17"/>
        <v>8.7672617113556381E-2</v>
      </c>
      <c r="AL104" s="5">
        <f t="shared" si="18"/>
        <v>0.95533375801611953</v>
      </c>
      <c r="AM104" s="10">
        <f t="shared" si="19"/>
        <v>8.2074501255431969</v>
      </c>
    </row>
    <row r="105" spans="1:39" x14ac:dyDescent="0.3">
      <c r="A105">
        <v>10</v>
      </c>
      <c r="B105" t="s">
        <v>483</v>
      </c>
      <c r="C105" t="s">
        <v>55</v>
      </c>
      <c r="D105" s="1">
        <v>41969</v>
      </c>
      <c r="E105">
        <v>308</v>
      </c>
      <c r="F105" t="s">
        <v>484</v>
      </c>
      <c r="G105" s="4">
        <v>-73040</v>
      </c>
      <c r="H105" s="4">
        <v>103801</v>
      </c>
      <c r="I105" s="4">
        <v>507895</v>
      </c>
      <c r="J105" s="4">
        <v>96062</v>
      </c>
      <c r="K105" s="4">
        <v>773610</v>
      </c>
      <c r="L105" s="4">
        <v>56449</v>
      </c>
      <c r="M105" s="4">
        <v>458213</v>
      </c>
      <c r="N105" s="4">
        <v>315397</v>
      </c>
      <c r="O105" s="4">
        <v>73650</v>
      </c>
      <c r="P105" s="4">
        <v>83468</v>
      </c>
      <c r="Q105" s="4">
        <v>162129</v>
      </c>
      <c r="R105" s="4">
        <v>46405</v>
      </c>
      <c r="S105" s="4">
        <v>1065656</v>
      </c>
      <c r="T105" s="4">
        <v>620342</v>
      </c>
      <c r="U105" s="4">
        <v>858901</v>
      </c>
      <c r="V105" s="4">
        <v>1307770</v>
      </c>
      <c r="W105" s="4">
        <v>746878</v>
      </c>
      <c r="X105" s="4">
        <v>323813.147</v>
      </c>
      <c r="Y105">
        <v>11.18</v>
      </c>
      <c r="Z105">
        <v>809340.53674999997</v>
      </c>
      <c r="AA105" t="s">
        <v>53</v>
      </c>
      <c r="AB105">
        <v>4</v>
      </c>
      <c r="AC105" t="s">
        <v>468</v>
      </c>
      <c r="AD105" s="5">
        <f t="shared" si="10"/>
        <v>-6.7421403618731224E-2</v>
      </c>
      <c r="AE105" s="5">
        <f t="shared" si="11"/>
        <v>0.20437492001299482</v>
      </c>
      <c r="AF105" s="5">
        <f t="shared" si="12"/>
        <v>5.5047514884359293E-2</v>
      </c>
      <c r="AG105" s="5">
        <f t="shared" si="13"/>
        <v>0.36720995784147414</v>
      </c>
      <c r="AH105" s="5">
        <f t="shared" si="14"/>
        <v>1.3845604521376917</v>
      </c>
      <c r="AI105" s="5">
        <f t="shared" si="15"/>
        <v>1.150884171179374</v>
      </c>
      <c r="AJ105" s="5">
        <f t="shared" si="16"/>
        <v>1.6883196242795382</v>
      </c>
      <c r="AK105" s="5">
        <f t="shared" si="17"/>
        <v>0.11184292485397036</v>
      </c>
      <c r="AL105" s="5">
        <f t="shared" si="18"/>
        <v>1.2470701645221507</v>
      </c>
      <c r="AM105" s="10">
        <f t="shared" si="19"/>
        <v>1.6103355453602919</v>
      </c>
    </row>
    <row r="106" spans="1:39" x14ac:dyDescent="0.3">
      <c r="A106">
        <v>17</v>
      </c>
      <c r="B106" t="s">
        <v>497</v>
      </c>
      <c r="C106" t="s">
        <v>55</v>
      </c>
      <c r="D106" s="1">
        <v>32940</v>
      </c>
      <c r="E106">
        <v>731</v>
      </c>
      <c r="F106" t="s">
        <v>498</v>
      </c>
      <c r="G106" s="4">
        <v>50248.264000000003</v>
      </c>
      <c r="H106" s="4">
        <v>83551.962</v>
      </c>
      <c r="I106" s="4">
        <v>387371.60200000001</v>
      </c>
      <c r="J106" s="4">
        <v>347447.42099999997</v>
      </c>
      <c r="K106" s="4">
        <v>550730.75100000005</v>
      </c>
      <c r="L106" s="4">
        <v>154191.128</v>
      </c>
      <c r="M106" s="4">
        <v>314033.51500000001</v>
      </c>
      <c r="N106" s="4">
        <v>236697.236</v>
      </c>
      <c r="O106" s="4">
        <v>70169.293999999994</v>
      </c>
      <c r="P106" s="4">
        <v>166741.96</v>
      </c>
      <c r="Q106" s="4">
        <v>49700.338000000003</v>
      </c>
      <c r="R106" s="4">
        <v>2413.3980000000001</v>
      </c>
      <c r="S106" s="4">
        <v>285146.30599999998</v>
      </c>
      <c r="T106" s="4">
        <v>363733.853</v>
      </c>
      <c r="U106" s="4">
        <v>725731.07299999997</v>
      </c>
      <c r="V106" s="4">
        <v>595981.15300000005</v>
      </c>
      <c r="W106" s="4">
        <v>521519.815</v>
      </c>
      <c r="X106" s="4">
        <v>508457.679</v>
      </c>
      <c r="Y106">
        <v>47.88</v>
      </c>
      <c r="Z106">
        <v>587922.43000000005</v>
      </c>
      <c r="AA106" t="s">
        <v>53</v>
      </c>
      <c r="AB106">
        <v>4</v>
      </c>
      <c r="AC106" t="s">
        <v>468</v>
      </c>
      <c r="AD106" s="5">
        <f t="shared" si="10"/>
        <v>7.6035105087996671E-2</v>
      </c>
      <c r="AE106" s="5">
        <f t="shared" si="11"/>
        <v>0.21568943507634822</v>
      </c>
      <c r="AF106" s="5">
        <f t="shared" si="12"/>
        <v>7.4386555561178755E-3</v>
      </c>
      <c r="AG106" s="5">
        <f t="shared" si="13"/>
        <v>0.32615006412988468</v>
      </c>
      <c r="AH106" s="5">
        <f t="shared" si="14"/>
        <v>1.9952255392626321</v>
      </c>
      <c r="AI106" s="5">
        <f t="shared" si="15"/>
        <v>2.0837431741836308</v>
      </c>
      <c r="AJ106" s="5">
        <f t="shared" si="16"/>
        <v>1.7537324033710224</v>
      </c>
      <c r="AK106" s="5">
        <f t="shared" si="17"/>
        <v>0.47875505669577412</v>
      </c>
      <c r="AL106" s="5">
        <f t="shared" si="18"/>
        <v>1.5141036404989228</v>
      </c>
      <c r="AM106" s="10">
        <f t="shared" si="19"/>
        <v>1.6365700273745487</v>
      </c>
    </row>
    <row r="107" spans="1:39" x14ac:dyDescent="0.3">
      <c r="A107">
        <v>19</v>
      </c>
      <c r="B107" t="s">
        <v>501</v>
      </c>
      <c r="C107" t="s">
        <v>96</v>
      </c>
      <c r="D107" s="1">
        <v>22428</v>
      </c>
      <c r="E107">
        <v>186</v>
      </c>
      <c r="F107" t="s">
        <v>502</v>
      </c>
      <c r="G107" s="4">
        <v>-15012.370999999999</v>
      </c>
      <c r="H107" s="4">
        <v>99272.66</v>
      </c>
      <c r="I107" s="4">
        <v>330400.96899999998</v>
      </c>
      <c r="J107" s="4">
        <v>868593.36100000003</v>
      </c>
      <c r="K107" s="4">
        <v>780768.19700000004</v>
      </c>
      <c r="L107" s="4">
        <v>6147.8869999999997</v>
      </c>
      <c r="M107" s="4">
        <v>435370.196</v>
      </c>
      <c r="N107" s="4">
        <v>345398.00099999999</v>
      </c>
      <c r="O107" s="4">
        <v>49318.487999999998</v>
      </c>
      <c r="P107" s="4">
        <v>1005131.973</v>
      </c>
      <c r="Q107" s="4">
        <v>250781.69099999999</v>
      </c>
      <c r="R107" s="4">
        <v>18769.157999999999</v>
      </c>
      <c r="S107" s="4">
        <v>712980.07499999995</v>
      </c>
      <c r="T107" s="4">
        <v>686151.88699999999</v>
      </c>
      <c r="U107" s="4">
        <v>1787119.203</v>
      </c>
      <c r="V107" s="4">
        <v>1751234.986</v>
      </c>
      <c r="W107" s="4">
        <v>1580547.933</v>
      </c>
      <c r="X107" s="4">
        <v>1493530.5360000001</v>
      </c>
      <c r="Y107">
        <v>48.6</v>
      </c>
      <c r="Z107">
        <v>1653108.1645</v>
      </c>
      <c r="AA107" t="s">
        <v>53</v>
      </c>
      <c r="AB107">
        <v>4</v>
      </c>
      <c r="AC107" t="s">
        <v>468</v>
      </c>
      <c r="AD107" s="5">
        <f t="shared" si="10"/>
        <v>-8.4855106064114817E-3</v>
      </c>
      <c r="AE107" s="5">
        <f t="shared" si="11"/>
        <v>0.30046116480971946</v>
      </c>
      <c r="AF107" s="5">
        <f t="shared" si="12"/>
        <v>2.6829718010544599E-2</v>
      </c>
      <c r="AG107" s="5">
        <f t="shared" si="13"/>
        <v>0.19327082402795936</v>
      </c>
      <c r="AH107" s="5">
        <f t="shared" si="14"/>
        <v>2.6045533603553293</v>
      </c>
      <c r="AI107" s="5">
        <f t="shared" si="15"/>
        <v>0.86415852279330496</v>
      </c>
      <c r="AJ107" s="5">
        <f t="shared" si="16"/>
        <v>1.7933432379464029</v>
      </c>
      <c r="AK107" s="5">
        <f t="shared" si="17"/>
        <v>0.48602989635045629</v>
      </c>
      <c r="AL107" s="5">
        <f t="shared" si="18"/>
        <v>1.1378941190611345</v>
      </c>
      <c r="AM107" s="10">
        <f t="shared" si="19"/>
        <v>0.95658043197534315</v>
      </c>
    </row>
    <row r="108" spans="1:39" x14ac:dyDescent="0.3">
      <c r="A108">
        <v>26</v>
      </c>
      <c r="B108" t="s">
        <v>515</v>
      </c>
      <c r="C108" t="s">
        <v>55</v>
      </c>
      <c r="D108" s="1">
        <v>25633</v>
      </c>
      <c r="E108">
        <v>660</v>
      </c>
      <c r="F108" t="s">
        <v>516</v>
      </c>
      <c r="G108" s="4">
        <v>18486</v>
      </c>
      <c r="H108" s="4">
        <v>24096</v>
      </c>
      <c r="I108" s="4">
        <v>240753</v>
      </c>
      <c r="J108" s="4">
        <v>213787</v>
      </c>
      <c r="K108" s="4">
        <v>947016</v>
      </c>
      <c r="L108" s="4">
        <v>99265</v>
      </c>
      <c r="M108" s="4">
        <v>406619</v>
      </c>
      <c r="N108" s="4">
        <v>540397</v>
      </c>
      <c r="O108" s="4">
        <v>30308</v>
      </c>
      <c r="P108" s="4">
        <v>290824</v>
      </c>
      <c r="Q108" s="4">
        <v>615830</v>
      </c>
      <c r="R108" s="4">
        <v>57697</v>
      </c>
      <c r="S108" s="4">
        <v>508344</v>
      </c>
      <c r="T108" s="4">
        <v>1022449</v>
      </c>
      <c r="U108" s="4">
        <v>1255843</v>
      </c>
      <c r="V108" s="4">
        <v>751576</v>
      </c>
      <c r="W108" s="4">
        <v>688058</v>
      </c>
      <c r="X108" s="4">
        <v>635096</v>
      </c>
      <c r="Y108">
        <v>17.02</v>
      </c>
      <c r="Z108">
        <v>832643.25</v>
      </c>
      <c r="AA108" t="s">
        <v>53</v>
      </c>
      <c r="AB108">
        <v>4</v>
      </c>
      <c r="AC108" t="s">
        <v>468</v>
      </c>
      <c r="AD108" s="5">
        <f t="shared" si="10"/>
        <v>1.8417679617459035E-2</v>
      </c>
      <c r="AE108" s="5">
        <f t="shared" si="11"/>
        <v>0.10008598023700639</v>
      </c>
      <c r="AF108" s="5">
        <f t="shared" si="12"/>
        <v>7.5381844573368176E-2</v>
      </c>
      <c r="AG108" s="5">
        <f t="shared" si="13"/>
        <v>0.43030617680713273</v>
      </c>
      <c r="AH108" s="5">
        <f t="shared" si="14"/>
        <v>1.2282695762820444</v>
      </c>
      <c r="AI108" s="5">
        <f t="shared" si="15"/>
        <v>0.73510783154072568</v>
      </c>
      <c r="AJ108" s="5">
        <f t="shared" si="16"/>
        <v>2.3290008582973249</v>
      </c>
      <c r="AK108" s="5">
        <f t="shared" si="17"/>
        <v>0.17023385885019066</v>
      </c>
      <c r="AL108" s="5">
        <f t="shared" si="18"/>
        <v>0.9262232150454448</v>
      </c>
      <c r="AM108" s="10">
        <f t="shared" si="19"/>
        <v>0.44551135554046378</v>
      </c>
    </row>
    <row r="109" spans="1:39" x14ac:dyDescent="0.3">
      <c r="A109">
        <v>27</v>
      </c>
      <c r="B109" t="s">
        <v>517</v>
      </c>
      <c r="C109" t="s">
        <v>55</v>
      </c>
      <c r="D109" s="1">
        <v>42905</v>
      </c>
      <c r="E109">
        <v>192</v>
      </c>
      <c r="F109" t="s">
        <v>518</v>
      </c>
      <c r="G109" s="4">
        <v>4990.6549999999997</v>
      </c>
      <c r="H109" s="4">
        <v>14909.696</v>
      </c>
      <c r="I109" s="4">
        <v>240327.049</v>
      </c>
      <c r="J109" s="4">
        <v>7228.3280000000004</v>
      </c>
      <c r="K109" s="4">
        <v>178361.47200000001</v>
      </c>
      <c r="L109" s="4">
        <v>4335.22</v>
      </c>
      <c r="M109" s="4">
        <v>155766.83300000001</v>
      </c>
      <c r="N109" s="4">
        <v>22594.638999999999</v>
      </c>
      <c r="O109" s="4">
        <v>7374.8370000000004</v>
      </c>
      <c r="P109" s="4">
        <v>6099.4920000000002</v>
      </c>
      <c r="Q109" s="4">
        <v>20427.325000000001</v>
      </c>
      <c r="R109" s="4">
        <v>4446.9880000000003</v>
      </c>
      <c r="S109" s="4">
        <v>102335.84</v>
      </c>
      <c r="T109" s="4">
        <v>176194.158</v>
      </c>
      <c r="U109" s="4">
        <v>185040.37299999999</v>
      </c>
      <c r="V109" s="4">
        <v>106121.95600000001</v>
      </c>
      <c r="W109" s="4">
        <v>27443.925999999999</v>
      </c>
      <c r="X109" s="4">
        <v>49817.631999999998</v>
      </c>
      <c r="Y109">
        <v>3.91</v>
      </c>
      <c r="Z109">
        <v>92105.971749999997</v>
      </c>
      <c r="AA109" t="s">
        <v>53</v>
      </c>
      <c r="AB109">
        <v>4</v>
      </c>
      <c r="AC109" t="s">
        <v>468</v>
      </c>
      <c r="AD109" s="5">
        <f t="shared" si="10"/>
        <v>3.4280911388093749E-2</v>
      </c>
      <c r="AE109" s="5">
        <f t="shared" si="11"/>
        <v>6.2039192267533731E-2</v>
      </c>
      <c r="AF109" s="5">
        <f t="shared" si="12"/>
        <v>3.19318424006882E-2</v>
      </c>
      <c r="AG109" s="5">
        <f t="shared" si="13"/>
        <v>0.12210653617737789</v>
      </c>
      <c r="AH109" s="5">
        <f t="shared" si="14"/>
        <v>1.0502071981296905</v>
      </c>
      <c r="AI109" s="5">
        <f t="shared" si="15"/>
        <v>1.185070494395271</v>
      </c>
      <c r="AJ109" s="5">
        <f t="shared" si="16"/>
        <v>1.1450542362891849</v>
      </c>
      <c r="AK109" s="5">
        <f t="shared" si="17"/>
        <v>3.9063518316621644E-2</v>
      </c>
      <c r="AL109" s="5">
        <f t="shared" si="18"/>
        <v>1.0123007143063167</v>
      </c>
      <c r="AM109" s="10">
        <f t="shared" si="19"/>
        <v>10.636463322118136</v>
      </c>
    </row>
    <row r="110" spans="1:39" x14ac:dyDescent="0.3">
      <c r="A110">
        <v>41</v>
      </c>
      <c r="B110" t="s">
        <v>543</v>
      </c>
      <c r="C110" t="s">
        <v>55</v>
      </c>
      <c r="D110" s="1">
        <v>43628</v>
      </c>
      <c r="E110">
        <v>864</v>
      </c>
      <c r="F110" t="s">
        <v>544</v>
      </c>
      <c r="G110" s="4">
        <v>-3664.5819999999999</v>
      </c>
      <c r="H110" s="4">
        <v>5825.8829999999998</v>
      </c>
      <c r="I110" s="4">
        <v>175398.38200000001</v>
      </c>
      <c r="J110" s="4">
        <v>71391.497000000003</v>
      </c>
      <c r="K110" s="4">
        <v>157306.1</v>
      </c>
      <c r="L110" s="4">
        <v>30143.224999999999</v>
      </c>
      <c r="M110" s="4">
        <v>137124.867</v>
      </c>
      <c r="N110" s="4">
        <v>20181.233</v>
      </c>
      <c r="O110" s="4">
        <v>696.72699999999998</v>
      </c>
      <c r="P110" s="4">
        <v>57510.21</v>
      </c>
      <c r="Q110" s="4">
        <v>0</v>
      </c>
      <c r="R110" s="4">
        <v>5607.5429999999997</v>
      </c>
      <c r="S110" s="4">
        <v>84873.812000000005</v>
      </c>
      <c r="T110" s="4">
        <v>137124.867</v>
      </c>
      <c r="U110" s="4">
        <v>218059.636</v>
      </c>
      <c r="V110" s="4">
        <v>162932.90400000001</v>
      </c>
      <c r="W110" s="4">
        <v>137783.649</v>
      </c>
      <c r="X110" s="4">
        <v>127717.586</v>
      </c>
      <c r="Y110">
        <v>32.74</v>
      </c>
      <c r="Z110">
        <v>161623.44375000001</v>
      </c>
      <c r="AA110" t="s">
        <v>53</v>
      </c>
      <c r="AB110">
        <v>4</v>
      </c>
      <c r="AC110" t="s">
        <v>468</v>
      </c>
      <c r="AD110" s="5">
        <f t="shared" si="10"/>
        <v>-1.9237027580645015E-2</v>
      </c>
      <c r="AE110" s="5">
        <f t="shared" si="11"/>
        <v>3.3215146762300231E-2</v>
      </c>
      <c r="AF110" s="5">
        <f t="shared" si="12"/>
        <v>5.0518706014462358E-2</v>
      </c>
      <c r="AG110" s="5">
        <f t="shared" si="13"/>
        <v>9.2549145592447007E-2</v>
      </c>
      <c r="AH110" s="5">
        <f t="shared" si="14"/>
        <v>1.5902267821342719</v>
      </c>
      <c r="AI110" s="5">
        <f t="shared" si="15"/>
        <v>1.2413708278929951</v>
      </c>
      <c r="AJ110" s="5">
        <f t="shared" si="16"/>
        <v>1.1471741299847533</v>
      </c>
      <c r="AK110" s="5">
        <f t="shared" si="17"/>
        <v>0.32739436930913707</v>
      </c>
      <c r="AL110" s="5">
        <f t="shared" si="18"/>
        <v>1.1471741299847533</v>
      </c>
      <c r="AM110" s="10">
        <f t="shared" si="19"/>
        <v>8.6911628243923449</v>
      </c>
    </row>
    <row r="111" spans="1:39" x14ac:dyDescent="0.3">
      <c r="A111">
        <v>49</v>
      </c>
      <c r="B111" t="s">
        <v>553</v>
      </c>
      <c r="C111" t="s">
        <v>55</v>
      </c>
      <c r="D111" s="1">
        <v>29277</v>
      </c>
      <c r="E111">
        <v>87</v>
      </c>
      <c r="F111" t="s">
        <v>554</v>
      </c>
      <c r="G111" s="4">
        <v>-1277.432</v>
      </c>
      <c r="H111" s="4">
        <v>-960.03700000000003</v>
      </c>
      <c r="I111" s="4">
        <v>126473.947</v>
      </c>
      <c r="J111" s="4">
        <v>36766.921000000002</v>
      </c>
      <c r="K111" s="4">
        <v>133615.505</v>
      </c>
      <c r="L111" s="4">
        <v>4194.1409999999996</v>
      </c>
      <c r="M111" s="4">
        <v>52968.737000000001</v>
      </c>
      <c r="N111" s="4">
        <v>80646.767999999996</v>
      </c>
      <c r="O111" s="4">
        <v>-104.44</v>
      </c>
      <c r="P111" s="4">
        <v>5447.1769999999997</v>
      </c>
      <c r="Q111" s="4">
        <v>46965.680999999997</v>
      </c>
      <c r="R111" s="4">
        <v>9.5109999999999992</v>
      </c>
      <c r="S111" s="4">
        <v>103956.223</v>
      </c>
      <c r="T111" s="4">
        <v>99934.418000000005</v>
      </c>
      <c r="U111" s="4">
        <v>140964.07500000001</v>
      </c>
      <c r="V111" s="4">
        <v>144836.01800000001</v>
      </c>
      <c r="W111" s="4">
        <v>98044.065000000002</v>
      </c>
      <c r="X111" s="4">
        <v>115184.30499999999</v>
      </c>
      <c r="Y111">
        <v>26.08</v>
      </c>
      <c r="Z111">
        <v>124757.11575</v>
      </c>
      <c r="AA111" t="s">
        <v>53</v>
      </c>
      <c r="AB111">
        <v>4</v>
      </c>
      <c r="AC111" t="s">
        <v>468</v>
      </c>
      <c r="AD111" s="5">
        <f t="shared" si="10"/>
        <v>-8.9393392884585237E-3</v>
      </c>
      <c r="AE111" s="5">
        <f t="shared" si="11"/>
        <v>-7.5907886388648883E-3</v>
      </c>
      <c r="AF111" s="5">
        <f t="shared" si="12"/>
        <v>9.3295111078688491E-5</v>
      </c>
      <c r="AG111" s="5">
        <f t="shared" si="13"/>
        <v>0.57210865959997248</v>
      </c>
      <c r="AH111" s="5">
        <f t="shared" si="14"/>
        <v>1.4105658272808475</v>
      </c>
      <c r="AI111" s="5">
        <f t="shared" si="15"/>
        <v>6.7497202679479669</v>
      </c>
      <c r="AJ111" s="5">
        <f t="shared" si="16"/>
        <v>2.5225352267697074</v>
      </c>
      <c r="AK111" s="5">
        <f t="shared" si="17"/>
        <v>0.2608247597836541</v>
      </c>
      <c r="AL111" s="5">
        <f t="shared" si="18"/>
        <v>1.3370319022621415</v>
      </c>
      <c r="AM111" s="10">
        <f t="shared" si="19"/>
        <v>1.5682456983273032</v>
      </c>
    </row>
    <row r="112" spans="1:39" x14ac:dyDescent="0.3">
      <c r="A112">
        <v>54</v>
      </c>
      <c r="B112" t="s">
        <v>555</v>
      </c>
      <c r="C112" t="s">
        <v>55</v>
      </c>
      <c r="D112" s="1">
        <v>36817</v>
      </c>
      <c r="E112">
        <v>119</v>
      </c>
      <c r="F112" t="s">
        <v>556</v>
      </c>
      <c r="G112" s="4">
        <v>26078</v>
      </c>
      <c r="H112" s="4">
        <v>48038</v>
      </c>
      <c r="I112" s="4">
        <v>121203</v>
      </c>
      <c r="J112" s="4">
        <v>616170</v>
      </c>
      <c r="K112" s="4">
        <v>644073</v>
      </c>
      <c r="L112" s="4">
        <v>347649</v>
      </c>
      <c r="M112" s="4">
        <v>118803</v>
      </c>
      <c r="N112" s="4">
        <v>525270</v>
      </c>
      <c r="O112" s="4">
        <v>42244</v>
      </c>
      <c r="P112" s="4">
        <v>180408</v>
      </c>
      <c r="Q112" s="4">
        <v>36975</v>
      </c>
      <c r="R112" s="4">
        <v>1630</v>
      </c>
      <c r="S112" s="4">
        <v>165011</v>
      </c>
      <c r="T112" s="4">
        <v>155778</v>
      </c>
      <c r="U112" s="4">
        <v>824481</v>
      </c>
      <c r="V112" s="4">
        <v>805752</v>
      </c>
      <c r="W112" s="4">
        <v>622806</v>
      </c>
      <c r="X112" s="4">
        <v>625282</v>
      </c>
      <c r="Y112">
        <v>74.73</v>
      </c>
      <c r="Z112">
        <v>719580.25</v>
      </c>
      <c r="AA112" t="s">
        <v>53</v>
      </c>
      <c r="AB112">
        <v>4</v>
      </c>
      <c r="AC112" t="s">
        <v>468</v>
      </c>
      <c r="AD112" s="5">
        <f t="shared" si="10"/>
        <v>3.1992972783645039E-2</v>
      </c>
      <c r="AE112" s="5">
        <f t="shared" si="11"/>
        <v>0.39634332483519386</v>
      </c>
      <c r="AF112" s="5">
        <f t="shared" si="12"/>
        <v>1.0162443225921088E-2</v>
      </c>
      <c r="AG112" s="5">
        <f t="shared" si="13"/>
        <v>0.63709169768618079</v>
      </c>
      <c r="AH112" s="5">
        <f t="shared" si="14"/>
        <v>5.2926664869236992</v>
      </c>
      <c r="AI112" s="5">
        <f t="shared" si="15"/>
        <v>3.4154250365837435</v>
      </c>
      <c r="AJ112" s="5">
        <f t="shared" si="16"/>
        <v>5.421352996136461</v>
      </c>
      <c r="AK112" s="5">
        <f t="shared" si="17"/>
        <v>0.74734287388065945</v>
      </c>
      <c r="AL112" s="5">
        <f t="shared" si="18"/>
        <v>4.1345568693910568</v>
      </c>
      <c r="AM112" s="10">
        <f t="shared" si="19"/>
        <v>0.23074418870295277</v>
      </c>
    </row>
    <row r="113" spans="1:39" x14ac:dyDescent="0.3">
      <c r="A113">
        <v>1981</v>
      </c>
      <c r="B113" t="s">
        <v>601</v>
      </c>
      <c r="C113" t="s">
        <v>51</v>
      </c>
      <c r="D113" s="1">
        <v>38243</v>
      </c>
      <c r="E113">
        <v>19</v>
      </c>
      <c r="F113" t="s">
        <v>602</v>
      </c>
      <c r="G113" s="4">
        <v>43.226999999999997</v>
      </c>
      <c r="H113" s="4">
        <v>220.643</v>
      </c>
      <c r="I113" s="4">
        <v>7850.2</v>
      </c>
      <c r="J113" s="4">
        <v>268.14400000000001</v>
      </c>
      <c r="K113" s="4">
        <v>3412.5279999999998</v>
      </c>
      <c r="L113" s="4">
        <v>65.450999999999993</v>
      </c>
      <c r="M113" s="4">
        <v>2957.5070000000001</v>
      </c>
      <c r="N113" s="4">
        <v>455.02100000000002</v>
      </c>
      <c r="O113" s="4">
        <v>102.038</v>
      </c>
      <c r="P113" s="4">
        <v>246.453</v>
      </c>
      <c r="Q113" s="4">
        <v>298.83800000000002</v>
      </c>
      <c r="R113" s="4">
        <v>61.713000000000001</v>
      </c>
      <c r="S113" s="4">
        <v>3806.8029999999999</v>
      </c>
      <c r="T113" s="4">
        <v>3256.3449999999998</v>
      </c>
      <c r="U113" s="4">
        <v>3727.7339999999999</v>
      </c>
      <c r="V113" s="4">
        <v>4222.4359999999997</v>
      </c>
      <c r="W113" s="4">
        <v>2875.2860000000001</v>
      </c>
      <c r="X113" s="4">
        <v>2847.2460000000001</v>
      </c>
      <c r="Y113">
        <v>7.19</v>
      </c>
      <c r="Z113">
        <v>3418.1754999999998</v>
      </c>
      <c r="AA113" t="s">
        <v>53</v>
      </c>
      <c r="AB113">
        <v>3</v>
      </c>
      <c r="AC113" t="s">
        <v>468</v>
      </c>
      <c r="AD113" s="5">
        <f t="shared" si="10"/>
        <v>1.0874484444986711E-2</v>
      </c>
      <c r="AE113" s="5">
        <f t="shared" si="11"/>
        <v>2.810667244146646E-2</v>
      </c>
      <c r="AF113" s="5">
        <f t="shared" si="12"/>
        <v>1.7474644450321587E-2</v>
      </c>
      <c r="AG113" s="5">
        <f t="shared" si="13"/>
        <v>0.12206369875103749</v>
      </c>
      <c r="AH113" s="5">
        <f t="shared" si="14"/>
        <v>1.14476015287078</v>
      </c>
      <c r="AI113" s="5">
        <f t="shared" si="15"/>
        <v>1.0880127245357127</v>
      </c>
      <c r="AJ113" s="5">
        <f t="shared" si="16"/>
        <v>1.1538528902890171</v>
      </c>
      <c r="AK113" s="5">
        <f t="shared" si="17"/>
        <v>7.1932171125944078E-2</v>
      </c>
      <c r="AL113" s="5">
        <f t="shared" si="18"/>
        <v>1.0479626698031075</v>
      </c>
      <c r="AM113" s="10">
        <f t="shared" si="19"/>
        <v>17.252390549007629</v>
      </c>
    </row>
    <row r="114" spans="1:39" x14ac:dyDescent="0.3">
      <c r="A114">
        <v>2027</v>
      </c>
      <c r="B114" t="s">
        <v>607</v>
      </c>
      <c r="C114" t="s">
        <v>96</v>
      </c>
      <c r="D114" s="1">
        <v>41351</v>
      </c>
      <c r="E114">
        <v>27</v>
      </c>
      <c r="F114" t="s">
        <v>608</v>
      </c>
      <c r="G114" s="4">
        <v>292.93200000000002</v>
      </c>
      <c r="H114" s="4">
        <v>582.88900000000001</v>
      </c>
      <c r="I114" s="4">
        <v>7680.7269999999999</v>
      </c>
      <c r="J114" s="4">
        <v>665.85</v>
      </c>
      <c r="K114" s="4">
        <v>4723.6180000000004</v>
      </c>
      <c r="L114" s="4">
        <v>73.23</v>
      </c>
      <c r="M114" s="4">
        <v>3002.5459999999998</v>
      </c>
      <c r="N114" s="4">
        <v>1721.0719999999999</v>
      </c>
      <c r="O114" s="4">
        <v>390.08600000000001</v>
      </c>
      <c r="P114" s="4">
        <v>644.83299999999997</v>
      </c>
      <c r="Q114" s="4">
        <v>967.23699999999997</v>
      </c>
      <c r="R114" s="4">
        <v>50.209000000000003</v>
      </c>
      <c r="S114" s="4">
        <v>2800.4810000000002</v>
      </c>
      <c r="T114" s="4">
        <v>3969.7829999999999</v>
      </c>
      <c r="U114" s="4">
        <v>5371.0010000000002</v>
      </c>
      <c r="V114" s="4">
        <v>3363.0819999999999</v>
      </c>
      <c r="W114" s="4">
        <v>2781.873</v>
      </c>
      <c r="X114" s="4">
        <v>1102.5</v>
      </c>
      <c r="Y114">
        <v>12.4</v>
      </c>
      <c r="Z114">
        <v>3154.614</v>
      </c>
      <c r="AA114" t="s">
        <v>53</v>
      </c>
      <c r="AB114">
        <v>3</v>
      </c>
      <c r="AC114" t="s">
        <v>468</v>
      </c>
      <c r="AD114" s="5">
        <f t="shared" si="10"/>
        <v>6.7077906175153135E-2</v>
      </c>
      <c r="AE114" s="5">
        <f t="shared" si="11"/>
        <v>7.5889821367170068E-2</v>
      </c>
      <c r="AF114" s="5">
        <f t="shared" si="12"/>
        <v>1.4832213337618741E-2</v>
      </c>
      <c r="AG114" s="5">
        <f t="shared" si="13"/>
        <v>0.32043784761909366</v>
      </c>
      <c r="AH114" s="5">
        <f t="shared" si="14"/>
        <v>1.3529709306528845</v>
      </c>
      <c r="AI114" s="5">
        <f t="shared" si="15"/>
        <v>1.0325929349149316</v>
      </c>
      <c r="AJ114" s="5">
        <f t="shared" si="16"/>
        <v>1.5732042073626851</v>
      </c>
      <c r="AK114" s="5">
        <f t="shared" si="17"/>
        <v>0.12397130441792879</v>
      </c>
      <c r="AL114" s="5">
        <f t="shared" si="18"/>
        <v>1.1898932510920623</v>
      </c>
      <c r="AM114" s="10">
        <f t="shared" si="19"/>
        <v>4.4627575139215558</v>
      </c>
    </row>
    <row r="115" spans="1:39" x14ac:dyDescent="0.3">
      <c r="A115">
        <v>2084</v>
      </c>
      <c r="B115" t="s">
        <v>621</v>
      </c>
      <c r="C115" t="s">
        <v>96</v>
      </c>
      <c r="D115" s="1">
        <v>42401</v>
      </c>
      <c r="E115">
        <v>13</v>
      </c>
      <c r="F115" t="s">
        <v>622</v>
      </c>
      <c r="G115" s="4">
        <v>460.62400000000002</v>
      </c>
      <c r="H115" s="4">
        <v>877.63300000000004</v>
      </c>
      <c r="I115" s="4">
        <v>7495.2169999999996</v>
      </c>
      <c r="J115" s="4">
        <v>1457.2339999999999</v>
      </c>
      <c r="K115" s="4">
        <v>3462.3719999999998</v>
      </c>
      <c r="L115" s="4">
        <v>679.11699999999996</v>
      </c>
      <c r="M115" s="4">
        <v>3240.5129999999999</v>
      </c>
      <c r="N115" s="4">
        <v>221.85900000000001</v>
      </c>
      <c r="O115" s="4">
        <v>646.15099999999995</v>
      </c>
      <c r="P115" s="4">
        <v>1497.9739999999999</v>
      </c>
      <c r="Q115" s="4">
        <v>139.422</v>
      </c>
      <c r="R115" s="4">
        <v>64.81</v>
      </c>
      <c r="S115" s="4">
        <v>1997.2729999999999</v>
      </c>
      <c r="T115" s="4">
        <v>3379.9349999999999</v>
      </c>
      <c r="U115" s="4">
        <v>5014.2340000000004</v>
      </c>
      <c r="V115" s="4">
        <v>3071.2910000000002</v>
      </c>
      <c r="W115" s="4">
        <v>2039.008</v>
      </c>
      <c r="X115" s="4">
        <v>1749.41</v>
      </c>
      <c r="Y115">
        <v>29.06</v>
      </c>
      <c r="Z115">
        <v>2968.4857499999998</v>
      </c>
      <c r="AA115" t="s">
        <v>53</v>
      </c>
      <c r="AB115">
        <v>3</v>
      </c>
      <c r="AC115" t="s">
        <v>468</v>
      </c>
      <c r="AD115" s="5">
        <f t="shared" si="10"/>
        <v>0.11393793229258459</v>
      </c>
      <c r="AE115" s="5">
        <f t="shared" si="11"/>
        <v>0.11709240706439855</v>
      </c>
      <c r="AF115" s="5">
        <f t="shared" si="12"/>
        <v>2.4105446544005739E-2</v>
      </c>
      <c r="AG115" s="5">
        <f t="shared" si="13"/>
        <v>4.4245840940011973E-2</v>
      </c>
      <c r="AH115" s="5">
        <f t="shared" si="14"/>
        <v>1.4835297128495075</v>
      </c>
      <c r="AI115" s="5">
        <f t="shared" si="15"/>
        <v>0.97280326627831992</v>
      </c>
      <c r="AJ115" s="5">
        <f t="shared" si="16"/>
        <v>1.0684641598413585</v>
      </c>
      <c r="AK115" s="5">
        <f t="shared" si="17"/>
        <v>0.29061946450843734</v>
      </c>
      <c r="AL115" s="5">
        <f t="shared" si="18"/>
        <v>1.0243901140110683</v>
      </c>
      <c r="AM115" s="10">
        <f t="shared" si="19"/>
        <v>33.783695951031959</v>
      </c>
    </row>
    <row r="116" spans="1:39" x14ac:dyDescent="0.3">
      <c r="A116">
        <v>2128</v>
      </c>
      <c r="B116" t="s">
        <v>627</v>
      </c>
      <c r="C116" t="s">
        <v>51</v>
      </c>
      <c r="D116" s="1">
        <v>38149</v>
      </c>
      <c r="E116">
        <v>29</v>
      </c>
      <c r="F116" t="s">
        <v>628</v>
      </c>
      <c r="G116" s="4">
        <v>134.81299999999999</v>
      </c>
      <c r="H116" s="4">
        <v>296.80900000000003</v>
      </c>
      <c r="I116" s="4">
        <v>7357.3450000000003</v>
      </c>
      <c r="J116" s="4">
        <v>895.66300000000001</v>
      </c>
      <c r="K116" s="4">
        <v>4238.1779999999999</v>
      </c>
      <c r="L116" s="4">
        <v>222.05</v>
      </c>
      <c r="M116" s="4">
        <v>3097.2069999999999</v>
      </c>
      <c r="N116" s="4">
        <v>1140.971</v>
      </c>
      <c r="O116" s="4">
        <v>188.63200000000001</v>
      </c>
      <c r="P116" s="4">
        <v>380.50599999999997</v>
      </c>
      <c r="Q116" s="4">
        <v>386.322</v>
      </c>
      <c r="R116" s="4">
        <v>41.284999999999997</v>
      </c>
      <c r="S116" s="4">
        <v>2452.3009999999999</v>
      </c>
      <c r="T116" s="4">
        <v>3483.529</v>
      </c>
      <c r="U116" s="4">
        <v>4640.8220000000001</v>
      </c>
      <c r="V116" s="4">
        <v>3601.431</v>
      </c>
      <c r="W116" s="4">
        <v>3115.1979999999999</v>
      </c>
      <c r="X116" s="4">
        <v>2290.7429999999999</v>
      </c>
      <c r="Y116">
        <v>19.3</v>
      </c>
      <c r="Z116">
        <v>3412.0484999999999</v>
      </c>
      <c r="AA116" t="s">
        <v>53</v>
      </c>
      <c r="AB116">
        <v>3</v>
      </c>
      <c r="AC116" t="s">
        <v>468</v>
      </c>
      <c r="AD116" s="5">
        <f t="shared" si="10"/>
        <v>3.2712657570690924E-2</v>
      </c>
      <c r="AE116" s="5">
        <f t="shared" si="11"/>
        <v>4.0341862451740408E-2</v>
      </c>
      <c r="AF116" s="5">
        <f t="shared" si="12"/>
        <v>1.3910438809736801E-2</v>
      </c>
      <c r="AG116" s="5">
        <f t="shared" si="13"/>
        <v>0.24585536786371034</v>
      </c>
      <c r="AH116" s="5">
        <f t="shared" si="14"/>
        <v>1.3322185634165813</v>
      </c>
      <c r="AI116" s="5">
        <f t="shared" si="15"/>
        <v>2.3538735263044472</v>
      </c>
      <c r="AJ116" s="5">
        <f t="shared" si="16"/>
        <v>1.3683870661534732</v>
      </c>
      <c r="AK116" s="5">
        <f t="shared" si="17"/>
        <v>0.19299662861449976</v>
      </c>
      <c r="AL116" s="5">
        <f t="shared" si="18"/>
        <v>1.2166334771434371</v>
      </c>
      <c r="AM116" s="10">
        <f t="shared" si="19"/>
        <v>6.4483190195018105</v>
      </c>
    </row>
    <row r="117" spans="1:39" x14ac:dyDescent="0.3">
      <c r="A117">
        <v>2217</v>
      </c>
      <c r="B117" t="s">
        <v>645</v>
      </c>
      <c r="C117" t="s">
        <v>96</v>
      </c>
      <c r="D117" s="1">
        <v>36670</v>
      </c>
      <c r="E117">
        <v>21</v>
      </c>
      <c r="F117" t="s">
        <v>646</v>
      </c>
      <c r="G117" s="4">
        <v>7.6790000000000003</v>
      </c>
      <c r="H117" s="4">
        <v>136.804</v>
      </c>
      <c r="I117" s="4">
        <v>7114.6090000000004</v>
      </c>
      <c r="J117" s="4">
        <v>288.69600000000003</v>
      </c>
      <c r="K117" s="4">
        <v>3432.7339999999999</v>
      </c>
      <c r="L117" s="4">
        <v>184.10499999999999</v>
      </c>
      <c r="M117" s="4">
        <v>2896.826</v>
      </c>
      <c r="N117" s="4">
        <v>535.90800000000002</v>
      </c>
      <c r="O117" s="4">
        <v>87.756</v>
      </c>
      <c r="P117" s="4">
        <v>726.65700000000004</v>
      </c>
      <c r="Q117" s="4">
        <v>669.86400000000003</v>
      </c>
      <c r="R117" s="4">
        <v>46.076999999999998</v>
      </c>
      <c r="S117" s="4">
        <v>2990.5320000000002</v>
      </c>
      <c r="T117" s="4">
        <v>3566.69</v>
      </c>
      <c r="U117" s="4">
        <v>4159.3909999999996</v>
      </c>
      <c r="V117" s="4">
        <v>3516.576</v>
      </c>
      <c r="W117" s="4">
        <v>3025.3420000000001</v>
      </c>
      <c r="X117" s="4">
        <v>2525.692</v>
      </c>
      <c r="Y117">
        <v>6.94</v>
      </c>
      <c r="Z117">
        <v>3306.7502500000001</v>
      </c>
      <c r="AA117" t="s">
        <v>53</v>
      </c>
      <c r="AB117">
        <v>3</v>
      </c>
      <c r="AC117" t="s">
        <v>468</v>
      </c>
      <c r="AD117" s="5">
        <f t="shared" si="10"/>
        <v>2.0007902587387363E-3</v>
      </c>
      <c r="AE117" s="5">
        <f t="shared" si="11"/>
        <v>1.9228604129896666E-2</v>
      </c>
      <c r="AF117" s="5">
        <f t="shared" si="12"/>
        <v>1.4053817302510117E-2</v>
      </c>
      <c r="AG117" s="5">
        <f t="shared" si="13"/>
        <v>0.12884290031882073</v>
      </c>
      <c r="AH117" s="5">
        <f t="shared" si="14"/>
        <v>1.1661767633295856</v>
      </c>
      <c r="AI117" s="5">
        <f t="shared" si="15"/>
        <v>0.39729335848963132</v>
      </c>
      <c r="AJ117" s="5">
        <f t="shared" si="16"/>
        <v>1.1849983395619896</v>
      </c>
      <c r="AK117" s="5">
        <f t="shared" si="17"/>
        <v>6.9408237888671689E-2</v>
      </c>
      <c r="AL117" s="5">
        <f t="shared" si="18"/>
        <v>0.96244248869399918</v>
      </c>
      <c r="AM117" s="10">
        <f t="shared" si="19"/>
        <v>13.275802936324892</v>
      </c>
    </row>
    <row r="118" spans="1:39" x14ac:dyDescent="0.3">
      <c r="A118">
        <v>2220</v>
      </c>
      <c r="B118" t="s">
        <v>647</v>
      </c>
      <c r="C118" t="s">
        <v>55</v>
      </c>
      <c r="D118" s="1">
        <v>40442</v>
      </c>
      <c r="E118">
        <v>9</v>
      </c>
      <c r="F118" t="s">
        <v>648</v>
      </c>
      <c r="G118" s="4">
        <v>10.406000000000001</v>
      </c>
      <c r="H118" s="4">
        <v>27.725000000000001</v>
      </c>
      <c r="I118" s="4">
        <v>7110.88</v>
      </c>
      <c r="J118" s="4">
        <v>332.87</v>
      </c>
      <c r="K118" s="4">
        <v>5687.5230000000001</v>
      </c>
      <c r="L118" s="4">
        <v>0</v>
      </c>
      <c r="M118" s="4">
        <v>6009.4650000000001</v>
      </c>
      <c r="N118" s="4">
        <v>-321.94200000000001</v>
      </c>
      <c r="O118" s="4">
        <v>18.54</v>
      </c>
      <c r="P118" s="4">
        <v>680.76599999999996</v>
      </c>
      <c r="Q118" s="4">
        <v>5.4749999999999996</v>
      </c>
      <c r="R118" s="4">
        <v>1.1060000000000001</v>
      </c>
      <c r="S118" s="4">
        <v>3726.0949999999998</v>
      </c>
      <c r="T118" s="4">
        <v>6014.94</v>
      </c>
      <c r="U118" s="4">
        <v>6368.2889999999998</v>
      </c>
      <c r="V118" s="4">
        <v>4058.1350000000002</v>
      </c>
      <c r="W118" s="4">
        <v>2054.0140000000001</v>
      </c>
      <c r="X118" s="4">
        <v>54.424999999999997</v>
      </c>
      <c r="Y118">
        <v>5.23</v>
      </c>
      <c r="Z118">
        <v>3133.7157499999998</v>
      </c>
      <c r="AA118" t="s">
        <v>53</v>
      </c>
      <c r="AB118">
        <v>3</v>
      </c>
      <c r="AC118" t="s">
        <v>468</v>
      </c>
      <c r="AD118" s="5">
        <f t="shared" si="10"/>
        <v>1.9960822617610795E-3</v>
      </c>
      <c r="AE118" s="5">
        <f t="shared" si="11"/>
        <v>3.8989548410323337E-3</v>
      </c>
      <c r="AF118" s="5">
        <f t="shared" si="12"/>
        <v>2.2708059256536912E-4</v>
      </c>
      <c r="AG118" s="5">
        <f t="shared" si="13"/>
        <v>-5.0553924295835197E-2</v>
      </c>
      <c r="AH118" s="5">
        <f t="shared" si="14"/>
        <v>1.0587452243912658</v>
      </c>
      <c r="AI118" s="5">
        <f t="shared" si="15"/>
        <v>0.48896390242755955</v>
      </c>
      <c r="AJ118" s="5">
        <f t="shared" si="16"/>
        <v>0.94642751060202535</v>
      </c>
      <c r="AK118" s="5">
        <f t="shared" si="17"/>
        <v>5.2269926820218117E-2</v>
      </c>
      <c r="AL118" s="5">
        <f t="shared" si="18"/>
        <v>0.94556604055900817</v>
      </c>
      <c r="AM118" s="10">
        <f t="shared" si="19"/>
        <v>-22.087456746867449</v>
      </c>
    </row>
    <row r="119" spans="1:39" x14ac:dyDescent="0.3">
      <c r="A119">
        <v>2246</v>
      </c>
      <c r="B119" t="s">
        <v>649</v>
      </c>
      <c r="C119" t="s">
        <v>55</v>
      </c>
      <c r="D119" s="1">
        <v>41535</v>
      </c>
      <c r="E119">
        <v>3</v>
      </c>
      <c r="F119" t="s">
        <v>650</v>
      </c>
      <c r="G119" s="4">
        <v>174.31800000000001</v>
      </c>
      <c r="H119" s="4">
        <v>344.48500000000001</v>
      </c>
      <c r="I119" s="4">
        <v>7022.2150000000001</v>
      </c>
      <c r="J119" s="4">
        <v>311.108</v>
      </c>
      <c r="K119" s="4">
        <v>3805.5239999999999</v>
      </c>
      <c r="L119" s="4">
        <v>20.957000000000001</v>
      </c>
      <c r="M119" s="4">
        <v>3201.636</v>
      </c>
      <c r="N119" s="4">
        <v>603.88800000000003</v>
      </c>
      <c r="O119" s="4">
        <v>196.833</v>
      </c>
      <c r="P119" s="4">
        <v>283.41000000000003</v>
      </c>
      <c r="Q119" s="4">
        <v>553.26199999999994</v>
      </c>
      <c r="R119" s="4">
        <v>68.045000000000002</v>
      </c>
      <c r="S119" s="4">
        <v>2620.279</v>
      </c>
      <c r="T119" s="4">
        <v>3754.8980000000001</v>
      </c>
      <c r="U119" s="4">
        <v>4090.5239999999999</v>
      </c>
      <c r="V119" s="4">
        <v>2940.0160000000001</v>
      </c>
      <c r="W119" s="4">
        <v>2068.0569999999998</v>
      </c>
      <c r="X119" s="4">
        <v>1442.0930000000001</v>
      </c>
      <c r="Y119">
        <v>7.61</v>
      </c>
      <c r="Z119">
        <v>2635.1725000000001</v>
      </c>
      <c r="AA119" t="s">
        <v>53</v>
      </c>
      <c r="AB119">
        <v>3</v>
      </c>
      <c r="AC119" t="s">
        <v>468</v>
      </c>
      <c r="AD119" s="5">
        <f t="shared" si="10"/>
        <v>4.9588794032890793E-2</v>
      </c>
      <c r="AE119" s="5">
        <f t="shared" si="11"/>
        <v>4.9056458681484408E-2</v>
      </c>
      <c r="AF119" s="5">
        <f t="shared" si="12"/>
        <v>2.1346858291150194E-2</v>
      </c>
      <c r="AG119" s="5">
        <f t="shared" si="13"/>
        <v>0.14763096366137934</v>
      </c>
      <c r="AH119" s="5">
        <f t="shared" si="14"/>
        <v>1.0893835198719113</v>
      </c>
      <c r="AI119" s="5">
        <f t="shared" si="15"/>
        <v>1.0977312021453018</v>
      </c>
      <c r="AJ119" s="5">
        <f t="shared" si="16"/>
        <v>1.188618568756723</v>
      </c>
      <c r="AK119" s="5">
        <f t="shared" si="17"/>
        <v>7.6055781606464118E-2</v>
      </c>
      <c r="AL119" s="5">
        <f t="shared" si="18"/>
        <v>1.0134826565195645</v>
      </c>
      <c r="AM119" s="10">
        <f t="shared" si="19"/>
        <v>11.628340023315582</v>
      </c>
    </row>
    <row r="120" spans="1:39" x14ac:dyDescent="0.3">
      <c r="A120">
        <v>2274</v>
      </c>
      <c r="B120" t="s">
        <v>653</v>
      </c>
      <c r="C120" t="s">
        <v>55</v>
      </c>
      <c r="D120" s="1">
        <v>41899</v>
      </c>
      <c r="E120">
        <v>1</v>
      </c>
      <c r="F120" t="s">
        <v>654</v>
      </c>
      <c r="G120" s="4">
        <v>3414.9110000000001</v>
      </c>
      <c r="H120" s="4">
        <v>541.93299999999999</v>
      </c>
      <c r="I120" s="4">
        <v>6937.9009999999998</v>
      </c>
      <c r="J120" s="4">
        <v>3471.145</v>
      </c>
      <c r="K120" s="4">
        <v>6173.3239999999996</v>
      </c>
      <c r="L120" s="4">
        <v>0</v>
      </c>
      <c r="M120" s="4">
        <v>5769.0249999999996</v>
      </c>
      <c r="N120" s="4">
        <v>404.29899999999998</v>
      </c>
      <c r="O120" s="4">
        <v>3609.2139999999999</v>
      </c>
      <c r="P120" s="4">
        <v>3045.2550000000001</v>
      </c>
      <c r="Q120" s="4">
        <v>0</v>
      </c>
      <c r="R120" s="4">
        <v>424.27</v>
      </c>
      <c r="S120" s="4">
        <v>907.04600000000005</v>
      </c>
      <c r="T120" s="4">
        <v>5769.0249999999996</v>
      </c>
      <c r="U120" s="4">
        <v>9260.2929999999997</v>
      </c>
      <c r="V120" s="4">
        <v>2714.1370000000002</v>
      </c>
      <c r="W120" s="4">
        <v>499.91</v>
      </c>
      <c r="X120" s="4">
        <v>149.07599999999999</v>
      </c>
      <c r="Y120">
        <v>37.479999999999997</v>
      </c>
      <c r="Z120">
        <v>3155.8539999999998</v>
      </c>
      <c r="AA120" t="s">
        <v>53</v>
      </c>
      <c r="AB120">
        <v>3</v>
      </c>
      <c r="AC120" t="s">
        <v>468</v>
      </c>
      <c r="AD120" s="5">
        <f t="shared" si="10"/>
        <v>0.57036719075563513</v>
      </c>
      <c r="AE120" s="5">
        <f t="shared" si="11"/>
        <v>7.8111953456816402E-2</v>
      </c>
      <c r="AF120" s="5">
        <f t="shared" si="12"/>
        <v>0.12710170398127882</v>
      </c>
      <c r="AG120" s="5">
        <f t="shared" si="13"/>
        <v>4.3659417687971644E-2</v>
      </c>
      <c r="AH120" s="5">
        <f t="shared" si="14"/>
        <v>1.6051747045644629</v>
      </c>
      <c r="AI120" s="5">
        <f t="shared" si="15"/>
        <v>1.1398536411564877</v>
      </c>
      <c r="AJ120" s="5">
        <f t="shared" si="16"/>
        <v>1.0700809928887465</v>
      </c>
      <c r="AK120" s="5">
        <f t="shared" si="17"/>
        <v>0.37484181116083476</v>
      </c>
      <c r="AL120" s="5">
        <f t="shared" si="18"/>
        <v>1.0700809928887465</v>
      </c>
      <c r="AM120" s="10">
        <f t="shared" si="19"/>
        <v>17.160321939950382</v>
      </c>
    </row>
    <row r="121" spans="1:39" x14ac:dyDescent="0.3">
      <c r="A121">
        <v>2310</v>
      </c>
      <c r="B121" t="s">
        <v>659</v>
      </c>
      <c r="C121" t="s">
        <v>96</v>
      </c>
      <c r="D121" s="1">
        <v>37629</v>
      </c>
      <c r="E121">
        <v>17</v>
      </c>
      <c r="F121" t="s">
        <v>660</v>
      </c>
      <c r="G121" s="4">
        <v>96.043000000000006</v>
      </c>
      <c r="H121" s="4">
        <v>206.39099999999999</v>
      </c>
      <c r="I121" s="4">
        <v>6813.21</v>
      </c>
      <c r="J121" s="4">
        <v>288.91399999999999</v>
      </c>
      <c r="K121" s="4">
        <v>4937.9059999999999</v>
      </c>
      <c r="L121" s="4">
        <v>2750.2</v>
      </c>
      <c r="M121" s="4">
        <v>4157.8580000000002</v>
      </c>
      <c r="N121" s="4">
        <v>780.048</v>
      </c>
      <c r="O121" s="4">
        <v>138.04599999999999</v>
      </c>
      <c r="P121" s="4">
        <v>115.197</v>
      </c>
      <c r="Q121" s="4">
        <v>280.476</v>
      </c>
      <c r="R121" s="4">
        <v>46.671999999999997</v>
      </c>
      <c r="S121" s="4">
        <v>1820.1130000000001</v>
      </c>
      <c r="T121" s="4">
        <v>4438.3339999999998</v>
      </c>
      <c r="U121" s="4">
        <v>5078.3819999999996</v>
      </c>
      <c r="V121" s="4">
        <v>2391.7959999999998</v>
      </c>
      <c r="W121" s="4">
        <v>2996.4479999999999</v>
      </c>
      <c r="X121" s="4">
        <v>2360.0349999999999</v>
      </c>
      <c r="Y121">
        <v>5.69</v>
      </c>
      <c r="Z121">
        <v>3206.66525</v>
      </c>
      <c r="AA121" t="s">
        <v>53</v>
      </c>
      <c r="AB121">
        <v>3</v>
      </c>
      <c r="AC121" t="s">
        <v>468</v>
      </c>
      <c r="AD121" s="5">
        <f t="shared" si="10"/>
        <v>2.5713711239544763E-2</v>
      </c>
      <c r="AE121" s="5">
        <f t="shared" si="11"/>
        <v>3.029276948751029E-2</v>
      </c>
      <c r="AF121" s="5">
        <f t="shared" si="12"/>
        <v>1.4914882238357215E-2</v>
      </c>
      <c r="AG121" s="5">
        <f t="shared" si="13"/>
        <v>0.15360167864489124</v>
      </c>
      <c r="AH121" s="5">
        <f t="shared" si="14"/>
        <v>1.1442090658341622</v>
      </c>
      <c r="AI121" s="5">
        <f t="shared" si="15"/>
        <v>2.5079993402605969</v>
      </c>
      <c r="AJ121" s="5">
        <f t="shared" si="16"/>
        <v>1.1876081386136803</v>
      </c>
      <c r="AK121" s="5">
        <f t="shared" si="17"/>
        <v>5.6890954638701856E-2</v>
      </c>
      <c r="AL121" s="5">
        <f t="shared" si="18"/>
        <v>1.1125584509863387</v>
      </c>
      <c r="AM121" s="10">
        <f t="shared" si="19"/>
        <v>8.7343471171004854</v>
      </c>
    </row>
    <row r="122" spans="1:39" x14ac:dyDescent="0.3">
      <c r="A122">
        <v>3336</v>
      </c>
      <c r="B122" t="s">
        <v>677</v>
      </c>
      <c r="C122" t="s">
        <v>55</v>
      </c>
      <c r="D122" s="1">
        <v>43650</v>
      </c>
      <c r="E122">
        <v>54</v>
      </c>
      <c r="F122" t="s">
        <v>678</v>
      </c>
      <c r="G122" s="4">
        <v>204.755</v>
      </c>
      <c r="H122" s="4">
        <v>403.63200000000001</v>
      </c>
      <c r="I122" s="4">
        <v>4769.2290000000003</v>
      </c>
      <c r="J122" s="4">
        <v>621.59400000000005</v>
      </c>
      <c r="K122" s="4">
        <v>2373.598</v>
      </c>
      <c r="L122" s="4">
        <v>349.48899999999998</v>
      </c>
      <c r="M122" s="4">
        <v>1180.7650000000001</v>
      </c>
      <c r="N122" s="4">
        <v>1192.8330000000001</v>
      </c>
      <c r="O122" s="4">
        <v>230.124</v>
      </c>
      <c r="P122" s="4">
        <v>519.90800000000002</v>
      </c>
      <c r="Q122" s="4">
        <v>994.57899999999995</v>
      </c>
      <c r="R122" s="4">
        <v>33.661999999999999</v>
      </c>
      <c r="S122" s="4">
        <v>1010.647</v>
      </c>
      <c r="T122" s="4">
        <v>2175.3440000000001</v>
      </c>
      <c r="U122" s="4">
        <v>2893.5059999999999</v>
      </c>
      <c r="V122" s="4">
        <v>1469.1980000000001</v>
      </c>
      <c r="W122" s="4">
        <v>623.76499999999999</v>
      </c>
      <c r="X122" s="4">
        <v>51.728000000000002</v>
      </c>
      <c r="Y122">
        <v>21.48</v>
      </c>
      <c r="Z122">
        <v>1259.54925</v>
      </c>
      <c r="AA122" t="s">
        <v>53</v>
      </c>
      <c r="AB122">
        <v>2</v>
      </c>
      <c r="AC122" t="s">
        <v>468</v>
      </c>
      <c r="AD122" s="5">
        <f t="shared" si="10"/>
        <v>9.3866097722880126E-2</v>
      </c>
      <c r="AE122" s="5">
        <f t="shared" si="11"/>
        <v>8.46325475249773E-2</v>
      </c>
      <c r="AF122" s="5">
        <f t="shared" si="12"/>
        <v>2.113125868842693E-2</v>
      </c>
      <c r="AG122" s="5">
        <f t="shared" si="13"/>
        <v>0.41224486833619844</v>
      </c>
      <c r="AH122" s="5">
        <f t="shared" si="14"/>
        <v>1.3301372104825719</v>
      </c>
      <c r="AI122" s="5">
        <f t="shared" si="15"/>
        <v>1.1955846034298376</v>
      </c>
      <c r="AJ122" s="5">
        <f t="shared" si="16"/>
        <v>2.0102204926467162</v>
      </c>
      <c r="AK122" s="5">
        <f t="shared" si="17"/>
        <v>0.21482381581375676</v>
      </c>
      <c r="AL122" s="5">
        <f t="shared" si="18"/>
        <v>1.0911368500798033</v>
      </c>
      <c r="AM122" s="10">
        <f t="shared" si="19"/>
        <v>3.9982369703051472</v>
      </c>
    </row>
    <row r="123" spans="1:39" x14ac:dyDescent="0.3">
      <c r="A123">
        <v>4199</v>
      </c>
      <c r="B123" t="s">
        <v>695</v>
      </c>
      <c r="C123" t="s">
        <v>55</v>
      </c>
      <c r="D123" s="1">
        <v>41915</v>
      </c>
      <c r="E123">
        <v>0</v>
      </c>
      <c r="F123" t="s">
        <v>696</v>
      </c>
      <c r="G123" s="4">
        <v>52.192999999999998</v>
      </c>
      <c r="H123" s="4">
        <v>104.36499999999999</v>
      </c>
      <c r="I123" s="4">
        <v>3837.8780000000002</v>
      </c>
      <c r="J123" s="4">
        <v>352.017</v>
      </c>
      <c r="K123" s="4">
        <v>1177.914</v>
      </c>
      <c r="L123" s="4">
        <v>0</v>
      </c>
      <c r="M123" s="4">
        <v>871.08199999999999</v>
      </c>
      <c r="N123" s="4">
        <v>306.83199999999999</v>
      </c>
      <c r="O123" s="4">
        <v>72.519000000000005</v>
      </c>
      <c r="P123" s="4">
        <v>100.19199999999999</v>
      </c>
      <c r="Q123" s="4">
        <v>55.984000000000002</v>
      </c>
      <c r="R123" s="4">
        <v>2.7669999999999999</v>
      </c>
      <c r="S123" s="4">
        <v>909.00599999999997</v>
      </c>
      <c r="T123" s="4">
        <v>927.06600000000003</v>
      </c>
      <c r="U123" s="4">
        <v>1279.135</v>
      </c>
      <c r="V123" s="4">
        <v>1208.9179999999999</v>
      </c>
      <c r="W123" s="4">
        <v>382.81400000000002</v>
      </c>
      <c r="X123" s="4">
        <v>253.43299999999999</v>
      </c>
      <c r="Y123">
        <v>27.52</v>
      </c>
      <c r="Z123">
        <v>781.07500000000005</v>
      </c>
      <c r="AA123" t="s">
        <v>53</v>
      </c>
      <c r="AB123">
        <v>2</v>
      </c>
      <c r="AC123" t="s">
        <v>468</v>
      </c>
      <c r="AD123" s="5">
        <f t="shared" si="10"/>
        <v>4.195489404767503E-2</v>
      </c>
      <c r="AE123" s="5">
        <f t="shared" si="11"/>
        <v>2.7193412609780716E-2</v>
      </c>
      <c r="AF123" s="5">
        <f t="shared" si="12"/>
        <v>3.0140430222779934E-3</v>
      </c>
      <c r="AG123" s="5">
        <f t="shared" si="13"/>
        <v>0.23987460275889566</v>
      </c>
      <c r="AH123" s="5">
        <f t="shared" si="14"/>
        <v>1.3797669205860208</v>
      </c>
      <c r="AI123" s="5">
        <f t="shared" si="15"/>
        <v>3.5134242254870651</v>
      </c>
      <c r="AJ123" s="5">
        <f t="shared" si="16"/>
        <v>1.3522423836102686</v>
      </c>
      <c r="AK123" s="5">
        <f t="shared" si="17"/>
        <v>0.27519925574704779</v>
      </c>
      <c r="AL123" s="5">
        <f t="shared" si="18"/>
        <v>1.2705826769615107</v>
      </c>
      <c r="AM123" s="10">
        <f t="shared" si="19"/>
        <v>12.508076080721699</v>
      </c>
    </row>
    <row r="124" spans="1:39" x14ac:dyDescent="0.3">
      <c r="A124">
        <v>4405</v>
      </c>
      <c r="B124" t="s">
        <v>703</v>
      </c>
      <c r="C124" t="s">
        <v>162</v>
      </c>
      <c r="D124" s="1">
        <v>44022</v>
      </c>
      <c r="E124">
        <v>20</v>
      </c>
      <c r="F124" t="s">
        <v>704</v>
      </c>
      <c r="G124" s="4">
        <v>-55.173999999999999</v>
      </c>
      <c r="H124" s="4">
        <v>462.10399999999998</v>
      </c>
      <c r="I124" s="4">
        <v>3682.45</v>
      </c>
      <c r="J124" s="4">
        <v>209.24</v>
      </c>
      <c r="K124" s="4">
        <v>2189.2689999999998</v>
      </c>
      <c r="L124" s="4">
        <v>65</v>
      </c>
      <c r="M124" s="4">
        <v>1878.875</v>
      </c>
      <c r="N124" s="4">
        <v>310.39400000000001</v>
      </c>
      <c r="O124" s="4">
        <v>337.07900000000001</v>
      </c>
      <c r="P124" s="4">
        <v>132.22200000000001</v>
      </c>
      <c r="Q124" s="4">
        <v>207</v>
      </c>
      <c r="R124" s="4">
        <v>9.8030000000000008</v>
      </c>
      <c r="S124" s="4">
        <v>835.86400000000003</v>
      </c>
      <c r="T124" s="4">
        <v>2085.875</v>
      </c>
      <c r="U124" s="4">
        <v>2341.9580000000001</v>
      </c>
      <c r="V124" s="4">
        <v>1113.0450000000001</v>
      </c>
      <c r="W124" s="4">
        <v>1099.7380000000001</v>
      </c>
      <c r="X124" s="4">
        <v>31.388000000000002</v>
      </c>
      <c r="Y124">
        <v>8.93</v>
      </c>
      <c r="Z124">
        <v>1146.53225</v>
      </c>
      <c r="AA124" t="s">
        <v>53</v>
      </c>
      <c r="AB124">
        <v>2</v>
      </c>
      <c r="AC124" t="s">
        <v>468</v>
      </c>
      <c r="AD124" s="5">
        <f t="shared" si="10"/>
        <v>-3.1938611920163312E-2</v>
      </c>
      <c r="AE124" s="5">
        <f t="shared" si="11"/>
        <v>0.12548819400127634</v>
      </c>
      <c r="AF124" s="5">
        <f t="shared" si="12"/>
        <v>6.7103872043327625E-3</v>
      </c>
      <c r="AG124" s="5">
        <f t="shared" si="13"/>
        <v>0.13253610867487803</v>
      </c>
      <c r="AH124" s="5">
        <f t="shared" si="14"/>
        <v>1.1227700605261581</v>
      </c>
      <c r="AI124" s="5">
        <f t="shared" si="15"/>
        <v>1.5824900546051337</v>
      </c>
      <c r="AJ124" s="5">
        <f t="shared" si="16"/>
        <v>1.1652020490985295</v>
      </c>
      <c r="AK124" s="5">
        <f t="shared" si="17"/>
        <v>8.9344044598579475E-2</v>
      </c>
      <c r="AL124" s="5">
        <f t="shared" si="18"/>
        <v>1.049568646251573</v>
      </c>
      <c r="AM124" s="10">
        <f t="shared" si="19"/>
        <v>11.863792470215275</v>
      </c>
    </row>
    <row r="125" spans="1:39" x14ac:dyDescent="0.3">
      <c r="A125">
        <v>4471</v>
      </c>
      <c r="B125" t="s">
        <v>713</v>
      </c>
      <c r="C125" t="s">
        <v>96</v>
      </c>
      <c r="D125" s="1">
        <v>42144</v>
      </c>
      <c r="E125">
        <v>6</v>
      </c>
      <c r="F125" t="s">
        <v>714</v>
      </c>
      <c r="G125" s="4">
        <v>30.004999999999999</v>
      </c>
      <c r="H125" s="4">
        <v>121.032</v>
      </c>
      <c r="I125" s="4">
        <v>3630.2139999999999</v>
      </c>
      <c r="J125" s="4">
        <v>267.04199999999997</v>
      </c>
      <c r="K125" s="4">
        <v>1199.019</v>
      </c>
      <c r="L125" s="4">
        <v>25.308</v>
      </c>
      <c r="M125" s="4">
        <v>902.73599999999999</v>
      </c>
      <c r="N125" s="4">
        <v>296.28300000000002</v>
      </c>
      <c r="O125" s="4">
        <v>45.326999999999998</v>
      </c>
      <c r="P125" s="4">
        <v>52.372999999999998</v>
      </c>
      <c r="Q125" s="4">
        <v>35.399000000000001</v>
      </c>
      <c r="R125" s="4">
        <v>33.445</v>
      </c>
      <c r="S125" s="4">
        <v>950.33299999999997</v>
      </c>
      <c r="T125" s="4">
        <v>938.13499999999999</v>
      </c>
      <c r="U125" s="4">
        <v>1253.0889999999999</v>
      </c>
      <c r="V125" s="4">
        <v>1226.404</v>
      </c>
      <c r="W125" s="4">
        <v>800.01800000000003</v>
      </c>
      <c r="X125" s="4">
        <v>975.61599999999999</v>
      </c>
      <c r="Y125">
        <v>21.31</v>
      </c>
      <c r="Z125">
        <v>1063.7817500000001</v>
      </c>
      <c r="AA125" t="s">
        <v>53</v>
      </c>
      <c r="AB125">
        <v>2</v>
      </c>
      <c r="AC125" t="s">
        <v>468</v>
      </c>
      <c r="AD125" s="5">
        <f t="shared" si="10"/>
        <v>2.420252850078625E-2</v>
      </c>
      <c r="AE125" s="5">
        <f t="shared" si="11"/>
        <v>3.3340183250904765E-2</v>
      </c>
      <c r="AF125" s="5">
        <f t="shared" si="12"/>
        <v>3.5420245405270306E-2</v>
      </c>
      <c r="AG125" s="5">
        <f t="shared" si="13"/>
        <v>0.23644210427192325</v>
      </c>
      <c r="AH125" s="5">
        <f t="shared" si="14"/>
        <v>1.3357235365912155</v>
      </c>
      <c r="AI125" s="5">
        <f t="shared" si="15"/>
        <v>5.09884864338495</v>
      </c>
      <c r="AJ125" s="5">
        <f t="shared" si="16"/>
        <v>1.3282055883447652</v>
      </c>
      <c r="AK125" s="5">
        <f t="shared" si="17"/>
        <v>0.21310697005559859</v>
      </c>
      <c r="AL125" s="5">
        <f t="shared" si="18"/>
        <v>1.2780879084566721</v>
      </c>
      <c r="AM125" s="10">
        <f t="shared" si="19"/>
        <v>12.252522081928426</v>
      </c>
    </row>
    <row r="126" spans="1:39" x14ac:dyDescent="0.3">
      <c r="A126">
        <v>4679</v>
      </c>
      <c r="B126" t="s">
        <v>729</v>
      </c>
      <c r="C126" t="s">
        <v>55</v>
      </c>
      <c r="D126" s="1">
        <v>42037</v>
      </c>
      <c r="E126">
        <v>17</v>
      </c>
      <c r="F126" t="s">
        <v>730</v>
      </c>
      <c r="G126" s="4">
        <v>93.477000000000004</v>
      </c>
      <c r="H126" s="4">
        <v>289.91899999999998</v>
      </c>
      <c r="I126" s="4">
        <v>3478.33</v>
      </c>
      <c r="J126" s="4">
        <v>232.71899999999999</v>
      </c>
      <c r="K126" s="4">
        <v>504.976</v>
      </c>
      <c r="L126" s="4">
        <v>0</v>
      </c>
      <c r="M126" s="4">
        <v>672.07100000000003</v>
      </c>
      <c r="N126" s="4">
        <v>-167.095</v>
      </c>
      <c r="O126" s="4">
        <v>191.172</v>
      </c>
      <c r="P126" s="4">
        <v>872.92100000000005</v>
      </c>
      <c r="Q126" s="4">
        <v>380.43400000000003</v>
      </c>
      <c r="R126" s="4">
        <v>36.137999999999998</v>
      </c>
      <c r="S126" s="4">
        <v>637.67999999999995</v>
      </c>
      <c r="T126" s="4">
        <v>1052.5050000000001</v>
      </c>
      <c r="U126" s="4">
        <v>1377.8969999999999</v>
      </c>
      <c r="V126" s="4">
        <v>843.51300000000003</v>
      </c>
      <c r="W126" s="4">
        <v>776.47199999999998</v>
      </c>
      <c r="X126" s="4">
        <v>536.60900000000004</v>
      </c>
      <c r="Y126">
        <v>16.89</v>
      </c>
      <c r="Z126">
        <v>883.62275</v>
      </c>
      <c r="AA126" t="s">
        <v>53</v>
      </c>
      <c r="AB126">
        <v>2</v>
      </c>
      <c r="AC126" t="s">
        <v>468</v>
      </c>
      <c r="AD126" s="5">
        <f t="shared" si="10"/>
        <v>8.4160060502113526E-2</v>
      </c>
      <c r="AE126" s="5">
        <f t="shared" si="11"/>
        <v>8.3350055917638638E-2</v>
      </c>
      <c r="AF126" s="5">
        <f t="shared" si="12"/>
        <v>4.276218283797336E-2</v>
      </c>
      <c r="AG126" s="5">
        <f t="shared" si="13"/>
        <v>-0.12126813542666832</v>
      </c>
      <c r="AH126" s="5">
        <f t="shared" si="14"/>
        <v>1.3091595764390667</v>
      </c>
      <c r="AI126" s="5">
        <f t="shared" si="15"/>
        <v>0.26659800829628338</v>
      </c>
      <c r="AJ126" s="5">
        <f t="shared" si="16"/>
        <v>0.75137299481751185</v>
      </c>
      <c r="AK126" s="5">
        <f t="shared" si="17"/>
        <v>0.16889433680456523</v>
      </c>
      <c r="AL126" s="5">
        <f t="shared" si="18"/>
        <v>0.47978489413351949</v>
      </c>
      <c r="AM126" s="10">
        <f t="shared" si="19"/>
        <v>-20.8164816421796</v>
      </c>
    </row>
    <row r="127" spans="1:39" x14ac:dyDescent="0.3">
      <c r="A127">
        <v>4704</v>
      </c>
      <c r="B127" t="s">
        <v>731</v>
      </c>
      <c r="C127" t="s">
        <v>55</v>
      </c>
      <c r="D127" s="1">
        <v>43426</v>
      </c>
      <c r="E127">
        <v>1</v>
      </c>
      <c r="F127" t="s">
        <v>732</v>
      </c>
      <c r="G127" s="4">
        <v>75.787000000000006</v>
      </c>
      <c r="H127" s="4">
        <v>151.04</v>
      </c>
      <c r="I127" s="4">
        <v>3462.2559999999999</v>
      </c>
      <c r="J127" s="4">
        <v>229.49799999999999</v>
      </c>
      <c r="K127" s="4">
        <v>993.84400000000005</v>
      </c>
      <c r="L127" s="4">
        <v>472.53</v>
      </c>
      <c r="M127" s="4">
        <v>865.70100000000002</v>
      </c>
      <c r="N127" s="4">
        <v>128.143</v>
      </c>
      <c r="O127" s="4">
        <v>91.894000000000005</v>
      </c>
      <c r="P127" s="4">
        <v>459.02499999999998</v>
      </c>
      <c r="Q127" s="4">
        <v>355.19600000000003</v>
      </c>
      <c r="R127" s="4">
        <v>14.82</v>
      </c>
      <c r="S127" s="4">
        <v>492.26900000000001</v>
      </c>
      <c r="T127" s="4">
        <v>1220.8969999999999</v>
      </c>
      <c r="U127" s="4">
        <v>1452.8689999999999</v>
      </c>
      <c r="V127" s="4">
        <v>647.87</v>
      </c>
      <c r="W127" s="4">
        <v>483.31900000000002</v>
      </c>
      <c r="X127" s="4">
        <v>311.33800000000002</v>
      </c>
      <c r="Y127">
        <v>15.8</v>
      </c>
      <c r="Z127">
        <v>723.84900000000005</v>
      </c>
      <c r="AA127" t="s">
        <v>53</v>
      </c>
      <c r="AB127">
        <v>2</v>
      </c>
      <c r="AC127" t="s">
        <v>468</v>
      </c>
      <c r="AD127" s="5">
        <f t="shared" si="10"/>
        <v>7.2152704357847416E-2</v>
      </c>
      <c r="AE127" s="5">
        <f t="shared" si="11"/>
        <v>4.3624734854961621E-2</v>
      </c>
      <c r="AF127" s="5">
        <f t="shared" si="12"/>
        <v>1.7301300632863365E-2</v>
      </c>
      <c r="AG127" s="5">
        <f t="shared" si="13"/>
        <v>8.8199968476166818E-2</v>
      </c>
      <c r="AH127" s="5">
        <f t="shared" si="14"/>
        <v>1.190001285939764</v>
      </c>
      <c r="AI127" s="5">
        <f t="shared" si="15"/>
        <v>0.49996841130657371</v>
      </c>
      <c r="AJ127" s="5">
        <f t="shared" si="16"/>
        <v>1.1480222386251142</v>
      </c>
      <c r="AK127" s="5">
        <f t="shared" si="17"/>
        <v>0.15796193600386546</v>
      </c>
      <c r="AL127" s="5">
        <f t="shared" si="18"/>
        <v>0.81402771896400772</v>
      </c>
      <c r="AM127" s="10">
        <f t="shared" si="19"/>
        <v>27.01869005720172</v>
      </c>
    </row>
    <row r="128" spans="1:39" x14ac:dyDescent="0.3">
      <c r="A128">
        <v>4879</v>
      </c>
      <c r="B128" t="s">
        <v>737</v>
      </c>
      <c r="C128" t="s">
        <v>96</v>
      </c>
      <c r="D128" s="1">
        <v>43062</v>
      </c>
      <c r="E128">
        <v>18</v>
      </c>
      <c r="F128" t="s">
        <v>738</v>
      </c>
      <c r="G128" s="4">
        <v>76.067999999999998</v>
      </c>
      <c r="H128" s="4">
        <v>371.82900000000001</v>
      </c>
      <c r="I128" s="4">
        <v>3335.683</v>
      </c>
      <c r="J128" s="4">
        <v>496.52199999999999</v>
      </c>
      <c r="K128" s="4">
        <v>1295.509</v>
      </c>
      <c r="L128" s="4">
        <v>20.875</v>
      </c>
      <c r="M128" s="4">
        <v>847.08299999999997</v>
      </c>
      <c r="N128" s="4">
        <v>448.42599999999999</v>
      </c>
      <c r="O128" s="4">
        <v>247.93100000000001</v>
      </c>
      <c r="P128" s="4">
        <v>701.04700000000003</v>
      </c>
      <c r="Q128" s="4">
        <v>481.584</v>
      </c>
      <c r="R128" s="4">
        <v>80.703000000000003</v>
      </c>
      <c r="S128" s="4">
        <v>1237.1510000000001</v>
      </c>
      <c r="T128" s="4">
        <v>1328.6669999999999</v>
      </c>
      <c r="U128" s="4">
        <v>2052.7539999999999</v>
      </c>
      <c r="V128" s="4">
        <v>1703.6410000000001</v>
      </c>
      <c r="W128" s="4">
        <v>846.33500000000004</v>
      </c>
      <c r="X128" s="4">
        <v>551.24699999999996</v>
      </c>
      <c r="Y128">
        <v>24.19</v>
      </c>
      <c r="Z128">
        <v>1288.49425</v>
      </c>
      <c r="AA128" t="s">
        <v>53</v>
      </c>
      <c r="AB128">
        <v>2</v>
      </c>
      <c r="AC128" t="s">
        <v>468</v>
      </c>
      <c r="AD128" s="5">
        <f t="shared" si="10"/>
        <v>4.0500533090902312E-2</v>
      </c>
      <c r="AE128" s="5">
        <f t="shared" si="11"/>
        <v>0.11147012470909257</v>
      </c>
      <c r="AF128" s="5">
        <f t="shared" si="12"/>
        <v>6.2906254457642752E-2</v>
      </c>
      <c r="AG128" s="5">
        <f t="shared" si="13"/>
        <v>0.21845092008102288</v>
      </c>
      <c r="AH128" s="5">
        <f t="shared" si="14"/>
        <v>1.54497251756836</v>
      </c>
      <c r="AI128" s="5">
        <f t="shared" si="15"/>
        <v>0.70825779156033752</v>
      </c>
      <c r="AJ128" s="5">
        <f t="shared" si="16"/>
        <v>1.5293766962623498</v>
      </c>
      <c r="AK128" s="5">
        <f t="shared" si="17"/>
        <v>0.24188090730793851</v>
      </c>
      <c r="AL128" s="5">
        <f t="shared" si="18"/>
        <v>0.97504416080176604</v>
      </c>
      <c r="AM128" s="10">
        <f t="shared" si="19"/>
        <v>7.4386476252492049</v>
      </c>
    </row>
    <row r="129" spans="1:39" x14ac:dyDescent="0.3">
      <c r="A129">
        <v>5055</v>
      </c>
      <c r="B129" t="s">
        <v>745</v>
      </c>
      <c r="C129" t="s">
        <v>96</v>
      </c>
      <c r="D129" s="1">
        <v>38806</v>
      </c>
      <c r="E129">
        <v>12</v>
      </c>
      <c r="F129" t="s">
        <v>746</v>
      </c>
      <c r="G129" s="4">
        <v>3.0579999999999998</v>
      </c>
      <c r="H129" s="4">
        <v>44.573999999999998</v>
      </c>
      <c r="I129" s="4">
        <v>3230.279</v>
      </c>
      <c r="J129" s="4">
        <v>26.533000000000001</v>
      </c>
      <c r="K129" s="4">
        <v>860.48400000000004</v>
      </c>
      <c r="L129" s="4">
        <v>24.27</v>
      </c>
      <c r="M129" s="4">
        <v>980.01800000000003</v>
      </c>
      <c r="N129" s="4">
        <v>-119.53400000000001</v>
      </c>
      <c r="O129" s="4">
        <v>4.1269999999999998</v>
      </c>
      <c r="P129" s="4">
        <v>231.18100000000001</v>
      </c>
      <c r="Q129" s="4">
        <v>0</v>
      </c>
      <c r="R129" s="4">
        <v>19.524999999999999</v>
      </c>
      <c r="S129" s="4">
        <v>745.51900000000001</v>
      </c>
      <c r="T129" s="4">
        <v>980.01800000000003</v>
      </c>
      <c r="U129" s="4">
        <v>1148.7760000000001</v>
      </c>
      <c r="V129" s="4">
        <v>943.84699999999998</v>
      </c>
      <c r="W129" s="4">
        <v>1371.998</v>
      </c>
      <c r="X129" s="4">
        <v>513.28800000000001</v>
      </c>
      <c r="Y129">
        <v>2.31</v>
      </c>
      <c r="Z129">
        <v>994.47725000000003</v>
      </c>
      <c r="AA129" t="s">
        <v>53</v>
      </c>
      <c r="AB129">
        <v>2</v>
      </c>
      <c r="AC129" t="s">
        <v>468</v>
      </c>
      <c r="AD129" s="5">
        <f t="shared" si="10"/>
        <v>2.9226477965691861E-3</v>
      </c>
      <c r="AE129" s="5">
        <f t="shared" si="11"/>
        <v>1.3798808090570505E-2</v>
      </c>
      <c r="AF129" s="5">
        <f t="shared" si="12"/>
        <v>2.2630636143994593E-2</v>
      </c>
      <c r="AG129" s="5">
        <f t="shared" si="13"/>
        <v>-0.10405335766067536</v>
      </c>
      <c r="AH129" s="5">
        <f t="shared" si="14"/>
        <v>1.1721988779797923</v>
      </c>
      <c r="AI129" s="5">
        <f t="shared" si="15"/>
        <v>0.11477154264407542</v>
      </c>
      <c r="AJ129" s="5">
        <f t="shared" si="16"/>
        <v>0.87802877090012632</v>
      </c>
      <c r="AK129" s="5">
        <f t="shared" si="17"/>
        <v>2.3096756896035433E-2</v>
      </c>
      <c r="AL129" s="5">
        <f t="shared" si="18"/>
        <v>0.87802877090012632</v>
      </c>
      <c r="AM129" s="10">
        <f t="shared" si="19"/>
        <v>-27.023934612746164</v>
      </c>
    </row>
    <row r="130" spans="1:39" x14ac:dyDescent="0.3">
      <c r="A130">
        <v>5161</v>
      </c>
      <c r="B130" t="s">
        <v>749</v>
      </c>
      <c r="C130" t="s">
        <v>55</v>
      </c>
      <c r="D130" s="1">
        <v>43731</v>
      </c>
      <c r="E130">
        <v>24</v>
      </c>
      <c r="F130" t="s">
        <v>750</v>
      </c>
      <c r="G130" s="4">
        <v>72.224999999999994</v>
      </c>
      <c r="H130" s="4">
        <v>268.661</v>
      </c>
      <c r="I130" s="4">
        <v>3153.9050000000002</v>
      </c>
      <c r="J130" s="4">
        <v>181.24700000000001</v>
      </c>
      <c r="K130" s="4">
        <v>1393.1279999999999</v>
      </c>
      <c r="L130" s="4">
        <v>0</v>
      </c>
      <c r="M130" s="4">
        <v>1213.742</v>
      </c>
      <c r="N130" s="4">
        <v>179.386</v>
      </c>
      <c r="O130" s="4">
        <v>181.71</v>
      </c>
      <c r="P130" s="4">
        <v>644.79899999999998</v>
      </c>
      <c r="Q130" s="4">
        <v>519.97699999999998</v>
      </c>
      <c r="R130" s="4">
        <v>42.835000000000001</v>
      </c>
      <c r="S130" s="4">
        <v>664.57299999999998</v>
      </c>
      <c r="T130" s="4">
        <v>1733.7190000000001</v>
      </c>
      <c r="U130" s="4">
        <v>2049.7379999999998</v>
      </c>
      <c r="V130" s="4">
        <v>845.07799999999997</v>
      </c>
      <c r="W130" s="4">
        <v>480.08</v>
      </c>
      <c r="X130" s="4">
        <v>157.834</v>
      </c>
      <c r="Y130">
        <v>8.84</v>
      </c>
      <c r="Z130">
        <v>883.1825</v>
      </c>
      <c r="AA130" t="s">
        <v>53</v>
      </c>
      <c r="AB130">
        <v>2</v>
      </c>
      <c r="AC130" t="s">
        <v>468</v>
      </c>
      <c r="AD130" s="5">
        <f t="shared" si="10"/>
        <v>4.9899544565181343E-2</v>
      </c>
      <c r="AE130" s="5">
        <f t="shared" si="11"/>
        <v>8.5183605720527411E-2</v>
      </c>
      <c r="AF130" s="5">
        <f t="shared" si="12"/>
        <v>3.5721254959779715E-2</v>
      </c>
      <c r="AG130" s="5">
        <f t="shared" si="13"/>
        <v>8.7516550895773024E-2</v>
      </c>
      <c r="AH130" s="5">
        <f t="shared" si="14"/>
        <v>1.1822780969695781</v>
      </c>
      <c r="AI130" s="5">
        <f t="shared" si="15"/>
        <v>0.28109069648060869</v>
      </c>
      <c r="AJ130" s="5">
        <f t="shared" si="16"/>
        <v>1.1477958248128515</v>
      </c>
      <c r="AK130" s="5">
        <f t="shared" si="17"/>
        <v>8.8424471810543609E-2</v>
      </c>
      <c r="AL130" s="5">
        <f t="shared" si="18"/>
        <v>0.80354890267684664</v>
      </c>
      <c r="AM130" s="10">
        <f t="shared" si="19"/>
        <v>17.581667465688518</v>
      </c>
    </row>
    <row r="131" spans="1:39" x14ac:dyDescent="0.3">
      <c r="A131">
        <v>5223</v>
      </c>
      <c r="B131" t="s">
        <v>751</v>
      </c>
      <c r="C131" t="s">
        <v>55</v>
      </c>
      <c r="D131" s="1">
        <v>42773</v>
      </c>
      <c r="E131">
        <v>17</v>
      </c>
      <c r="F131" t="s">
        <v>752</v>
      </c>
      <c r="G131" s="4">
        <v>31.425000000000001</v>
      </c>
      <c r="H131" s="4">
        <v>89.942999999999998</v>
      </c>
      <c r="I131" s="4">
        <v>3112.2249999999999</v>
      </c>
      <c r="J131" s="4">
        <v>89.992000000000004</v>
      </c>
      <c r="K131" s="4">
        <v>1792.115</v>
      </c>
      <c r="L131" s="4">
        <v>0</v>
      </c>
      <c r="M131" s="4">
        <v>1387.69</v>
      </c>
      <c r="N131" s="4">
        <v>404.42500000000001</v>
      </c>
      <c r="O131" s="4">
        <v>37.795000000000002</v>
      </c>
      <c r="P131" s="4">
        <v>30.716000000000001</v>
      </c>
      <c r="Q131" s="4">
        <v>324.16899999999998</v>
      </c>
      <c r="R131" s="4">
        <v>15.007999999999999</v>
      </c>
      <c r="S131" s="4">
        <v>614.99599999999998</v>
      </c>
      <c r="T131" s="4">
        <v>1711.8589999999999</v>
      </c>
      <c r="U131" s="4">
        <v>1830.979</v>
      </c>
      <c r="V131" s="4">
        <v>696.93</v>
      </c>
      <c r="W131" s="4">
        <v>940.05600000000004</v>
      </c>
      <c r="X131" s="4">
        <v>196.27099999999999</v>
      </c>
      <c r="Y131">
        <v>4.91</v>
      </c>
      <c r="Z131">
        <v>916.05899999999997</v>
      </c>
      <c r="AA131" t="s">
        <v>53</v>
      </c>
      <c r="AB131">
        <v>2</v>
      </c>
      <c r="AC131" t="s">
        <v>468</v>
      </c>
      <c r="AD131" s="5">
        <f t="shared" ref="AD131:AD194" si="20">G131/((U131+V131)/2)</f>
        <v>2.4862445602274449E-2</v>
      </c>
      <c r="AE131" s="5">
        <f t="shared" ref="AE131:AE194" si="21">H131/I131</f>
        <v>2.8899902802657262E-2</v>
      </c>
      <c r="AF131" s="5">
        <f t="shared" ref="AF131:AF194" si="22">R131/((S131+T131)/2)</f>
        <v>1.2899815416087378E-2</v>
      </c>
      <c r="AG131" s="5">
        <f t="shared" ref="AG131:AG194" si="23">N131/U131</f>
        <v>0.22087910347415235</v>
      </c>
      <c r="AH131" s="5">
        <f t="shared" ref="AH131:AH194" si="24">U131/T131</f>
        <v>1.0695851702739536</v>
      </c>
      <c r="AI131" s="5">
        <f t="shared" ref="AI131:AI194" si="25">J131/P131</f>
        <v>2.9298085688240656</v>
      </c>
      <c r="AJ131" s="5">
        <f t="shared" ref="AJ131:AJ194" si="26">K131/M131</f>
        <v>1.2914375689094826</v>
      </c>
      <c r="AK131" s="5">
        <f t="shared" ref="AK131:AK194" si="27">J131/U131</f>
        <v>4.9149662557571659E-2</v>
      </c>
      <c r="AL131" s="5">
        <f t="shared" ref="AL131:AL194" si="28">K131/T131</f>
        <v>1.0468823658957893</v>
      </c>
      <c r="AM131" s="10">
        <f t="shared" ref="AM131:AM194" si="29">I131/N131</f>
        <v>7.6954317858688253</v>
      </c>
    </row>
    <row r="132" spans="1:39" x14ac:dyDescent="0.3">
      <c r="A132">
        <v>5291</v>
      </c>
      <c r="B132" t="s">
        <v>753</v>
      </c>
      <c r="C132" t="s">
        <v>55</v>
      </c>
      <c r="D132" s="1">
        <v>41591</v>
      </c>
      <c r="E132">
        <v>6</v>
      </c>
      <c r="F132" t="s">
        <v>754</v>
      </c>
      <c r="G132" s="4">
        <v>86.683000000000007</v>
      </c>
      <c r="H132" s="4">
        <v>158.97399999999999</v>
      </c>
      <c r="I132" s="4">
        <v>3076.42</v>
      </c>
      <c r="J132" s="4">
        <v>702.34400000000005</v>
      </c>
      <c r="K132" s="4">
        <v>1645.7550000000001</v>
      </c>
      <c r="L132" s="4">
        <v>0</v>
      </c>
      <c r="M132" s="4">
        <v>1024.537</v>
      </c>
      <c r="N132" s="4">
        <v>621.21799999999996</v>
      </c>
      <c r="O132" s="4">
        <v>115.416</v>
      </c>
      <c r="P132" s="4">
        <v>120.17100000000001</v>
      </c>
      <c r="Q132" s="4">
        <v>0</v>
      </c>
      <c r="R132" s="4">
        <v>0.57799999999999996</v>
      </c>
      <c r="S132" s="4">
        <v>698.39700000000005</v>
      </c>
      <c r="T132" s="4">
        <v>1024.537</v>
      </c>
      <c r="U132" s="4">
        <v>1780.098</v>
      </c>
      <c r="V132" s="4">
        <v>1351.8040000000001</v>
      </c>
      <c r="W132" s="4">
        <v>814.77700000000004</v>
      </c>
      <c r="X132" s="4">
        <v>622.82600000000002</v>
      </c>
      <c r="Y132">
        <v>39.46</v>
      </c>
      <c r="Z132">
        <v>1142.37625</v>
      </c>
      <c r="AA132" t="s">
        <v>53</v>
      </c>
      <c r="AB132">
        <v>2</v>
      </c>
      <c r="AC132" t="s">
        <v>468</v>
      </c>
      <c r="AD132" s="5">
        <f t="shared" si="20"/>
        <v>5.5354861039713252E-2</v>
      </c>
      <c r="AE132" s="5">
        <f t="shared" si="21"/>
        <v>5.1674998862313984E-2</v>
      </c>
      <c r="AF132" s="5">
        <f t="shared" si="22"/>
        <v>6.7094850992551066E-4</v>
      </c>
      <c r="AG132" s="5">
        <f t="shared" si="23"/>
        <v>0.34897966291743487</v>
      </c>
      <c r="AH132" s="5">
        <f t="shared" si="24"/>
        <v>1.7374658016255147</v>
      </c>
      <c r="AI132" s="5">
        <f t="shared" si="25"/>
        <v>5.8445381997320487</v>
      </c>
      <c r="AJ132" s="5">
        <f t="shared" si="26"/>
        <v>1.606340229781843</v>
      </c>
      <c r="AK132" s="5">
        <f t="shared" si="27"/>
        <v>0.39455355828724042</v>
      </c>
      <c r="AL132" s="5">
        <f t="shared" si="28"/>
        <v>1.606340229781843</v>
      </c>
      <c r="AM132" s="10">
        <f t="shared" si="29"/>
        <v>4.952238988567621</v>
      </c>
    </row>
    <row r="133" spans="1:39" x14ac:dyDescent="0.3">
      <c r="A133">
        <v>5589</v>
      </c>
      <c r="B133" t="s">
        <v>759</v>
      </c>
      <c r="C133" t="s">
        <v>55</v>
      </c>
      <c r="D133" s="1">
        <v>37207</v>
      </c>
      <c r="E133">
        <v>9</v>
      </c>
      <c r="F133" t="s">
        <v>760</v>
      </c>
      <c r="G133" s="4">
        <v>57.789000000000001</v>
      </c>
      <c r="H133" s="4">
        <v>342.95800000000003</v>
      </c>
      <c r="I133" s="4">
        <v>2911.0250000000001</v>
      </c>
      <c r="J133" s="4">
        <v>764.173</v>
      </c>
      <c r="K133" s="4">
        <v>1187.4059999999999</v>
      </c>
      <c r="L133" s="4">
        <v>29.5</v>
      </c>
      <c r="M133" s="4">
        <v>611.90899999999999</v>
      </c>
      <c r="N133" s="4">
        <v>575.49699999999996</v>
      </c>
      <c r="O133" s="4">
        <v>292.113</v>
      </c>
      <c r="P133" s="4">
        <v>339.68</v>
      </c>
      <c r="Q133" s="4">
        <v>113.27200000000001</v>
      </c>
      <c r="R133" s="4">
        <v>6.2030000000000003</v>
      </c>
      <c r="S133" s="4">
        <v>501.87200000000001</v>
      </c>
      <c r="T133" s="4">
        <v>725.18100000000004</v>
      </c>
      <c r="U133" s="4">
        <v>1538.779</v>
      </c>
      <c r="V133" s="4">
        <v>1322.49</v>
      </c>
      <c r="W133" s="4">
        <v>1162.9010000000001</v>
      </c>
      <c r="X133" s="4">
        <v>1197.173</v>
      </c>
      <c r="Y133">
        <v>49.66</v>
      </c>
      <c r="Z133">
        <v>1305.33575</v>
      </c>
      <c r="AA133" t="s">
        <v>53</v>
      </c>
      <c r="AB133">
        <v>2</v>
      </c>
      <c r="AC133" t="s">
        <v>468</v>
      </c>
      <c r="AD133" s="5">
        <f t="shared" si="20"/>
        <v>4.0393965055365293E-2</v>
      </c>
      <c r="AE133" s="5">
        <f t="shared" si="21"/>
        <v>0.11781348494087135</v>
      </c>
      <c r="AF133" s="5">
        <f t="shared" si="22"/>
        <v>1.0110402729140469E-2</v>
      </c>
      <c r="AG133" s="5">
        <f t="shared" si="23"/>
        <v>0.37399587595099748</v>
      </c>
      <c r="AH133" s="5">
        <f t="shared" si="24"/>
        <v>2.1219240437904467</v>
      </c>
      <c r="AI133" s="5">
        <f t="shared" si="25"/>
        <v>2.2496849976448421</v>
      </c>
      <c r="AJ133" s="5">
        <f t="shared" si="26"/>
        <v>1.9404944199219165</v>
      </c>
      <c r="AK133" s="5">
        <f t="shared" si="27"/>
        <v>0.49660997453175537</v>
      </c>
      <c r="AL133" s="5">
        <f t="shared" si="28"/>
        <v>1.6373925957795363</v>
      </c>
      <c r="AM133" s="10">
        <f t="shared" si="29"/>
        <v>5.0582800605389782</v>
      </c>
    </row>
    <row r="134" spans="1:39" x14ac:dyDescent="0.3">
      <c r="A134">
        <v>5717</v>
      </c>
      <c r="B134" t="s">
        <v>763</v>
      </c>
      <c r="C134" t="s">
        <v>55</v>
      </c>
      <c r="D134" s="1">
        <v>40563</v>
      </c>
      <c r="E134">
        <v>1</v>
      </c>
      <c r="F134" t="s">
        <v>764</v>
      </c>
      <c r="G134" s="4">
        <v>65.144000000000005</v>
      </c>
      <c r="H134" s="4">
        <v>67.081999999999994</v>
      </c>
      <c r="I134" s="4">
        <v>2856.4270000000001</v>
      </c>
      <c r="J134" s="4">
        <v>363.47300000000001</v>
      </c>
      <c r="K134" s="4">
        <v>1950.3389999999999</v>
      </c>
      <c r="L134" s="4">
        <v>0</v>
      </c>
      <c r="M134" s="4">
        <v>756.00900000000001</v>
      </c>
      <c r="N134" s="4">
        <v>1194.33</v>
      </c>
      <c r="O134" s="4">
        <v>66.814999999999998</v>
      </c>
      <c r="P134" s="4">
        <v>21.49</v>
      </c>
      <c r="Q134" s="4">
        <v>15.635999999999999</v>
      </c>
      <c r="R134" s="4">
        <v>0.26700000000000002</v>
      </c>
      <c r="S134" s="4">
        <v>584.46</v>
      </c>
      <c r="T134" s="4">
        <v>771.64499999999998</v>
      </c>
      <c r="U134" s="4">
        <v>1971.829</v>
      </c>
      <c r="V134" s="4">
        <v>1028.5360000000001</v>
      </c>
      <c r="W134" s="4">
        <v>721.01400000000001</v>
      </c>
      <c r="X134" s="4">
        <v>367.54500000000002</v>
      </c>
      <c r="Y134">
        <v>18.43</v>
      </c>
      <c r="Z134">
        <v>1022.231</v>
      </c>
      <c r="AA134" t="s">
        <v>53</v>
      </c>
      <c r="AB134">
        <v>2</v>
      </c>
      <c r="AC134" t="s">
        <v>468</v>
      </c>
      <c r="AD134" s="5">
        <f t="shared" si="20"/>
        <v>4.3424050073907684E-2</v>
      </c>
      <c r="AE134" s="5">
        <f t="shared" si="21"/>
        <v>2.3484584062536864E-2</v>
      </c>
      <c r="AF134" s="5">
        <f t="shared" si="22"/>
        <v>3.9377481832159018E-4</v>
      </c>
      <c r="AG134" s="5">
        <f t="shared" si="23"/>
        <v>0.605696538594371</v>
      </c>
      <c r="AH134" s="5">
        <f t="shared" si="24"/>
        <v>2.5553577098277058</v>
      </c>
      <c r="AI134" s="5">
        <f t="shared" si="25"/>
        <v>16.91358771521638</v>
      </c>
      <c r="AJ134" s="5">
        <f t="shared" si="26"/>
        <v>2.5797827803637259</v>
      </c>
      <c r="AK134" s="5">
        <f t="shared" si="27"/>
        <v>0.18433292136387081</v>
      </c>
      <c r="AL134" s="5">
        <f t="shared" si="28"/>
        <v>2.5275081157786286</v>
      </c>
      <c r="AM134" s="10">
        <f t="shared" si="29"/>
        <v>2.3916564098699693</v>
      </c>
    </row>
    <row r="135" spans="1:39" x14ac:dyDescent="0.3">
      <c r="A135">
        <v>5773</v>
      </c>
      <c r="B135" t="s">
        <v>767</v>
      </c>
      <c r="C135" t="s">
        <v>51</v>
      </c>
      <c r="D135" s="1">
        <v>36574</v>
      </c>
      <c r="E135">
        <v>11</v>
      </c>
      <c r="F135" t="s">
        <v>768</v>
      </c>
      <c r="G135" s="4">
        <v>3.9249999999999998</v>
      </c>
      <c r="H135" s="4">
        <v>112.301</v>
      </c>
      <c r="I135" s="4">
        <v>2827.8339999999998</v>
      </c>
      <c r="J135" s="4">
        <v>175.67099999999999</v>
      </c>
      <c r="K135" s="4">
        <v>1389.4490000000001</v>
      </c>
      <c r="L135" s="4">
        <v>134.84700000000001</v>
      </c>
      <c r="M135" s="4">
        <v>983.28499999999997</v>
      </c>
      <c r="N135" s="4">
        <v>406.16399999999999</v>
      </c>
      <c r="O135" s="4">
        <v>46.03</v>
      </c>
      <c r="P135" s="4">
        <v>133.24299999999999</v>
      </c>
      <c r="Q135" s="4">
        <v>206.54599999999999</v>
      </c>
      <c r="R135" s="4">
        <v>15.052</v>
      </c>
      <c r="S135" s="4">
        <v>684.68200000000002</v>
      </c>
      <c r="T135" s="4">
        <v>1189.8309999999999</v>
      </c>
      <c r="U135" s="4">
        <v>1535.116</v>
      </c>
      <c r="V135" s="4">
        <v>1009.921</v>
      </c>
      <c r="W135" s="4">
        <v>960.35199999999998</v>
      </c>
      <c r="X135" s="4">
        <v>963.37699999999995</v>
      </c>
      <c r="Y135">
        <v>11.44</v>
      </c>
      <c r="Z135">
        <v>1117.1914999999999</v>
      </c>
      <c r="AA135" t="s">
        <v>53</v>
      </c>
      <c r="AB135">
        <v>2</v>
      </c>
      <c r="AC135" t="s">
        <v>468</v>
      </c>
      <c r="AD135" s="5">
        <f t="shared" si="20"/>
        <v>3.0844345288496785E-3</v>
      </c>
      <c r="AE135" s="5">
        <f t="shared" si="21"/>
        <v>3.9712727126132587E-2</v>
      </c>
      <c r="AF135" s="5">
        <f t="shared" si="22"/>
        <v>1.605963788994795E-2</v>
      </c>
      <c r="AG135" s="5">
        <f t="shared" si="23"/>
        <v>0.26458195993006389</v>
      </c>
      <c r="AH135" s="5">
        <f t="shared" si="24"/>
        <v>1.2901966749899776</v>
      </c>
      <c r="AI135" s="5">
        <f t="shared" si="25"/>
        <v>1.3184257334344018</v>
      </c>
      <c r="AJ135" s="5">
        <f t="shared" si="26"/>
        <v>1.4130684389571693</v>
      </c>
      <c r="AK135" s="5">
        <f t="shared" si="27"/>
        <v>0.11443500035176495</v>
      </c>
      <c r="AL135" s="5">
        <f t="shared" si="28"/>
        <v>1.1677700446534005</v>
      </c>
      <c r="AM135" s="10">
        <f t="shared" si="29"/>
        <v>6.962296018357117</v>
      </c>
    </row>
    <row r="136" spans="1:39" x14ac:dyDescent="0.3">
      <c r="A136">
        <v>5792</v>
      </c>
      <c r="B136" t="s">
        <v>769</v>
      </c>
      <c r="C136" t="s">
        <v>162</v>
      </c>
      <c r="D136" s="1">
        <v>44050</v>
      </c>
      <c r="E136">
        <v>3</v>
      </c>
      <c r="F136" t="s">
        <v>770</v>
      </c>
      <c r="G136" s="4">
        <v>29.911999999999999</v>
      </c>
      <c r="H136" s="4">
        <v>89.864999999999995</v>
      </c>
      <c r="I136" s="4">
        <v>2820.5340000000001</v>
      </c>
      <c r="J136" s="4">
        <v>204.46600000000001</v>
      </c>
      <c r="K136" s="4">
        <v>1657.049</v>
      </c>
      <c r="L136" s="4">
        <v>170.96</v>
      </c>
      <c r="M136" s="4">
        <v>1281.894</v>
      </c>
      <c r="N136" s="4">
        <v>375.15499999999997</v>
      </c>
      <c r="O136" s="4">
        <v>34.026000000000003</v>
      </c>
      <c r="P136" s="4">
        <v>12.612</v>
      </c>
      <c r="Q136" s="4">
        <v>171.393</v>
      </c>
      <c r="R136" s="4">
        <v>35.164999999999999</v>
      </c>
      <c r="S136" s="4">
        <v>1072.6369999999999</v>
      </c>
      <c r="T136" s="4">
        <v>1453.287</v>
      </c>
      <c r="U136" s="4">
        <v>1670.549</v>
      </c>
      <c r="V136" s="4">
        <v>1258.806</v>
      </c>
      <c r="W136" s="4">
        <v>599.48800000000006</v>
      </c>
      <c r="X136" s="4">
        <v>141.43700000000001</v>
      </c>
      <c r="Y136">
        <v>12.24</v>
      </c>
      <c r="Z136">
        <v>917.57</v>
      </c>
      <c r="AA136" t="s">
        <v>53</v>
      </c>
      <c r="AB136">
        <v>2</v>
      </c>
      <c r="AC136" t="s">
        <v>468</v>
      </c>
      <c r="AD136" s="5">
        <f t="shared" si="20"/>
        <v>2.0422243121779367E-2</v>
      </c>
      <c r="AE136" s="5">
        <f t="shared" si="21"/>
        <v>3.1860988025671728E-2</v>
      </c>
      <c r="AF136" s="5">
        <f t="shared" si="22"/>
        <v>2.7843276361442387E-2</v>
      </c>
      <c r="AG136" s="5">
        <f t="shared" si="23"/>
        <v>0.22456988690544244</v>
      </c>
      <c r="AH136" s="5">
        <f t="shared" si="24"/>
        <v>1.1494969679079219</v>
      </c>
      <c r="AI136" s="5">
        <f t="shared" si="25"/>
        <v>16.212020298128767</v>
      </c>
      <c r="AJ136" s="5">
        <f t="shared" si="26"/>
        <v>1.2926568031366088</v>
      </c>
      <c r="AK136" s="5">
        <f t="shared" si="27"/>
        <v>0.12239449426505898</v>
      </c>
      <c r="AL136" s="5">
        <f t="shared" si="28"/>
        <v>1.1402076809329471</v>
      </c>
      <c r="AM136" s="10">
        <f t="shared" si="29"/>
        <v>7.5183164292092606</v>
      </c>
    </row>
    <row r="137" spans="1:39" x14ac:dyDescent="0.3">
      <c r="A137">
        <v>6259</v>
      </c>
      <c r="B137" t="s">
        <v>779</v>
      </c>
      <c r="C137" t="s">
        <v>55</v>
      </c>
      <c r="D137" s="1">
        <v>42658</v>
      </c>
      <c r="E137">
        <v>8</v>
      </c>
      <c r="F137" t="s">
        <v>780</v>
      </c>
      <c r="G137" s="4">
        <v>29.779</v>
      </c>
      <c r="H137" s="4">
        <v>53.875999999999998</v>
      </c>
      <c r="I137" s="4">
        <v>2617.4</v>
      </c>
      <c r="J137" s="4">
        <v>217.19900000000001</v>
      </c>
      <c r="K137" s="4">
        <v>494.82400000000001</v>
      </c>
      <c r="L137" s="4">
        <v>0</v>
      </c>
      <c r="M137" s="4">
        <v>283.27199999999999</v>
      </c>
      <c r="N137" s="4">
        <v>211.55199999999999</v>
      </c>
      <c r="O137" s="4">
        <v>29.867000000000001</v>
      </c>
      <c r="P137" s="4">
        <v>0.621</v>
      </c>
      <c r="Q137" s="4">
        <v>0</v>
      </c>
      <c r="R137" s="4">
        <v>5.2999999999999999E-2</v>
      </c>
      <c r="S137" s="4">
        <v>23.311</v>
      </c>
      <c r="T137" s="4">
        <v>283.27199999999999</v>
      </c>
      <c r="U137" s="4">
        <v>512.18100000000004</v>
      </c>
      <c r="V137" s="4">
        <v>216.33199999999999</v>
      </c>
      <c r="W137" s="4">
        <v>250.05099999999999</v>
      </c>
      <c r="X137" s="4">
        <v>176.72</v>
      </c>
      <c r="Y137">
        <v>42.41</v>
      </c>
      <c r="Z137">
        <v>288.82100000000003</v>
      </c>
      <c r="AA137" t="s">
        <v>53</v>
      </c>
      <c r="AB137">
        <v>1</v>
      </c>
      <c r="AC137" t="s">
        <v>468</v>
      </c>
      <c r="AD137" s="5">
        <f t="shared" si="20"/>
        <v>8.1752830766232035E-2</v>
      </c>
      <c r="AE137" s="5">
        <f t="shared" si="21"/>
        <v>2.0583785435928783E-2</v>
      </c>
      <c r="AF137" s="5">
        <f t="shared" si="22"/>
        <v>3.4574650257842085E-4</v>
      </c>
      <c r="AG137" s="5">
        <f t="shared" si="23"/>
        <v>0.41304148338185132</v>
      </c>
      <c r="AH137" s="5">
        <f t="shared" si="24"/>
        <v>1.8080890451580109</v>
      </c>
      <c r="AI137" s="5">
        <f t="shared" si="25"/>
        <v>349.75684380032209</v>
      </c>
      <c r="AJ137" s="5">
        <f t="shared" si="26"/>
        <v>1.7468157812985401</v>
      </c>
      <c r="AK137" s="5">
        <f t="shared" si="27"/>
        <v>0.42406688260595377</v>
      </c>
      <c r="AL137" s="5">
        <f t="shared" si="28"/>
        <v>1.7468157812985401</v>
      </c>
      <c r="AM137" s="10">
        <f t="shared" si="29"/>
        <v>12.372371804568145</v>
      </c>
    </row>
    <row r="138" spans="1:39" x14ac:dyDescent="0.3">
      <c r="A138">
        <v>6723</v>
      </c>
      <c r="B138" t="s">
        <v>783</v>
      </c>
      <c r="C138" t="s">
        <v>55</v>
      </c>
      <c r="D138" s="1">
        <v>39839</v>
      </c>
      <c r="E138">
        <v>5</v>
      </c>
      <c r="F138" t="s">
        <v>784</v>
      </c>
      <c r="G138" s="4">
        <v>28.196000000000002</v>
      </c>
      <c r="H138" s="4">
        <v>44.843000000000004</v>
      </c>
      <c r="I138" s="4">
        <v>2434.6089999999999</v>
      </c>
      <c r="J138" s="4">
        <v>136.47499999999999</v>
      </c>
      <c r="K138" s="4">
        <v>429.59100000000001</v>
      </c>
      <c r="L138" s="4">
        <v>101.79900000000001</v>
      </c>
      <c r="M138" s="4">
        <v>198.649</v>
      </c>
      <c r="N138" s="4">
        <v>230.94200000000001</v>
      </c>
      <c r="O138" s="4">
        <v>29.51</v>
      </c>
      <c r="P138" s="4">
        <v>5.8019999999999996</v>
      </c>
      <c r="Q138" s="4">
        <v>101.14400000000001</v>
      </c>
      <c r="R138" s="4">
        <v>2.1120000000000001</v>
      </c>
      <c r="S138" s="4">
        <v>153.77199999999999</v>
      </c>
      <c r="T138" s="4">
        <v>299.79300000000001</v>
      </c>
      <c r="U138" s="4">
        <v>448.05200000000002</v>
      </c>
      <c r="V138" s="4">
        <v>268.86799999999999</v>
      </c>
      <c r="W138" s="4">
        <v>211.952</v>
      </c>
      <c r="X138" s="4">
        <v>136.184</v>
      </c>
      <c r="Y138">
        <v>30.46</v>
      </c>
      <c r="Z138">
        <v>266.26400000000001</v>
      </c>
      <c r="AA138" t="s">
        <v>53</v>
      </c>
      <c r="AB138">
        <v>1</v>
      </c>
      <c r="AC138" t="s">
        <v>468</v>
      </c>
      <c r="AD138" s="5">
        <f t="shared" si="20"/>
        <v>7.8658706689728283E-2</v>
      </c>
      <c r="AE138" s="5">
        <f t="shared" si="21"/>
        <v>1.8418974052917741E-2</v>
      </c>
      <c r="AF138" s="5">
        <f t="shared" si="22"/>
        <v>9.3128878991985721E-3</v>
      </c>
      <c r="AG138" s="5">
        <f t="shared" si="23"/>
        <v>0.51543570835528019</v>
      </c>
      <c r="AH138" s="5">
        <f t="shared" si="24"/>
        <v>1.4945378978161599</v>
      </c>
      <c r="AI138" s="5">
        <f t="shared" si="25"/>
        <v>23.522061358152364</v>
      </c>
      <c r="AJ138" s="5">
        <f t="shared" si="26"/>
        <v>2.1625631138339485</v>
      </c>
      <c r="AK138" s="5">
        <f t="shared" si="27"/>
        <v>0.30459634149607634</v>
      </c>
      <c r="AL138" s="5">
        <f t="shared" si="28"/>
        <v>1.4329587415316569</v>
      </c>
      <c r="AM138" s="10">
        <f t="shared" si="29"/>
        <v>10.542079829567596</v>
      </c>
    </row>
    <row r="139" spans="1:39" x14ac:dyDescent="0.3">
      <c r="A139">
        <v>6951</v>
      </c>
      <c r="B139" t="s">
        <v>787</v>
      </c>
      <c r="C139" t="s">
        <v>96</v>
      </c>
      <c r="D139" s="1">
        <v>40161</v>
      </c>
      <c r="E139">
        <v>5</v>
      </c>
      <c r="F139" t="s">
        <v>788</v>
      </c>
      <c r="G139" s="4">
        <v>13.436999999999999</v>
      </c>
      <c r="H139" s="4">
        <v>34.74</v>
      </c>
      <c r="I139" s="4">
        <v>2349.91</v>
      </c>
      <c r="J139" s="4">
        <v>65.762</v>
      </c>
      <c r="K139" s="4">
        <v>794.49900000000002</v>
      </c>
      <c r="L139" s="4">
        <v>2.0680000000000001</v>
      </c>
      <c r="M139" s="4">
        <v>680.88</v>
      </c>
      <c r="N139" s="4">
        <v>113.619</v>
      </c>
      <c r="O139" s="4">
        <v>18.177</v>
      </c>
      <c r="P139" s="4">
        <v>39.04</v>
      </c>
      <c r="Q139" s="4">
        <v>43.488</v>
      </c>
      <c r="R139" s="4">
        <v>3.82</v>
      </c>
      <c r="S139" s="4">
        <v>473.47800000000001</v>
      </c>
      <c r="T139" s="4">
        <v>724.36800000000005</v>
      </c>
      <c r="U139" s="4">
        <v>837.00800000000004</v>
      </c>
      <c r="V139" s="4">
        <v>568.76199999999994</v>
      </c>
      <c r="W139" s="4">
        <v>381.14100000000002</v>
      </c>
      <c r="X139" s="4">
        <v>404.89699999999999</v>
      </c>
      <c r="Y139">
        <v>7.86</v>
      </c>
      <c r="Z139">
        <v>547.952</v>
      </c>
      <c r="AA139" t="s">
        <v>53</v>
      </c>
      <c r="AB139">
        <v>1</v>
      </c>
      <c r="AC139" t="s">
        <v>468</v>
      </c>
      <c r="AD139" s="5">
        <f t="shared" si="20"/>
        <v>1.9116925243816557E-2</v>
      </c>
      <c r="AE139" s="5">
        <f t="shared" si="21"/>
        <v>1.4783544901719643E-2</v>
      </c>
      <c r="AF139" s="5">
        <f t="shared" si="22"/>
        <v>6.3781153837805526E-3</v>
      </c>
      <c r="AG139" s="5">
        <f t="shared" si="23"/>
        <v>0.13574422227744537</v>
      </c>
      <c r="AH139" s="5">
        <f t="shared" si="24"/>
        <v>1.1555010712786871</v>
      </c>
      <c r="AI139" s="5">
        <f t="shared" si="25"/>
        <v>1.6844774590163936</v>
      </c>
      <c r="AJ139" s="5">
        <f t="shared" si="26"/>
        <v>1.1668708142403947</v>
      </c>
      <c r="AK139" s="5">
        <f t="shared" si="27"/>
        <v>7.8567946781870665E-2</v>
      </c>
      <c r="AL139" s="5">
        <f t="shared" si="28"/>
        <v>1.09681681134451</v>
      </c>
      <c r="AM139" s="10">
        <f t="shared" si="29"/>
        <v>20.682368265871023</v>
      </c>
    </row>
    <row r="140" spans="1:39" x14ac:dyDescent="0.3">
      <c r="A140">
        <v>7224</v>
      </c>
      <c r="B140" t="s">
        <v>791</v>
      </c>
      <c r="C140" t="s">
        <v>55</v>
      </c>
      <c r="D140" s="1">
        <v>43720</v>
      </c>
      <c r="E140">
        <v>13</v>
      </c>
      <c r="F140" t="s">
        <v>792</v>
      </c>
      <c r="G140" s="4">
        <v>30.562000000000001</v>
      </c>
      <c r="H140" s="4">
        <v>72.507000000000005</v>
      </c>
      <c r="I140" s="4">
        <v>2257.252</v>
      </c>
      <c r="J140" s="4">
        <v>90.76</v>
      </c>
      <c r="K140" s="4">
        <v>719.60799999999995</v>
      </c>
      <c r="L140" s="4">
        <v>0</v>
      </c>
      <c r="M140" s="4">
        <v>420.34199999999998</v>
      </c>
      <c r="N140" s="4">
        <v>299.26600000000002</v>
      </c>
      <c r="O140" s="4">
        <v>52.03</v>
      </c>
      <c r="P140" s="4">
        <v>131.31700000000001</v>
      </c>
      <c r="Q140" s="4">
        <v>496.71899999999999</v>
      </c>
      <c r="R140" s="4">
        <v>7.6050000000000004</v>
      </c>
      <c r="S140" s="4">
        <v>343.29700000000003</v>
      </c>
      <c r="T140" s="4">
        <v>917.06100000000004</v>
      </c>
      <c r="U140" s="4">
        <v>1029.9849999999999</v>
      </c>
      <c r="V140" s="4">
        <v>416.15300000000002</v>
      </c>
      <c r="W140" s="4">
        <v>191.71</v>
      </c>
      <c r="X140" s="4">
        <v>119.11</v>
      </c>
      <c r="Y140">
        <v>8.81</v>
      </c>
      <c r="Z140">
        <v>439.23950000000002</v>
      </c>
      <c r="AA140" t="s">
        <v>53</v>
      </c>
      <c r="AB140">
        <v>1</v>
      </c>
      <c r="AC140" t="s">
        <v>468</v>
      </c>
      <c r="AD140" s="5">
        <f t="shared" si="20"/>
        <v>4.2267058883730328E-2</v>
      </c>
      <c r="AE140" s="5">
        <f t="shared" si="21"/>
        <v>3.2121801198980005E-2</v>
      </c>
      <c r="AF140" s="5">
        <f t="shared" si="22"/>
        <v>1.2067999727061676E-2</v>
      </c>
      <c r="AG140" s="5">
        <f t="shared" si="23"/>
        <v>0.29055374592833882</v>
      </c>
      <c r="AH140" s="5">
        <f t="shared" si="24"/>
        <v>1.1231368469491123</v>
      </c>
      <c r="AI140" s="5">
        <f t="shared" si="25"/>
        <v>0.69115194529268864</v>
      </c>
      <c r="AJ140" s="5">
        <f t="shared" si="26"/>
        <v>1.7119583577182389</v>
      </c>
      <c r="AK140" s="5">
        <f t="shared" si="27"/>
        <v>8.8117788123128024E-2</v>
      </c>
      <c r="AL140" s="5">
        <f t="shared" si="28"/>
        <v>0.78468934999961826</v>
      </c>
      <c r="AM140" s="10">
        <f t="shared" si="29"/>
        <v>7.5426276289321201</v>
      </c>
    </row>
    <row r="141" spans="1:39" x14ac:dyDescent="0.3">
      <c r="A141">
        <v>7235</v>
      </c>
      <c r="B141" t="s">
        <v>793</v>
      </c>
      <c r="C141" t="s">
        <v>51</v>
      </c>
      <c r="D141" s="1">
        <v>42877</v>
      </c>
      <c r="E141">
        <v>8</v>
      </c>
      <c r="F141" t="s">
        <v>794</v>
      </c>
      <c r="G141" s="4">
        <v>140.851</v>
      </c>
      <c r="H141" s="4">
        <v>232.148</v>
      </c>
      <c r="I141" s="4">
        <v>2254.0630000000001</v>
      </c>
      <c r="J141" s="4">
        <v>856.74599999999998</v>
      </c>
      <c r="K141" s="4">
        <v>1821.873</v>
      </c>
      <c r="L141" s="4">
        <v>32</v>
      </c>
      <c r="M141" s="4">
        <v>795.15200000000004</v>
      </c>
      <c r="N141" s="4">
        <v>1026.721</v>
      </c>
      <c r="O141" s="4">
        <v>156.46100000000001</v>
      </c>
      <c r="P141" s="4">
        <v>85.983999999999995</v>
      </c>
      <c r="Q141" s="4">
        <v>0</v>
      </c>
      <c r="R141" s="4">
        <v>10.798999999999999</v>
      </c>
      <c r="S141" s="4">
        <v>11.125</v>
      </c>
      <c r="T141" s="4">
        <v>795.15200000000004</v>
      </c>
      <c r="U141" s="4">
        <v>1914.0909999999999</v>
      </c>
      <c r="V141" s="4">
        <v>65.497</v>
      </c>
      <c r="W141" s="4">
        <v>62.872999999999998</v>
      </c>
      <c r="X141" s="4">
        <v>79.143000000000001</v>
      </c>
      <c r="Y141">
        <v>44.76</v>
      </c>
      <c r="Z141">
        <v>530.40099999999995</v>
      </c>
      <c r="AA141" t="s">
        <v>53</v>
      </c>
      <c r="AB141">
        <v>1</v>
      </c>
      <c r="AC141" t="s">
        <v>468</v>
      </c>
      <c r="AD141" s="5">
        <f t="shared" si="20"/>
        <v>0.14230334796937544</v>
      </c>
      <c r="AE141" s="5">
        <f t="shared" si="21"/>
        <v>0.10299091019195115</v>
      </c>
      <c r="AF141" s="5">
        <f t="shared" si="22"/>
        <v>2.6787319990524347E-2</v>
      </c>
      <c r="AG141" s="5">
        <f t="shared" si="23"/>
        <v>0.53640135186885052</v>
      </c>
      <c r="AH141" s="5">
        <f t="shared" si="24"/>
        <v>2.407201390425981</v>
      </c>
      <c r="AI141" s="5">
        <f t="shared" si="25"/>
        <v>9.9640165612206921</v>
      </c>
      <c r="AJ141" s="5">
        <f t="shared" si="26"/>
        <v>2.2912260800450732</v>
      </c>
      <c r="AK141" s="5">
        <f t="shared" si="27"/>
        <v>0.44759940880553745</v>
      </c>
      <c r="AL141" s="5">
        <f t="shared" si="28"/>
        <v>2.2912260800450732</v>
      </c>
      <c r="AM141" s="10">
        <f t="shared" si="29"/>
        <v>2.1953997239756466</v>
      </c>
    </row>
    <row r="142" spans="1:39" x14ac:dyDescent="0.3">
      <c r="A142">
        <v>8597</v>
      </c>
      <c r="B142" t="s">
        <v>813</v>
      </c>
      <c r="C142" t="s">
        <v>96</v>
      </c>
      <c r="D142" s="1">
        <v>40192</v>
      </c>
      <c r="E142">
        <v>14</v>
      </c>
      <c r="F142" t="s">
        <v>814</v>
      </c>
      <c r="G142" s="4">
        <v>18.550999999999998</v>
      </c>
      <c r="H142" s="4">
        <v>96.480999999999995</v>
      </c>
      <c r="I142" s="4">
        <v>1879.65</v>
      </c>
      <c r="J142" s="4">
        <v>147.452</v>
      </c>
      <c r="K142" s="4">
        <v>515.48</v>
      </c>
      <c r="L142" s="4">
        <v>9.9420000000000002</v>
      </c>
      <c r="M142" s="4">
        <v>345.15800000000002</v>
      </c>
      <c r="N142" s="4">
        <v>170.322</v>
      </c>
      <c r="O142" s="4">
        <v>67.796000000000006</v>
      </c>
      <c r="P142" s="4">
        <v>89.16</v>
      </c>
      <c r="Q142" s="4">
        <v>64.034999999999997</v>
      </c>
      <c r="R142" s="4">
        <v>10.821</v>
      </c>
      <c r="S142" s="4">
        <v>427.94</v>
      </c>
      <c r="T142" s="4">
        <v>409.19299999999998</v>
      </c>
      <c r="U142" s="4">
        <v>618.78499999999997</v>
      </c>
      <c r="V142" s="4">
        <v>587.50199999999995</v>
      </c>
      <c r="W142" s="4">
        <v>406.59100000000001</v>
      </c>
      <c r="X142" s="4">
        <v>369.09699999999998</v>
      </c>
      <c r="Y142">
        <v>23.83</v>
      </c>
      <c r="Z142">
        <v>495.49374999999998</v>
      </c>
      <c r="AA142" t="s">
        <v>53</v>
      </c>
      <c r="AB142">
        <v>1</v>
      </c>
      <c r="AC142" t="s">
        <v>468</v>
      </c>
      <c r="AD142" s="5">
        <f t="shared" si="20"/>
        <v>3.0757191282008347E-2</v>
      </c>
      <c r="AE142" s="5">
        <f t="shared" si="21"/>
        <v>5.1329236826004834E-2</v>
      </c>
      <c r="AF142" s="5">
        <f t="shared" si="22"/>
        <v>2.585252283687299E-2</v>
      </c>
      <c r="AG142" s="5">
        <f t="shared" si="23"/>
        <v>0.27525230896030123</v>
      </c>
      <c r="AH142" s="5">
        <f t="shared" si="24"/>
        <v>1.512208175604177</v>
      </c>
      <c r="AI142" s="5">
        <f t="shared" si="25"/>
        <v>1.6537909376401974</v>
      </c>
      <c r="AJ142" s="5">
        <f t="shared" si="26"/>
        <v>1.4934609657026636</v>
      </c>
      <c r="AK142" s="5">
        <f t="shared" si="27"/>
        <v>0.23829278343851257</v>
      </c>
      <c r="AL142" s="5">
        <f t="shared" si="28"/>
        <v>1.2597478451488662</v>
      </c>
      <c r="AM142" s="10">
        <f t="shared" si="29"/>
        <v>11.035861485891429</v>
      </c>
    </row>
    <row r="143" spans="1:39" x14ac:dyDescent="0.3">
      <c r="A143">
        <v>8633</v>
      </c>
      <c r="B143" t="s">
        <v>815</v>
      </c>
      <c r="C143" t="s">
        <v>55</v>
      </c>
      <c r="D143" s="1">
        <v>39840</v>
      </c>
      <c r="E143">
        <v>4</v>
      </c>
      <c r="F143" t="s">
        <v>816</v>
      </c>
      <c r="G143" s="4">
        <v>4.766</v>
      </c>
      <c r="H143" s="4">
        <v>27.122</v>
      </c>
      <c r="I143" s="4">
        <v>1870.7080000000001</v>
      </c>
      <c r="J143" s="4">
        <v>169.90199999999999</v>
      </c>
      <c r="K143" s="4">
        <v>471.697</v>
      </c>
      <c r="L143" s="4">
        <v>0</v>
      </c>
      <c r="M143" s="4">
        <v>197.149</v>
      </c>
      <c r="N143" s="4">
        <v>274.548</v>
      </c>
      <c r="O143" s="4">
        <v>10.231</v>
      </c>
      <c r="P143" s="4">
        <v>7.9180000000000001</v>
      </c>
      <c r="Q143" s="4">
        <v>84.486000000000004</v>
      </c>
      <c r="R143" s="4">
        <v>2.2890000000000001</v>
      </c>
      <c r="S143" s="4">
        <v>324.34199999999998</v>
      </c>
      <c r="T143" s="4">
        <v>281.63499999999999</v>
      </c>
      <c r="U143" s="4">
        <v>483.49900000000002</v>
      </c>
      <c r="V143" s="4">
        <v>513.16600000000005</v>
      </c>
      <c r="W143" s="4">
        <v>393.05599999999998</v>
      </c>
      <c r="X143" s="4">
        <v>378.63200000000001</v>
      </c>
      <c r="Y143">
        <v>35.14</v>
      </c>
      <c r="Z143">
        <v>442.08825000000002</v>
      </c>
      <c r="AA143" t="s">
        <v>53</v>
      </c>
      <c r="AB143">
        <v>1</v>
      </c>
      <c r="AC143" t="s">
        <v>468</v>
      </c>
      <c r="AD143" s="5">
        <f t="shared" si="20"/>
        <v>9.5638955917986476E-3</v>
      </c>
      <c r="AE143" s="5">
        <f t="shared" si="21"/>
        <v>1.449825413693639E-2</v>
      </c>
      <c r="AF143" s="5">
        <f t="shared" si="22"/>
        <v>7.5547421766832745E-3</v>
      </c>
      <c r="AG143" s="5">
        <f t="shared" si="23"/>
        <v>0.56783571424139445</v>
      </c>
      <c r="AH143" s="5">
        <f t="shared" si="24"/>
        <v>1.716757505281659</v>
      </c>
      <c r="AI143" s="5">
        <f t="shared" si="25"/>
        <v>21.457691336196007</v>
      </c>
      <c r="AJ143" s="5">
        <f t="shared" si="26"/>
        <v>2.3925913902682741</v>
      </c>
      <c r="AK143" s="5">
        <f t="shared" si="27"/>
        <v>0.3514009336110312</v>
      </c>
      <c r="AL143" s="5">
        <f t="shared" si="28"/>
        <v>1.6748522023186039</v>
      </c>
      <c r="AM143" s="10">
        <f t="shared" si="29"/>
        <v>6.813773912029955</v>
      </c>
    </row>
    <row r="144" spans="1:39" x14ac:dyDescent="0.3">
      <c r="A144">
        <v>9857</v>
      </c>
      <c r="B144" t="s">
        <v>841</v>
      </c>
      <c r="C144" t="s">
        <v>55</v>
      </c>
      <c r="D144" s="1">
        <v>43312</v>
      </c>
      <c r="E144">
        <v>25</v>
      </c>
      <c r="F144" t="s">
        <v>842</v>
      </c>
      <c r="G144" s="4">
        <v>6.351</v>
      </c>
      <c r="H144" s="4">
        <v>64.58</v>
      </c>
      <c r="I144" s="4">
        <v>1611.8589999999999</v>
      </c>
      <c r="J144" s="4">
        <v>60.353999999999999</v>
      </c>
      <c r="K144" s="4">
        <v>546.99199999999996</v>
      </c>
      <c r="L144" s="4">
        <v>0</v>
      </c>
      <c r="M144" s="4">
        <v>464.47399999999999</v>
      </c>
      <c r="N144" s="4">
        <v>82.518000000000001</v>
      </c>
      <c r="O144" s="4">
        <v>39.500999999999998</v>
      </c>
      <c r="P144" s="4">
        <v>61.723999999999997</v>
      </c>
      <c r="Q144" s="4">
        <v>82.888000000000005</v>
      </c>
      <c r="R144" s="4">
        <v>1.52</v>
      </c>
      <c r="S144" s="4">
        <v>369.66800000000001</v>
      </c>
      <c r="T144" s="4">
        <v>547.36199999999997</v>
      </c>
      <c r="U144" s="4">
        <v>610.34299999999996</v>
      </c>
      <c r="V144" s="4">
        <v>429.20499999999998</v>
      </c>
      <c r="W144" s="4">
        <v>269.916</v>
      </c>
      <c r="X144" s="4">
        <v>163.29</v>
      </c>
      <c r="Y144">
        <v>9.89</v>
      </c>
      <c r="Z144">
        <v>368.18849999999998</v>
      </c>
      <c r="AA144" t="s">
        <v>53</v>
      </c>
      <c r="AB144">
        <v>1</v>
      </c>
      <c r="AC144" t="s">
        <v>468</v>
      </c>
      <c r="AD144" s="5">
        <f t="shared" si="20"/>
        <v>1.2218772004755914E-2</v>
      </c>
      <c r="AE144" s="5">
        <f t="shared" si="21"/>
        <v>4.0065539231409202E-2</v>
      </c>
      <c r="AF144" s="5">
        <f t="shared" si="22"/>
        <v>3.3150496712212253E-3</v>
      </c>
      <c r="AG144" s="5">
        <f t="shared" si="23"/>
        <v>0.13519938788517277</v>
      </c>
      <c r="AH144" s="5">
        <f t="shared" si="24"/>
        <v>1.1150627920827534</v>
      </c>
      <c r="AI144" s="5">
        <f t="shared" si="25"/>
        <v>0.9778044196746809</v>
      </c>
      <c r="AJ144" s="5">
        <f t="shared" si="26"/>
        <v>1.1776590293536344</v>
      </c>
      <c r="AK144" s="5">
        <f t="shared" si="27"/>
        <v>9.8885380843230772E-2</v>
      </c>
      <c r="AL144" s="5">
        <f t="shared" si="28"/>
        <v>0.99932403053189667</v>
      </c>
      <c r="AM144" s="10">
        <f t="shared" si="29"/>
        <v>19.533423010737049</v>
      </c>
    </row>
    <row r="145" spans="1:39" x14ac:dyDescent="0.3">
      <c r="A145">
        <v>10257</v>
      </c>
      <c r="B145" t="s">
        <v>847</v>
      </c>
      <c r="C145" t="s">
        <v>55</v>
      </c>
      <c r="D145" s="1">
        <v>35417</v>
      </c>
      <c r="E145">
        <v>7</v>
      </c>
      <c r="F145" t="s">
        <v>848</v>
      </c>
      <c r="G145" s="4">
        <v>50.01</v>
      </c>
      <c r="H145" s="4">
        <v>97.79</v>
      </c>
      <c r="I145" s="4">
        <v>1539.1010000000001</v>
      </c>
      <c r="J145" s="4">
        <v>352.21499999999997</v>
      </c>
      <c r="K145" s="4">
        <v>696.78899999999999</v>
      </c>
      <c r="L145" s="4">
        <v>206.71700000000001</v>
      </c>
      <c r="M145" s="4">
        <v>360.601</v>
      </c>
      <c r="N145" s="4">
        <v>336.18799999999999</v>
      </c>
      <c r="O145" s="4">
        <v>56.295000000000002</v>
      </c>
      <c r="P145" s="4">
        <v>27.08</v>
      </c>
      <c r="Q145" s="4">
        <v>0</v>
      </c>
      <c r="R145" s="4">
        <v>1.296</v>
      </c>
      <c r="S145" s="4">
        <v>174.196</v>
      </c>
      <c r="T145" s="4">
        <v>360.601</v>
      </c>
      <c r="U145" s="4">
        <v>727.19500000000005</v>
      </c>
      <c r="V145" s="4">
        <v>487.48599999999999</v>
      </c>
      <c r="W145" s="4">
        <v>419.697</v>
      </c>
      <c r="X145" s="4">
        <v>278.61700000000002</v>
      </c>
      <c r="Y145">
        <v>48.43</v>
      </c>
      <c r="Z145">
        <v>478.24874999999997</v>
      </c>
      <c r="AA145" t="s">
        <v>53</v>
      </c>
      <c r="AB145">
        <v>1</v>
      </c>
      <c r="AC145" t="s">
        <v>468</v>
      </c>
      <c r="AD145" s="5">
        <f t="shared" si="20"/>
        <v>8.2342606824343176E-2</v>
      </c>
      <c r="AE145" s="5">
        <f t="shared" si="21"/>
        <v>6.3537090808205562E-2</v>
      </c>
      <c r="AF145" s="5">
        <f t="shared" si="22"/>
        <v>4.8466988408685909E-3</v>
      </c>
      <c r="AG145" s="5">
        <f t="shared" si="23"/>
        <v>0.46230790915779119</v>
      </c>
      <c r="AH145" s="5">
        <f t="shared" si="24"/>
        <v>2.0166194769287942</v>
      </c>
      <c r="AI145" s="5">
        <f t="shared" si="25"/>
        <v>13.006462333825702</v>
      </c>
      <c r="AJ145" s="5">
        <f t="shared" si="26"/>
        <v>1.9322991339458293</v>
      </c>
      <c r="AK145" s="5">
        <f t="shared" si="27"/>
        <v>0.48434738962726637</v>
      </c>
      <c r="AL145" s="5">
        <f t="shared" si="28"/>
        <v>1.9322991339458293</v>
      </c>
      <c r="AM145" s="10">
        <f t="shared" si="29"/>
        <v>4.5780961842778449</v>
      </c>
    </row>
    <row r="146" spans="1:39" x14ac:dyDescent="0.3">
      <c r="A146">
        <v>10891</v>
      </c>
      <c r="B146" t="s">
        <v>857</v>
      </c>
      <c r="C146" t="s">
        <v>162</v>
      </c>
      <c r="D146" s="1">
        <v>43391</v>
      </c>
      <c r="E146">
        <v>9</v>
      </c>
      <c r="F146" t="s">
        <v>858</v>
      </c>
      <c r="G146" s="4">
        <v>23.507000000000001</v>
      </c>
      <c r="H146" s="4">
        <v>82.486999999999995</v>
      </c>
      <c r="I146" s="4">
        <v>1435.845</v>
      </c>
      <c r="J146" s="4">
        <v>51.412999999999997</v>
      </c>
      <c r="K146" s="4">
        <v>822.08199999999999</v>
      </c>
      <c r="L146" s="4">
        <v>18.273</v>
      </c>
      <c r="M146" s="4">
        <v>856.29399999999998</v>
      </c>
      <c r="N146" s="4">
        <v>-34.212000000000003</v>
      </c>
      <c r="O146" s="4">
        <v>50.378</v>
      </c>
      <c r="P146" s="4">
        <v>153.22900000000001</v>
      </c>
      <c r="Q146" s="4">
        <v>35.246000000000002</v>
      </c>
      <c r="R146" s="4">
        <v>14.294</v>
      </c>
      <c r="S146" s="4">
        <v>402.98700000000002</v>
      </c>
      <c r="T146" s="4">
        <v>891.54</v>
      </c>
      <c r="U146" s="4">
        <v>979.30100000000004</v>
      </c>
      <c r="V146" s="4">
        <v>457.06900000000002</v>
      </c>
      <c r="W146" s="4">
        <v>314.35399999999998</v>
      </c>
      <c r="X146" s="4">
        <v>158.459</v>
      </c>
      <c r="Y146">
        <v>5.25</v>
      </c>
      <c r="Z146">
        <v>477.29575</v>
      </c>
      <c r="AA146" t="s">
        <v>53</v>
      </c>
      <c r="AB146">
        <v>1</v>
      </c>
      <c r="AC146" t="s">
        <v>468</v>
      </c>
      <c r="AD146" s="5">
        <f t="shared" si="20"/>
        <v>3.2731120811490072E-2</v>
      </c>
      <c r="AE146" s="5">
        <f t="shared" si="21"/>
        <v>5.7448401463946315E-2</v>
      </c>
      <c r="AF146" s="5">
        <f t="shared" si="22"/>
        <v>2.2083741783678518E-2</v>
      </c>
      <c r="AG146" s="5">
        <f t="shared" si="23"/>
        <v>-3.493512209218616E-2</v>
      </c>
      <c r="AH146" s="5">
        <f t="shared" si="24"/>
        <v>1.0984375350517084</v>
      </c>
      <c r="AI146" s="5">
        <f t="shared" si="25"/>
        <v>0.33553048052261641</v>
      </c>
      <c r="AJ146" s="5">
        <f t="shared" si="26"/>
        <v>0.96004643265046818</v>
      </c>
      <c r="AK146" s="5">
        <f t="shared" si="27"/>
        <v>5.2499691106207384E-2</v>
      </c>
      <c r="AL146" s="5">
        <f t="shared" si="28"/>
        <v>0.92209211028108673</v>
      </c>
      <c r="AM146" s="10">
        <f t="shared" si="29"/>
        <v>-41.969045948789898</v>
      </c>
    </row>
    <row r="147" spans="1:39" x14ac:dyDescent="0.3">
      <c r="A147">
        <v>10938</v>
      </c>
      <c r="B147" t="s">
        <v>859</v>
      </c>
      <c r="C147" t="s">
        <v>55</v>
      </c>
      <c r="D147" s="1">
        <v>42097</v>
      </c>
      <c r="E147">
        <v>16</v>
      </c>
      <c r="F147" t="s">
        <v>860</v>
      </c>
      <c r="G147" s="4">
        <v>0.48299999999999998</v>
      </c>
      <c r="H147" s="4">
        <v>26.074000000000002</v>
      </c>
      <c r="I147" s="4">
        <v>1429.8889999999999</v>
      </c>
      <c r="J147" s="4">
        <v>107.74299999999999</v>
      </c>
      <c r="K147" s="4">
        <v>493.89499999999998</v>
      </c>
      <c r="L147" s="4">
        <v>26.36</v>
      </c>
      <c r="M147" s="4">
        <v>246.393</v>
      </c>
      <c r="N147" s="4">
        <v>247.50200000000001</v>
      </c>
      <c r="O147" s="4">
        <v>8.9909999999999997</v>
      </c>
      <c r="P147" s="4">
        <v>164.35300000000001</v>
      </c>
      <c r="Q147" s="4">
        <v>302.56700000000001</v>
      </c>
      <c r="R147" s="4">
        <v>0.255</v>
      </c>
      <c r="S147" s="4">
        <v>438.12</v>
      </c>
      <c r="T147" s="4">
        <v>548.96</v>
      </c>
      <c r="U147" s="4">
        <v>673.53800000000001</v>
      </c>
      <c r="V147" s="4">
        <v>559.44500000000005</v>
      </c>
      <c r="W147" s="4">
        <v>371.71</v>
      </c>
      <c r="X147" s="4">
        <v>217.86799999999999</v>
      </c>
      <c r="Y147">
        <v>16</v>
      </c>
      <c r="Z147">
        <v>455.64024999999998</v>
      </c>
      <c r="AA147" t="s">
        <v>53</v>
      </c>
      <c r="AB147">
        <v>1</v>
      </c>
      <c r="AC147" t="s">
        <v>468</v>
      </c>
      <c r="AD147" s="5">
        <f t="shared" si="20"/>
        <v>7.8346578987707033E-4</v>
      </c>
      <c r="AE147" s="5">
        <f t="shared" si="21"/>
        <v>1.823498187621557E-2</v>
      </c>
      <c r="AF147" s="5">
        <f t="shared" si="22"/>
        <v>5.1667544677229805E-4</v>
      </c>
      <c r="AG147" s="5">
        <f t="shared" si="23"/>
        <v>0.36746553275390548</v>
      </c>
      <c r="AH147" s="5">
        <f t="shared" si="24"/>
        <v>1.2269345671815797</v>
      </c>
      <c r="AI147" s="5">
        <f t="shared" si="25"/>
        <v>0.65555846257750083</v>
      </c>
      <c r="AJ147" s="5">
        <f t="shared" si="26"/>
        <v>2.0045009395559128</v>
      </c>
      <c r="AK147" s="5">
        <f t="shared" si="27"/>
        <v>0.15996573318803095</v>
      </c>
      <c r="AL147" s="5">
        <f t="shared" si="28"/>
        <v>0.89969214514718732</v>
      </c>
      <c r="AM147" s="10">
        <f t="shared" si="29"/>
        <v>5.7772826078173098</v>
      </c>
    </row>
    <row r="148" spans="1:39" x14ac:dyDescent="0.3">
      <c r="A148">
        <v>10944</v>
      </c>
      <c r="B148" t="s">
        <v>861</v>
      </c>
      <c r="C148" t="s">
        <v>55</v>
      </c>
      <c r="D148" s="1">
        <v>42083</v>
      </c>
      <c r="E148">
        <v>10</v>
      </c>
      <c r="F148" t="s">
        <v>862</v>
      </c>
      <c r="G148" s="4">
        <v>17.186</v>
      </c>
      <c r="H148" s="4">
        <v>38.457999999999998</v>
      </c>
      <c r="I148" s="4">
        <v>1429.519</v>
      </c>
      <c r="J148" s="4">
        <v>45.441000000000003</v>
      </c>
      <c r="K148" s="4">
        <v>718.94200000000001</v>
      </c>
      <c r="L148" s="4">
        <v>29</v>
      </c>
      <c r="M148" s="4">
        <v>667.57799999999997</v>
      </c>
      <c r="N148" s="4">
        <v>51.363999999999997</v>
      </c>
      <c r="O148" s="4">
        <v>27.356999999999999</v>
      </c>
      <c r="P148" s="4">
        <v>83.894999999999996</v>
      </c>
      <c r="Q148" s="4">
        <v>72.856999999999999</v>
      </c>
      <c r="R148" s="4">
        <v>4.7869999999999999</v>
      </c>
      <c r="S148" s="4">
        <v>564.31799999999998</v>
      </c>
      <c r="T148" s="4">
        <v>740.43499999999995</v>
      </c>
      <c r="U148" s="4">
        <v>802.83699999999999</v>
      </c>
      <c r="V148" s="4">
        <v>601.06200000000001</v>
      </c>
      <c r="W148" s="4">
        <v>251.69800000000001</v>
      </c>
      <c r="X148" s="4">
        <v>268.38400000000001</v>
      </c>
      <c r="Y148">
        <v>5.66</v>
      </c>
      <c r="Z148">
        <v>480.99525</v>
      </c>
      <c r="AA148" t="s">
        <v>53</v>
      </c>
      <c r="AB148">
        <v>1</v>
      </c>
      <c r="AC148" t="s">
        <v>468</v>
      </c>
      <c r="AD148" s="5">
        <f t="shared" si="20"/>
        <v>2.4483242740396569E-2</v>
      </c>
      <c r="AE148" s="5">
        <f t="shared" si="21"/>
        <v>2.6902755402341626E-2</v>
      </c>
      <c r="AF148" s="5">
        <f t="shared" si="22"/>
        <v>7.3377873053367196E-3</v>
      </c>
      <c r="AG148" s="5">
        <f t="shared" si="23"/>
        <v>6.3978117600459364E-2</v>
      </c>
      <c r="AH148" s="5">
        <f t="shared" si="24"/>
        <v>1.0842774855321535</v>
      </c>
      <c r="AI148" s="5">
        <f t="shared" si="25"/>
        <v>0.54164133738601827</v>
      </c>
      <c r="AJ148" s="5">
        <f t="shared" si="26"/>
        <v>1.0769408218964676</v>
      </c>
      <c r="AK148" s="5">
        <f t="shared" si="27"/>
        <v>5.6600530369178302E-2</v>
      </c>
      <c r="AL148" s="5">
        <f t="shared" si="28"/>
        <v>0.97097246888653299</v>
      </c>
      <c r="AM148" s="10">
        <f t="shared" si="29"/>
        <v>27.831146328167591</v>
      </c>
    </row>
    <row r="149" spans="1:39" x14ac:dyDescent="0.3">
      <c r="A149">
        <v>10964</v>
      </c>
      <c r="B149" t="s">
        <v>863</v>
      </c>
      <c r="C149" t="s">
        <v>96</v>
      </c>
      <c r="D149" s="1">
        <v>44048</v>
      </c>
      <c r="E149">
        <v>5</v>
      </c>
      <c r="F149" t="s">
        <v>864</v>
      </c>
      <c r="G149" s="4">
        <v>3.52</v>
      </c>
      <c r="H149" s="4">
        <v>40.984999999999999</v>
      </c>
      <c r="I149" s="4">
        <v>1426.182</v>
      </c>
      <c r="J149" s="4">
        <v>26.84</v>
      </c>
      <c r="K149" s="4">
        <v>785.71100000000001</v>
      </c>
      <c r="L149" s="4">
        <v>365</v>
      </c>
      <c r="M149" s="4">
        <v>768.09400000000005</v>
      </c>
      <c r="N149" s="4">
        <v>17.617000000000001</v>
      </c>
      <c r="O149" s="4">
        <v>14.686</v>
      </c>
      <c r="P149" s="4">
        <v>29.219000000000001</v>
      </c>
      <c r="Q149" s="4">
        <v>12.398</v>
      </c>
      <c r="R149" s="4">
        <v>8.3729999999999993</v>
      </c>
      <c r="S149" s="4">
        <v>610.173</v>
      </c>
      <c r="T149" s="4">
        <v>780.49199999999996</v>
      </c>
      <c r="U149" s="4">
        <v>823.89800000000002</v>
      </c>
      <c r="V149" s="4">
        <v>643.93499999999995</v>
      </c>
      <c r="W149" s="4">
        <v>393.45800000000003</v>
      </c>
      <c r="X149" s="4">
        <v>145.05799999999999</v>
      </c>
      <c r="Y149">
        <v>3.26</v>
      </c>
      <c r="Z149">
        <v>501.58724999999998</v>
      </c>
      <c r="AA149" t="s">
        <v>53</v>
      </c>
      <c r="AB149">
        <v>1</v>
      </c>
      <c r="AC149" t="s">
        <v>468</v>
      </c>
      <c r="AD149" s="5">
        <f t="shared" si="20"/>
        <v>4.796185942133744E-3</v>
      </c>
      <c r="AE149" s="5">
        <f t="shared" si="21"/>
        <v>2.8737566453650373E-2</v>
      </c>
      <c r="AF149" s="5">
        <f t="shared" si="22"/>
        <v>1.2041721047124936E-2</v>
      </c>
      <c r="AG149" s="5">
        <f t="shared" si="23"/>
        <v>2.1382501231948615E-2</v>
      </c>
      <c r="AH149" s="5">
        <f t="shared" si="24"/>
        <v>1.0556136385766928</v>
      </c>
      <c r="AI149" s="5">
        <f t="shared" si="25"/>
        <v>0.91858037578288099</v>
      </c>
      <c r="AJ149" s="5">
        <f t="shared" si="26"/>
        <v>1.0229359948131349</v>
      </c>
      <c r="AK149" s="5">
        <f t="shared" si="27"/>
        <v>3.2576848104983867E-2</v>
      </c>
      <c r="AL149" s="5">
        <f t="shared" si="28"/>
        <v>1.0066868078084081</v>
      </c>
      <c r="AM149" s="10">
        <f t="shared" si="29"/>
        <v>80.954873133904755</v>
      </c>
    </row>
    <row r="150" spans="1:39" x14ac:dyDescent="0.3">
      <c r="A150">
        <v>11063</v>
      </c>
      <c r="B150" t="s">
        <v>869</v>
      </c>
      <c r="C150" t="s">
        <v>96</v>
      </c>
      <c r="D150" s="1">
        <v>43426</v>
      </c>
      <c r="E150">
        <v>13</v>
      </c>
      <c r="F150" t="s">
        <v>870</v>
      </c>
      <c r="G150" s="4">
        <v>0.191</v>
      </c>
      <c r="H150" s="4">
        <v>36.420999999999999</v>
      </c>
      <c r="I150" s="4">
        <v>1413.7950000000001</v>
      </c>
      <c r="J150" s="4">
        <v>92.757000000000005</v>
      </c>
      <c r="K150" s="4">
        <v>199.14599999999999</v>
      </c>
      <c r="L150" s="4">
        <v>0</v>
      </c>
      <c r="M150" s="4">
        <v>182.04499999999999</v>
      </c>
      <c r="N150" s="4">
        <v>17.100999999999999</v>
      </c>
      <c r="O150" s="4">
        <v>13.366</v>
      </c>
      <c r="P150" s="4">
        <v>103.172</v>
      </c>
      <c r="Q150" s="4">
        <v>0</v>
      </c>
      <c r="R150" s="4">
        <v>7.6539999999999999</v>
      </c>
      <c r="S150" s="4">
        <v>258.98500000000001</v>
      </c>
      <c r="T150" s="4">
        <v>182.04499999999999</v>
      </c>
      <c r="U150" s="4">
        <v>302.31799999999998</v>
      </c>
      <c r="V150" s="4">
        <v>364.00200000000001</v>
      </c>
      <c r="W150" s="4">
        <v>103.50700000000001</v>
      </c>
      <c r="X150" s="4">
        <v>59.631</v>
      </c>
      <c r="Y150">
        <v>30.68</v>
      </c>
      <c r="Z150">
        <v>207.36449999999999</v>
      </c>
      <c r="AA150" t="s">
        <v>53</v>
      </c>
      <c r="AB150">
        <v>1</v>
      </c>
      <c r="AC150" t="s">
        <v>468</v>
      </c>
      <c r="AD150" s="5">
        <f t="shared" si="20"/>
        <v>5.7329811501981038E-4</v>
      </c>
      <c r="AE150" s="5">
        <f t="shared" si="21"/>
        <v>2.5761160564296802E-2</v>
      </c>
      <c r="AF150" s="5">
        <f t="shared" si="22"/>
        <v>3.4709656939437228E-2</v>
      </c>
      <c r="AG150" s="5">
        <f t="shared" si="23"/>
        <v>5.6566264661713828E-2</v>
      </c>
      <c r="AH150" s="5">
        <f t="shared" si="24"/>
        <v>1.6606773050619352</v>
      </c>
      <c r="AI150" s="5">
        <f t="shared" si="25"/>
        <v>0.89905206839064866</v>
      </c>
      <c r="AJ150" s="5">
        <f t="shared" si="26"/>
        <v>1.093938311955835</v>
      </c>
      <c r="AK150" s="5">
        <f t="shared" si="27"/>
        <v>0.30681930946883751</v>
      </c>
      <c r="AL150" s="5">
        <f t="shared" si="28"/>
        <v>1.093938311955835</v>
      </c>
      <c r="AM150" s="10">
        <f t="shared" si="29"/>
        <v>82.673235483305078</v>
      </c>
    </row>
    <row r="151" spans="1:39" x14ac:dyDescent="0.3">
      <c r="A151">
        <v>11137</v>
      </c>
      <c r="B151" t="s">
        <v>873</v>
      </c>
      <c r="C151" t="s">
        <v>55</v>
      </c>
      <c r="D151" s="1">
        <v>42893</v>
      </c>
      <c r="E151">
        <v>3</v>
      </c>
      <c r="F151" t="s">
        <v>874</v>
      </c>
      <c r="G151" s="4">
        <v>384.91199999999998</v>
      </c>
      <c r="H151" s="4">
        <v>70.924999999999997</v>
      </c>
      <c r="I151" s="4">
        <v>1401.672</v>
      </c>
      <c r="J151" s="4">
        <v>485.41199999999998</v>
      </c>
      <c r="K151" s="4">
        <v>1311.759</v>
      </c>
      <c r="L151" s="4">
        <v>2.4580000000000002</v>
      </c>
      <c r="M151" s="4">
        <v>807.83100000000002</v>
      </c>
      <c r="N151" s="4">
        <v>503.928</v>
      </c>
      <c r="O151" s="4">
        <v>409.66899999999998</v>
      </c>
      <c r="P151" s="4">
        <v>119.562</v>
      </c>
      <c r="Q151" s="4">
        <v>112.563</v>
      </c>
      <c r="R151" s="4">
        <v>38.869999999999997</v>
      </c>
      <c r="S151" s="4">
        <v>149.042</v>
      </c>
      <c r="T151" s="4">
        <v>920.39400000000001</v>
      </c>
      <c r="U151" s="4">
        <v>1431.703</v>
      </c>
      <c r="V151" s="4">
        <v>218.13300000000001</v>
      </c>
      <c r="W151" s="4">
        <v>137.02600000000001</v>
      </c>
      <c r="X151" s="4">
        <v>123.004</v>
      </c>
      <c r="Y151">
        <v>33.9</v>
      </c>
      <c r="Z151">
        <v>477.4665</v>
      </c>
      <c r="AA151" t="s">
        <v>53</v>
      </c>
      <c r="AB151">
        <v>1</v>
      </c>
      <c r="AC151" t="s">
        <v>468</v>
      </c>
      <c r="AD151" s="5">
        <f t="shared" si="20"/>
        <v>0.46660637784604042</v>
      </c>
      <c r="AE151" s="5">
        <f t="shared" si="21"/>
        <v>5.0600283090480508E-2</v>
      </c>
      <c r="AF151" s="5">
        <f t="shared" si="22"/>
        <v>7.2692522039654553E-2</v>
      </c>
      <c r="AG151" s="5">
        <f t="shared" si="23"/>
        <v>0.35197802896271085</v>
      </c>
      <c r="AH151" s="5">
        <f t="shared" si="24"/>
        <v>1.5555327392399341</v>
      </c>
      <c r="AI151" s="5">
        <f t="shared" si="25"/>
        <v>4.0599187032669244</v>
      </c>
      <c r="AJ151" s="5">
        <f t="shared" si="26"/>
        <v>1.6238037411290231</v>
      </c>
      <c r="AK151" s="5">
        <f t="shared" si="27"/>
        <v>0.33904517906297604</v>
      </c>
      <c r="AL151" s="5">
        <f t="shared" si="28"/>
        <v>1.4252146363405238</v>
      </c>
      <c r="AM151" s="10">
        <f t="shared" si="29"/>
        <v>2.7814925941801212</v>
      </c>
    </row>
    <row r="152" spans="1:39" x14ac:dyDescent="0.3">
      <c r="A152">
        <v>11460</v>
      </c>
      <c r="B152" t="s">
        <v>879</v>
      </c>
      <c r="C152" t="s">
        <v>55</v>
      </c>
      <c r="D152" s="1">
        <v>42459</v>
      </c>
      <c r="E152">
        <v>5</v>
      </c>
      <c r="F152" t="s">
        <v>880</v>
      </c>
      <c r="G152" s="4">
        <v>11.249000000000001</v>
      </c>
      <c r="H152" s="4">
        <v>46.664000000000001</v>
      </c>
      <c r="I152" s="4">
        <v>1352.5609999999999</v>
      </c>
      <c r="J152" s="4">
        <v>78.147000000000006</v>
      </c>
      <c r="K152" s="4">
        <v>414.08</v>
      </c>
      <c r="L152" s="4">
        <v>0</v>
      </c>
      <c r="M152" s="4">
        <v>358.85</v>
      </c>
      <c r="N152" s="4">
        <v>55.23</v>
      </c>
      <c r="O152" s="4">
        <v>25.506</v>
      </c>
      <c r="P152" s="4">
        <v>30.187999999999999</v>
      </c>
      <c r="Q152" s="4">
        <v>0</v>
      </c>
      <c r="R152" s="4">
        <v>4.26</v>
      </c>
      <c r="S152" s="4">
        <v>391.14600000000002</v>
      </c>
      <c r="T152" s="4">
        <v>358.85</v>
      </c>
      <c r="U152" s="4">
        <v>444.26799999999997</v>
      </c>
      <c r="V152" s="4">
        <v>601.21</v>
      </c>
      <c r="W152" s="4">
        <v>839.81700000000001</v>
      </c>
      <c r="X152" s="4">
        <v>313.52999999999997</v>
      </c>
      <c r="Y152">
        <v>17.59</v>
      </c>
      <c r="Z152">
        <v>549.70624999999995</v>
      </c>
      <c r="AA152" t="s">
        <v>53</v>
      </c>
      <c r="AB152">
        <v>1</v>
      </c>
      <c r="AC152" t="s">
        <v>468</v>
      </c>
      <c r="AD152" s="5">
        <f t="shared" si="20"/>
        <v>2.1519343305167589E-2</v>
      </c>
      <c r="AE152" s="5">
        <f t="shared" si="21"/>
        <v>3.4500477242800885E-2</v>
      </c>
      <c r="AF152" s="5">
        <f t="shared" si="22"/>
        <v>1.1360060586989795E-2</v>
      </c>
      <c r="AG152" s="5">
        <f t="shared" si="23"/>
        <v>0.12431685379095501</v>
      </c>
      <c r="AH152" s="5">
        <f t="shared" si="24"/>
        <v>1.2380326041521525</v>
      </c>
      <c r="AI152" s="5">
        <f t="shared" si="25"/>
        <v>2.5886776202464556</v>
      </c>
      <c r="AJ152" s="5">
        <f t="shared" si="26"/>
        <v>1.1539083182388183</v>
      </c>
      <c r="AK152" s="5">
        <f t="shared" si="27"/>
        <v>0.17590058253126495</v>
      </c>
      <c r="AL152" s="5">
        <f t="shared" si="28"/>
        <v>1.1539083182388183</v>
      </c>
      <c r="AM152" s="10">
        <f t="shared" si="29"/>
        <v>24.48960709759189</v>
      </c>
    </row>
    <row r="153" spans="1:39" x14ac:dyDescent="0.3">
      <c r="A153">
        <v>11</v>
      </c>
      <c r="B153" t="s">
        <v>485</v>
      </c>
      <c r="C153" t="s">
        <v>354</v>
      </c>
      <c r="D153" s="1">
        <v>32472</v>
      </c>
      <c r="E153">
        <v>1319</v>
      </c>
      <c r="F153" t="s">
        <v>486</v>
      </c>
      <c r="G153" s="4">
        <v>36651</v>
      </c>
      <c r="H153" s="4">
        <v>63267</v>
      </c>
      <c r="I153" s="4">
        <v>497382</v>
      </c>
      <c r="J153" s="4">
        <v>128012</v>
      </c>
      <c r="K153" s="4">
        <v>364563</v>
      </c>
      <c r="L153" s="4">
        <v>187650</v>
      </c>
      <c r="M153" s="4">
        <v>231839</v>
      </c>
      <c r="N153" s="4">
        <v>132724</v>
      </c>
      <c r="O153" s="4">
        <v>42921</v>
      </c>
      <c r="P153" s="4">
        <v>45046</v>
      </c>
      <c r="Q153" s="4">
        <v>39432</v>
      </c>
      <c r="R153" s="4">
        <v>4558</v>
      </c>
      <c r="S153" s="4">
        <v>149841</v>
      </c>
      <c r="T153" s="4">
        <v>271271</v>
      </c>
      <c r="U153" s="4">
        <v>412529</v>
      </c>
      <c r="V153" s="4">
        <v>265789</v>
      </c>
      <c r="W153" s="4">
        <v>230486.09899999999</v>
      </c>
      <c r="X153" s="4">
        <v>232790.97700000001</v>
      </c>
      <c r="Y153">
        <v>31.03</v>
      </c>
      <c r="Z153">
        <v>285398.76899999997</v>
      </c>
      <c r="AA153" t="s">
        <v>40</v>
      </c>
      <c r="AB153">
        <v>4</v>
      </c>
      <c r="AC153" t="s">
        <v>468</v>
      </c>
      <c r="AD153" s="5">
        <f t="shared" si="20"/>
        <v>0.10806435919436017</v>
      </c>
      <c r="AE153" s="5">
        <f t="shared" si="21"/>
        <v>0.12720001930106034</v>
      </c>
      <c r="AF153" s="5">
        <f t="shared" si="22"/>
        <v>2.1647447709872907E-2</v>
      </c>
      <c r="AG153" s="5">
        <f t="shared" si="23"/>
        <v>0.32173253274315261</v>
      </c>
      <c r="AH153" s="5">
        <f t="shared" si="24"/>
        <v>1.5207265059663584</v>
      </c>
      <c r="AI153" s="5">
        <f t="shared" si="25"/>
        <v>2.8418061537095411</v>
      </c>
      <c r="AJ153" s="5">
        <f t="shared" si="26"/>
        <v>1.5724834906982863</v>
      </c>
      <c r="AK153" s="5">
        <f t="shared" si="27"/>
        <v>0.31031030545731331</v>
      </c>
      <c r="AL153" s="5">
        <f t="shared" si="28"/>
        <v>1.3439070154937314</v>
      </c>
      <c r="AM153" s="10">
        <f t="shared" si="29"/>
        <v>3.7474910340254963</v>
      </c>
    </row>
    <row r="154" spans="1:39" x14ac:dyDescent="0.3">
      <c r="A154">
        <v>15</v>
      </c>
      <c r="B154" t="s">
        <v>493</v>
      </c>
      <c r="C154" t="s">
        <v>93</v>
      </c>
      <c r="D154" s="1">
        <v>36291</v>
      </c>
      <c r="E154">
        <v>2277</v>
      </c>
      <c r="F154" t="s">
        <v>494</v>
      </c>
      <c r="G154" s="4">
        <v>65817</v>
      </c>
      <c r="H154" s="4">
        <v>250282</v>
      </c>
      <c r="I154" s="4">
        <v>471228</v>
      </c>
      <c r="J154" s="4">
        <v>529094</v>
      </c>
      <c r="K154" s="4">
        <v>550448</v>
      </c>
      <c r="L154" s="4">
        <v>4296</v>
      </c>
      <c r="M154" s="4">
        <v>670478</v>
      </c>
      <c r="N154" s="4">
        <v>-120030</v>
      </c>
      <c r="O154" s="4">
        <v>250862</v>
      </c>
      <c r="P154" s="4">
        <v>2030809</v>
      </c>
      <c r="Q154" s="4">
        <v>248387</v>
      </c>
      <c r="R154" s="4">
        <v>6541</v>
      </c>
      <c r="S154" s="4">
        <v>734819</v>
      </c>
      <c r="T154" s="4">
        <v>918865</v>
      </c>
      <c r="U154" s="4">
        <v>2582479</v>
      </c>
      <c r="V154" s="4">
        <v>2272800</v>
      </c>
      <c r="W154" s="4">
        <v>2144318</v>
      </c>
      <c r="X154" s="4">
        <v>2054169</v>
      </c>
      <c r="Y154">
        <v>20.49</v>
      </c>
      <c r="Z154">
        <v>2263441.5</v>
      </c>
      <c r="AA154" t="s">
        <v>40</v>
      </c>
      <c r="AB154">
        <v>4</v>
      </c>
      <c r="AC154" t="s">
        <v>468</v>
      </c>
      <c r="AD154" s="5">
        <f t="shared" si="20"/>
        <v>2.7111521294656805E-2</v>
      </c>
      <c r="AE154" s="5">
        <f t="shared" si="21"/>
        <v>0.5311271825952617</v>
      </c>
      <c r="AF154" s="5">
        <f t="shared" si="22"/>
        <v>7.910822140142857E-3</v>
      </c>
      <c r="AG154" s="5">
        <f t="shared" si="23"/>
        <v>-4.6478596728182497E-2</v>
      </c>
      <c r="AH154" s="5">
        <f t="shared" si="24"/>
        <v>2.8105097049076848</v>
      </c>
      <c r="AI154" s="5">
        <f t="shared" si="25"/>
        <v>0.26053361000468284</v>
      </c>
      <c r="AJ154" s="5">
        <f t="shared" si="26"/>
        <v>0.8209784661092534</v>
      </c>
      <c r="AK154" s="5">
        <f t="shared" si="27"/>
        <v>0.20487833589353485</v>
      </c>
      <c r="AL154" s="5">
        <f t="shared" si="28"/>
        <v>0.59905209143889471</v>
      </c>
      <c r="AM154" s="10">
        <f t="shared" si="29"/>
        <v>-3.9259185203699074</v>
      </c>
    </row>
    <row r="155" spans="1:39" x14ac:dyDescent="0.3">
      <c r="A155">
        <v>36</v>
      </c>
      <c r="B155" t="s">
        <v>533</v>
      </c>
      <c r="C155" t="s">
        <v>70</v>
      </c>
      <c r="D155" s="1">
        <v>29976</v>
      </c>
      <c r="E155">
        <v>324</v>
      </c>
      <c r="F155" t="s">
        <v>534</v>
      </c>
      <c r="G155" s="4">
        <v>2248.181</v>
      </c>
      <c r="H155" s="4">
        <v>10989.138999999999</v>
      </c>
      <c r="I155" s="4">
        <v>195287.851</v>
      </c>
      <c r="J155" s="4">
        <v>42531.898999999998</v>
      </c>
      <c r="K155" s="4">
        <v>155503.22500000001</v>
      </c>
      <c r="L155" s="4">
        <v>45246.663999999997</v>
      </c>
      <c r="M155" s="4">
        <v>118138.587</v>
      </c>
      <c r="N155" s="4">
        <v>37364.637999999999</v>
      </c>
      <c r="O155" s="4">
        <v>6491.165</v>
      </c>
      <c r="P155" s="4">
        <v>21558.812999999998</v>
      </c>
      <c r="Q155" s="4">
        <v>21344.799999999999</v>
      </c>
      <c r="R155" s="4">
        <v>3874.3290000000002</v>
      </c>
      <c r="S155" s="4">
        <v>166685.59899999999</v>
      </c>
      <c r="T155" s="4">
        <v>139483.38699999999</v>
      </c>
      <c r="U155" s="4">
        <v>183815.334</v>
      </c>
      <c r="V155" s="4">
        <v>209933.72500000001</v>
      </c>
      <c r="W155" s="4">
        <v>179649.21799999999</v>
      </c>
      <c r="X155" s="4">
        <v>161345.693</v>
      </c>
      <c r="Y155">
        <v>23.14</v>
      </c>
      <c r="Z155">
        <v>183685.99249999999</v>
      </c>
      <c r="AA155" t="s">
        <v>40</v>
      </c>
      <c r="AB155">
        <v>4</v>
      </c>
      <c r="AC155" t="s">
        <v>468</v>
      </c>
      <c r="AD155" s="5">
        <f t="shared" si="20"/>
        <v>1.1419359353948322E-2</v>
      </c>
      <c r="AE155" s="5">
        <f t="shared" si="21"/>
        <v>5.6271493304516931E-2</v>
      </c>
      <c r="AF155" s="5">
        <f t="shared" si="22"/>
        <v>2.5308435388031108E-2</v>
      </c>
      <c r="AG155" s="5">
        <f t="shared" si="23"/>
        <v>0.20327269323461339</v>
      </c>
      <c r="AH155" s="5">
        <f t="shared" si="24"/>
        <v>1.3178295849669899</v>
      </c>
      <c r="AI155" s="5">
        <f t="shared" si="25"/>
        <v>1.9728312036474365</v>
      </c>
      <c r="AJ155" s="5">
        <f t="shared" si="26"/>
        <v>1.3162780167668673</v>
      </c>
      <c r="AK155" s="5">
        <f t="shared" si="27"/>
        <v>0.23138384635527739</v>
      </c>
      <c r="AL155" s="5">
        <f t="shared" si="28"/>
        <v>1.1148512259743164</v>
      </c>
      <c r="AM155" s="10">
        <f t="shared" si="29"/>
        <v>5.2265420315325954</v>
      </c>
    </row>
    <row r="156" spans="1:39" x14ac:dyDescent="0.3">
      <c r="A156">
        <v>37</v>
      </c>
      <c r="B156" t="s">
        <v>535</v>
      </c>
      <c r="C156" t="s">
        <v>93</v>
      </c>
      <c r="D156" s="1">
        <v>39546</v>
      </c>
      <c r="E156">
        <v>402</v>
      </c>
      <c r="F156" t="s">
        <v>536</v>
      </c>
      <c r="G156" s="4">
        <v>7664.7079999999996</v>
      </c>
      <c r="H156" s="4">
        <v>16659.75</v>
      </c>
      <c r="I156" s="4">
        <v>191075.535</v>
      </c>
      <c r="J156" s="4">
        <v>27462.741999999998</v>
      </c>
      <c r="K156" s="4">
        <v>272327.09600000002</v>
      </c>
      <c r="L156" s="4">
        <v>159688.54999999999</v>
      </c>
      <c r="M156" s="4">
        <v>232529.948</v>
      </c>
      <c r="N156" s="4">
        <v>39797.148000000001</v>
      </c>
      <c r="O156" s="4">
        <v>11853.822</v>
      </c>
      <c r="P156" s="4">
        <v>40696.165999999997</v>
      </c>
      <c r="Q156" s="4">
        <v>42324.815999999999</v>
      </c>
      <c r="R156" s="4">
        <v>3234.136</v>
      </c>
      <c r="S156" s="4">
        <v>178314.951</v>
      </c>
      <c r="T156" s="4">
        <v>274854.76400000002</v>
      </c>
      <c r="U156" s="4">
        <v>317280.86200000002</v>
      </c>
      <c r="V156" s="4">
        <v>212261.12899999999</v>
      </c>
      <c r="W156" s="4">
        <v>157331.38099999999</v>
      </c>
      <c r="X156" s="4">
        <v>76622.301000000007</v>
      </c>
      <c r="Y156">
        <v>8.66</v>
      </c>
      <c r="Z156">
        <v>190873.91824999999</v>
      </c>
      <c r="AA156" t="s">
        <v>40</v>
      </c>
      <c r="AB156">
        <v>4</v>
      </c>
      <c r="AC156" t="s">
        <v>468</v>
      </c>
      <c r="AD156" s="5">
        <f t="shared" si="20"/>
        <v>2.8948442730767309E-2</v>
      </c>
      <c r="AE156" s="5">
        <f t="shared" si="21"/>
        <v>8.7189341115805327E-2</v>
      </c>
      <c r="AF156" s="5">
        <f t="shared" si="22"/>
        <v>1.4273398653747193E-2</v>
      </c>
      <c r="AG156" s="5">
        <f t="shared" si="23"/>
        <v>0.12543192094580227</v>
      </c>
      <c r="AH156" s="5">
        <f t="shared" si="24"/>
        <v>1.1543582413583342</v>
      </c>
      <c r="AI156" s="5">
        <f t="shared" si="25"/>
        <v>0.67482381509845424</v>
      </c>
      <c r="AJ156" s="5">
        <f t="shared" si="26"/>
        <v>1.171148483635321</v>
      </c>
      <c r="AK156" s="5">
        <f t="shared" si="27"/>
        <v>8.6556566402671953E-2</v>
      </c>
      <c r="AL156" s="5">
        <f t="shared" si="28"/>
        <v>0.9908036231091123</v>
      </c>
      <c r="AM156" s="10">
        <f t="shared" si="29"/>
        <v>4.801236887628229</v>
      </c>
    </row>
    <row r="157" spans="1:39" x14ac:dyDescent="0.3">
      <c r="A157">
        <v>48</v>
      </c>
      <c r="B157" t="s">
        <v>551</v>
      </c>
      <c r="C157" t="s">
        <v>354</v>
      </c>
      <c r="D157" s="1">
        <v>31744</v>
      </c>
      <c r="E157">
        <v>194</v>
      </c>
      <c r="F157" t="s">
        <v>552</v>
      </c>
      <c r="G157" s="4">
        <v>3769.8180000000002</v>
      </c>
      <c r="H157" s="4">
        <v>11508.085999999999</v>
      </c>
      <c r="I157" s="4">
        <v>131961.182</v>
      </c>
      <c r="J157" s="4">
        <v>34436.565999999999</v>
      </c>
      <c r="K157" s="4">
        <v>149363.24900000001</v>
      </c>
      <c r="L157" s="4">
        <v>45424.266000000003</v>
      </c>
      <c r="M157" s="4">
        <v>105398.053</v>
      </c>
      <c r="N157" s="4">
        <v>43965.196000000004</v>
      </c>
      <c r="O157" s="4">
        <v>5938.152</v>
      </c>
      <c r="P157" s="4">
        <v>5545.1289999999999</v>
      </c>
      <c r="Q157" s="4">
        <v>12465.228999999999</v>
      </c>
      <c r="R157" s="4">
        <v>5283.8090000000002</v>
      </c>
      <c r="S157" s="4">
        <v>81634.216</v>
      </c>
      <c r="T157" s="4">
        <v>117863.28200000001</v>
      </c>
      <c r="U157" s="4">
        <v>157065.807</v>
      </c>
      <c r="V157" s="4">
        <v>114461.34600000001</v>
      </c>
      <c r="W157" s="4">
        <v>87610.611000000004</v>
      </c>
      <c r="X157" s="4">
        <v>73673.255000000005</v>
      </c>
      <c r="Y157">
        <v>21.92</v>
      </c>
      <c r="Z157">
        <v>108202.75474999999</v>
      </c>
      <c r="AA157" t="s">
        <v>40</v>
      </c>
      <c r="AB157">
        <v>4</v>
      </c>
      <c r="AC157" t="s">
        <v>468</v>
      </c>
      <c r="AD157" s="5">
        <f t="shared" si="20"/>
        <v>2.7767521283589641E-2</v>
      </c>
      <c r="AE157" s="5">
        <f t="shared" si="21"/>
        <v>8.7208115489599045E-2</v>
      </c>
      <c r="AF157" s="5">
        <f t="shared" si="22"/>
        <v>5.2971180621022122E-2</v>
      </c>
      <c r="AG157" s="5">
        <f t="shared" si="23"/>
        <v>0.27991576804491891</v>
      </c>
      <c r="AH157" s="5">
        <f t="shared" si="24"/>
        <v>1.3326101592860786</v>
      </c>
      <c r="AI157" s="5">
        <f t="shared" si="25"/>
        <v>6.2102371288386617</v>
      </c>
      <c r="AJ157" s="5">
        <f t="shared" si="26"/>
        <v>1.4171348022908925</v>
      </c>
      <c r="AK157" s="5">
        <f t="shared" si="27"/>
        <v>0.21924928574683347</v>
      </c>
      <c r="AL157" s="5">
        <f t="shared" si="28"/>
        <v>1.2672585258571027</v>
      </c>
      <c r="AM157" s="10">
        <f t="shared" si="29"/>
        <v>3.0014919528619863</v>
      </c>
    </row>
    <row r="158" spans="1:39" x14ac:dyDescent="0.3">
      <c r="A158">
        <v>61</v>
      </c>
      <c r="B158" t="s">
        <v>557</v>
      </c>
      <c r="C158" t="s">
        <v>38</v>
      </c>
      <c r="D158" s="1">
        <v>38244</v>
      </c>
      <c r="E158">
        <v>43</v>
      </c>
      <c r="F158" t="s">
        <v>558</v>
      </c>
      <c r="G158" s="4">
        <v>481.71800000000002</v>
      </c>
      <c r="H158" s="4">
        <v>2352.3719999999998</v>
      </c>
      <c r="I158" s="4">
        <v>108580.469</v>
      </c>
      <c r="J158" s="4">
        <v>9027.5370000000003</v>
      </c>
      <c r="K158" s="4">
        <v>114319.916</v>
      </c>
      <c r="L158" s="4">
        <v>1625.95</v>
      </c>
      <c r="M158" s="4">
        <v>99024.5</v>
      </c>
      <c r="N158" s="4">
        <v>15295.415999999999</v>
      </c>
      <c r="O158" s="4">
        <v>2369.7190000000001</v>
      </c>
      <c r="P158" s="4">
        <v>10338.957</v>
      </c>
      <c r="Q158" s="4">
        <v>15859.603999999999</v>
      </c>
      <c r="R158" s="4">
        <v>904.47199999999998</v>
      </c>
      <c r="S158" s="4">
        <v>23437.637999999999</v>
      </c>
      <c r="T158" s="4">
        <v>114884.10400000001</v>
      </c>
      <c r="U158" s="4">
        <v>124717.518</v>
      </c>
      <c r="V158" s="4">
        <v>32822.485999999997</v>
      </c>
      <c r="W158" s="4">
        <v>22162.600999999999</v>
      </c>
      <c r="X158" s="4">
        <v>19054.297999999999</v>
      </c>
      <c r="Y158">
        <v>7.24</v>
      </c>
      <c r="Z158">
        <v>49689.225749999998</v>
      </c>
      <c r="AA158" t="s">
        <v>40</v>
      </c>
      <c r="AB158">
        <v>4</v>
      </c>
      <c r="AC158" t="s">
        <v>468</v>
      </c>
      <c r="AD158" s="5">
        <f t="shared" si="20"/>
        <v>6.1155006699123871E-3</v>
      </c>
      <c r="AE158" s="5">
        <f t="shared" si="21"/>
        <v>2.1664780246988986E-2</v>
      </c>
      <c r="AF158" s="5">
        <f t="shared" si="22"/>
        <v>1.3077799439512552E-2</v>
      </c>
      <c r="AG158" s="5">
        <f t="shared" si="23"/>
        <v>0.12264047781964359</v>
      </c>
      <c r="AH158" s="5">
        <f t="shared" si="24"/>
        <v>1.0855942089255446</v>
      </c>
      <c r="AI158" s="5">
        <f t="shared" si="25"/>
        <v>0.87315741810319936</v>
      </c>
      <c r="AJ158" s="5">
        <f t="shared" si="26"/>
        <v>1.1544609263364116</v>
      </c>
      <c r="AK158" s="5">
        <f t="shared" si="27"/>
        <v>7.2383873129996071E-2</v>
      </c>
      <c r="AL158" s="5">
        <f t="shared" si="28"/>
        <v>0.99508906819693688</v>
      </c>
      <c r="AM158" s="10">
        <f t="shared" si="29"/>
        <v>7.0988895627291209</v>
      </c>
    </row>
    <row r="159" spans="1:39" x14ac:dyDescent="0.3">
      <c r="A159">
        <v>71</v>
      </c>
      <c r="B159" t="s">
        <v>559</v>
      </c>
      <c r="C159" t="s">
        <v>354</v>
      </c>
      <c r="D159" s="1">
        <v>37943</v>
      </c>
      <c r="E159">
        <v>15</v>
      </c>
      <c r="F159" t="s">
        <v>560</v>
      </c>
      <c r="G159" s="4">
        <v>1407.3810000000001</v>
      </c>
      <c r="H159" s="4">
        <v>5401.875</v>
      </c>
      <c r="I159" s="4">
        <v>100194.961</v>
      </c>
      <c r="J159" s="4">
        <v>23457.868999999999</v>
      </c>
      <c r="K159" s="4">
        <v>153634.71799999999</v>
      </c>
      <c r="L159" s="4">
        <v>93932.350999999995</v>
      </c>
      <c r="M159" s="4">
        <v>131258.75200000001</v>
      </c>
      <c r="N159" s="4">
        <v>22375.966</v>
      </c>
      <c r="O159" s="4">
        <v>2051.319</v>
      </c>
      <c r="P159" s="4">
        <v>4316.509</v>
      </c>
      <c r="Q159" s="4">
        <v>86.391999999999996</v>
      </c>
      <c r="R159" s="4">
        <v>2597.0909999999999</v>
      </c>
      <c r="S159" s="4">
        <v>46269.502999999997</v>
      </c>
      <c r="T159" s="4">
        <v>131345.144</v>
      </c>
      <c r="U159" s="4">
        <v>157986.136</v>
      </c>
      <c r="V159" s="4">
        <v>69367.213000000003</v>
      </c>
      <c r="W159" s="4">
        <v>60758.019</v>
      </c>
      <c r="X159" s="4">
        <v>22704.431</v>
      </c>
      <c r="Y159">
        <v>14.85</v>
      </c>
      <c r="Z159">
        <v>77703.94975</v>
      </c>
      <c r="AA159" t="s">
        <v>40</v>
      </c>
      <c r="AB159">
        <v>4</v>
      </c>
      <c r="AC159" t="s">
        <v>468</v>
      </c>
      <c r="AD159" s="5">
        <f t="shared" si="20"/>
        <v>1.2380560974274455E-2</v>
      </c>
      <c r="AE159" s="5">
        <f t="shared" si="21"/>
        <v>5.3913639429431989E-2</v>
      </c>
      <c r="AF159" s="5">
        <f t="shared" si="22"/>
        <v>2.9244108454636625E-2</v>
      </c>
      <c r="AG159" s="5">
        <f t="shared" si="23"/>
        <v>0.14163246577535132</v>
      </c>
      <c r="AH159" s="5">
        <f t="shared" si="24"/>
        <v>1.2028319524321356</v>
      </c>
      <c r="AI159" s="5">
        <f t="shared" si="25"/>
        <v>5.4344538607471913</v>
      </c>
      <c r="AJ159" s="5">
        <f t="shared" si="26"/>
        <v>1.1704721830663145</v>
      </c>
      <c r="AK159" s="5">
        <f t="shared" si="27"/>
        <v>0.14848055401519536</v>
      </c>
      <c r="AL159" s="5">
        <f t="shared" si="28"/>
        <v>1.169702307380317</v>
      </c>
      <c r="AM159" s="10">
        <f t="shared" si="29"/>
        <v>4.4777937631832296</v>
      </c>
    </row>
    <row r="160" spans="1:39" x14ac:dyDescent="0.3">
      <c r="A160">
        <v>82</v>
      </c>
      <c r="B160" t="s">
        <v>561</v>
      </c>
      <c r="C160" t="s">
        <v>48</v>
      </c>
      <c r="D160" s="1">
        <v>31852</v>
      </c>
      <c r="E160">
        <v>162</v>
      </c>
      <c r="F160" t="s">
        <v>562</v>
      </c>
      <c r="G160" s="4">
        <v>6940.9939999999997</v>
      </c>
      <c r="H160" s="4">
        <v>9287.26</v>
      </c>
      <c r="I160" s="4">
        <v>91226.846999999994</v>
      </c>
      <c r="J160" s="4">
        <v>42070.366000000002</v>
      </c>
      <c r="K160" s="4">
        <v>229122.34700000001</v>
      </c>
      <c r="L160" s="4">
        <v>119951.924</v>
      </c>
      <c r="M160" s="4">
        <v>169322.046</v>
      </c>
      <c r="N160" s="4">
        <v>59800.300999999999</v>
      </c>
      <c r="O160" s="4">
        <v>7779.067</v>
      </c>
      <c r="P160" s="4">
        <v>7408.5190000000002</v>
      </c>
      <c r="Q160" s="4">
        <v>21958.858</v>
      </c>
      <c r="R160" s="4">
        <v>947.81200000000001</v>
      </c>
      <c r="S160" s="4">
        <v>188059.24400000001</v>
      </c>
      <c r="T160" s="4">
        <v>191280.90400000001</v>
      </c>
      <c r="U160" s="4">
        <v>236836.27799999999</v>
      </c>
      <c r="V160" s="4">
        <v>226509.14799999999</v>
      </c>
      <c r="W160" s="4">
        <v>214560.177</v>
      </c>
      <c r="X160" s="4">
        <v>197386.649</v>
      </c>
      <c r="Y160">
        <v>17.760000000000002</v>
      </c>
      <c r="Z160">
        <v>218823.06299999999</v>
      </c>
      <c r="AA160" t="s">
        <v>40</v>
      </c>
      <c r="AB160">
        <v>4</v>
      </c>
      <c r="AC160" t="s">
        <v>468</v>
      </c>
      <c r="AD160" s="5">
        <f t="shared" si="20"/>
        <v>2.9960343236451848E-2</v>
      </c>
      <c r="AE160" s="5">
        <f t="shared" si="21"/>
        <v>0.10180402266889703</v>
      </c>
      <c r="AF160" s="5">
        <f t="shared" si="22"/>
        <v>4.9971615448412797E-3</v>
      </c>
      <c r="AG160" s="5">
        <f t="shared" si="23"/>
        <v>0.25249637219851934</v>
      </c>
      <c r="AH160" s="5">
        <f t="shared" si="24"/>
        <v>1.2381595498942224</v>
      </c>
      <c r="AI160" s="5">
        <f t="shared" si="25"/>
        <v>5.6786472438013593</v>
      </c>
      <c r="AJ160" s="5">
        <f t="shared" si="26"/>
        <v>1.3531749256089192</v>
      </c>
      <c r="AK160" s="5">
        <f t="shared" si="27"/>
        <v>0.17763480474895829</v>
      </c>
      <c r="AL160" s="5">
        <f t="shared" si="28"/>
        <v>1.1978317867004644</v>
      </c>
      <c r="AM160" s="10">
        <f t="shared" si="29"/>
        <v>1.5255248798831296</v>
      </c>
    </row>
    <row r="161" spans="1:39" x14ac:dyDescent="0.3">
      <c r="A161">
        <v>92</v>
      </c>
      <c r="B161" t="s">
        <v>563</v>
      </c>
      <c r="C161" t="s">
        <v>354</v>
      </c>
      <c r="D161" s="1">
        <v>40527</v>
      </c>
      <c r="E161">
        <v>631</v>
      </c>
      <c r="F161" t="s">
        <v>564</v>
      </c>
      <c r="G161" s="4">
        <v>603.98</v>
      </c>
      <c r="H161" s="4">
        <v>1538.3420000000001</v>
      </c>
      <c r="I161" s="4">
        <v>87667.288</v>
      </c>
      <c r="J161" s="4">
        <v>21387.731</v>
      </c>
      <c r="K161" s="4">
        <v>47765.42</v>
      </c>
      <c r="L161" s="4">
        <v>7900.3450000000003</v>
      </c>
      <c r="M161" s="4">
        <v>27502.492999999999</v>
      </c>
      <c r="N161" s="4">
        <v>20262.927</v>
      </c>
      <c r="O161" s="4">
        <v>1127.3589999999999</v>
      </c>
      <c r="P161" s="4">
        <v>1778.56</v>
      </c>
      <c r="Q161" s="4">
        <v>0</v>
      </c>
      <c r="R161" s="4">
        <v>148.386</v>
      </c>
      <c r="S161" s="4">
        <v>25406.098999999998</v>
      </c>
      <c r="T161" s="4">
        <v>27502.492999999999</v>
      </c>
      <c r="U161" s="4">
        <v>50124.91</v>
      </c>
      <c r="V161" s="4">
        <v>47614.290999999997</v>
      </c>
      <c r="W161" s="4">
        <v>48068.923999999999</v>
      </c>
      <c r="X161" s="4">
        <v>47138.741999999998</v>
      </c>
      <c r="Y161">
        <v>42.67</v>
      </c>
      <c r="Z161">
        <v>48236.71675</v>
      </c>
      <c r="AA161" t="s">
        <v>40</v>
      </c>
      <c r="AB161">
        <v>4</v>
      </c>
      <c r="AC161" t="s">
        <v>468</v>
      </c>
      <c r="AD161" s="5">
        <f t="shared" si="20"/>
        <v>1.2359012429414069E-2</v>
      </c>
      <c r="AE161" s="5">
        <f t="shared" si="21"/>
        <v>1.7547503009332284E-2</v>
      </c>
      <c r="AF161" s="5">
        <f t="shared" si="22"/>
        <v>5.6091456752430683E-3</v>
      </c>
      <c r="AG161" s="5">
        <f t="shared" si="23"/>
        <v>0.40424864603248162</v>
      </c>
      <c r="AH161" s="5">
        <f t="shared" si="24"/>
        <v>1.8225587767625286</v>
      </c>
      <c r="AI161" s="5">
        <f t="shared" si="25"/>
        <v>12.025307552177042</v>
      </c>
      <c r="AJ161" s="5">
        <f t="shared" si="26"/>
        <v>1.7367669178208682</v>
      </c>
      <c r="AK161" s="5">
        <f t="shared" si="27"/>
        <v>0.42668866637366526</v>
      </c>
      <c r="AL161" s="5">
        <f t="shared" si="28"/>
        <v>1.7367669178208682</v>
      </c>
      <c r="AM161" s="10">
        <f t="shared" si="29"/>
        <v>4.3264868890856691</v>
      </c>
    </row>
    <row r="162" spans="1:39" x14ac:dyDescent="0.3">
      <c r="A162">
        <v>95</v>
      </c>
      <c r="B162" t="s">
        <v>565</v>
      </c>
      <c r="C162" t="s">
        <v>70</v>
      </c>
      <c r="D162" s="1">
        <v>39399</v>
      </c>
      <c r="E162">
        <v>140</v>
      </c>
      <c r="F162" t="s">
        <v>566</v>
      </c>
      <c r="G162" s="4">
        <v>7614.1760000000004</v>
      </c>
      <c r="H162" s="4">
        <v>14569.700999999999</v>
      </c>
      <c r="I162" s="4">
        <v>83095.664000000004</v>
      </c>
      <c r="J162" s="4">
        <v>49845.927000000003</v>
      </c>
      <c r="K162" s="4">
        <v>76120.135999999999</v>
      </c>
      <c r="L162" s="4">
        <v>20296.173999999999</v>
      </c>
      <c r="M162" s="4">
        <v>41238.627</v>
      </c>
      <c r="N162" s="4">
        <v>34881.508999999998</v>
      </c>
      <c r="O162" s="4">
        <v>11655.537</v>
      </c>
      <c r="P162" s="4">
        <v>24197.276000000002</v>
      </c>
      <c r="Q162" s="4">
        <v>4540.7780000000002</v>
      </c>
      <c r="R162" s="4">
        <v>553.33000000000004</v>
      </c>
      <c r="S162" s="4">
        <v>59061.968999999997</v>
      </c>
      <c r="T162" s="4">
        <v>45779.404999999999</v>
      </c>
      <c r="U162" s="4">
        <v>102491.13099999999</v>
      </c>
      <c r="V162" s="4">
        <v>106216.21</v>
      </c>
      <c r="W162" s="4">
        <v>72307.005999999994</v>
      </c>
      <c r="X162" s="4">
        <v>55628.233999999997</v>
      </c>
      <c r="Y162">
        <v>48.63</v>
      </c>
      <c r="Z162">
        <v>84160.645250000001</v>
      </c>
      <c r="AA162" t="s">
        <v>40</v>
      </c>
      <c r="AB162">
        <v>4</v>
      </c>
      <c r="AC162" t="s">
        <v>468</v>
      </c>
      <c r="AD162" s="5">
        <f t="shared" si="20"/>
        <v>7.29650999674228E-2</v>
      </c>
      <c r="AE162" s="5">
        <f t="shared" si="21"/>
        <v>0.17533647724386675</v>
      </c>
      <c r="AF162" s="5">
        <f t="shared" si="22"/>
        <v>1.0555565591881694E-2</v>
      </c>
      <c r="AG162" s="5">
        <f t="shared" si="23"/>
        <v>0.34033685314683471</v>
      </c>
      <c r="AH162" s="5">
        <f t="shared" si="24"/>
        <v>2.2388043488114362</v>
      </c>
      <c r="AI162" s="5">
        <f t="shared" si="25"/>
        <v>2.0599809251256214</v>
      </c>
      <c r="AJ162" s="5">
        <f t="shared" si="26"/>
        <v>1.8458455467006696</v>
      </c>
      <c r="AK162" s="5">
        <f t="shared" si="27"/>
        <v>0.48634380861696225</v>
      </c>
      <c r="AL162" s="5">
        <f t="shared" si="28"/>
        <v>1.6627594002150095</v>
      </c>
      <c r="AM162" s="10">
        <f t="shared" si="29"/>
        <v>2.3822267551555756</v>
      </c>
    </row>
    <row r="163" spans="1:39" x14ac:dyDescent="0.3">
      <c r="A163">
        <v>98</v>
      </c>
      <c r="B163" t="s">
        <v>567</v>
      </c>
      <c r="C163" t="s">
        <v>38</v>
      </c>
      <c r="D163" s="1">
        <v>33387</v>
      </c>
      <c r="E163">
        <v>224</v>
      </c>
      <c r="F163" t="s">
        <v>568</v>
      </c>
      <c r="G163" s="4">
        <v>179.42500000000001</v>
      </c>
      <c r="H163" s="4">
        <v>2384.402</v>
      </c>
      <c r="I163" s="4">
        <v>82331.057000000001</v>
      </c>
      <c r="J163" s="4">
        <v>8159.23</v>
      </c>
      <c r="K163" s="4">
        <v>46545.531000000003</v>
      </c>
      <c r="L163" s="4">
        <v>2776.473</v>
      </c>
      <c r="M163" s="4">
        <v>36279.241000000002</v>
      </c>
      <c r="N163" s="4">
        <v>10266.290000000001</v>
      </c>
      <c r="O163" s="4">
        <v>802.74199999999996</v>
      </c>
      <c r="P163" s="4">
        <v>935.98599999999999</v>
      </c>
      <c r="Q163" s="4">
        <v>2249.826</v>
      </c>
      <c r="R163" s="4">
        <v>815.65800000000002</v>
      </c>
      <c r="S163" s="4">
        <v>34837.726999999999</v>
      </c>
      <c r="T163" s="4">
        <v>38529.067000000003</v>
      </c>
      <c r="U163" s="4">
        <v>48169.911999999997</v>
      </c>
      <c r="V163" s="4">
        <v>44134.017999999996</v>
      </c>
      <c r="W163" s="4">
        <v>36411.080999999998</v>
      </c>
      <c r="X163" s="4">
        <v>29053.624</v>
      </c>
      <c r="Y163">
        <v>16.940000000000001</v>
      </c>
      <c r="Z163">
        <v>39442.158750000002</v>
      </c>
      <c r="AA163" t="s">
        <v>40</v>
      </c>
      <c r="AB163">
        <v>4</v>
      </c>
      <c r="AC163" t="s">
        <v>468</v>
      </c>
      <c r="AD163" s="5">
        <f t="shared" si="20"/>
        <v>3.8877001228441741E-3</v>
      </c>
      <c r="AE163" s="5">
        <f t="shared" si="21"/>
        <v>2.8961148889416057E-2</v>
      </c>
      <c r="AF163" s="5">
        <f t="shared" si="22"/>
        <v>2.2235072722408999E-2</v>
      </c>
      <c r="AG163" s="5">
        <f t="shared" si="23"/>
        <v>0.21312660899193675</v>
      </c>
      <c r="AH163" s="5">
        <f t="shared" si="24"/>
        <v>1.2502226435952886</v>
      </c>
      <c r="AI163" s="5">
        <f t="shared" si="25"/>
        <v>8.7172564546905615</v>
      </c>
      <c r="AJ163" s="5">
        <f t="shared" si="26"/>
        <v>1.2829797348847514</v>
      </c>
      <c r="AK163" s="5">
        <f t="shared" si="27"/>
        <v>0.16938436590874403</v>
      </c>
      <c r="AL163" s="5">
        <f t="shared" si="28"/>
        <v>1.2080627594745545</v>
      </c>
      <c r="AM163" s="10">
        <f t="shared" si="29"/>
        <v>8.0195530225621905</v>
      </c>
    </row>
    <row r="164" spans="1:39" x14ac:dyDescent="0.3">
      <c r="A164">
        <v>107</v>
      </c>
      <c r="B164" t="s">
        <v>569</v>
      </c>
      <c r="C164" t="s">
        <v>354</v>
      </c>
      <c r="D164" s="1">
        <v>28530</v>
      </c>
      <c r="E164">
        <v>132</v>
      </c>
      <c r="F164" t="s">
        <v>570</v>
      </c>
      <c r="G164" s="4">
        <v>7111.8450000000003</v>
      </c>
      <c r="H164" s="4">
        <v>12840.892</v>
      </c>
      <c r="I164" s="4">
        <v>77946.601999999999</v>
      </c>
      <c r="J164" s="4">
        <v>37252.309000000001</v>
      </c>
      <c r="K164" s="4">
        <v>68930.547000000006</v>
      </c>
      <c r="L164" s="4">
        <v>20771.218000000001</v>
      </c>
      <c r="M164" s="4">
        <v>36952.339</v>
      </c>
      <c r="N164" s="4">
        <v>31978.207999999999</v>
      </c>
      <c r="O164" s="4">
        <v>7401.6959999999999</v>
      </c>
      <c r="P164" s="4">
        <v>7891.9160000000002</v>
      </c>
      <c r="Q164" s="4">
        <v>2625.665</v>
      </c>
      <c r="R164" s="4">
        <v>7238.799</v>
      </c>
      <c r="S164" s="4">
        <v>66939.323999999993</v>
      </c>
      <c r="T164" s="4">
        <v>39578.004000000001</v>
      </c>
      <c r="U164" s="4">
        <v>77060.429000000004</v>
      </c>
      <c r="V164" s="4">
        <v>99269.513000000006</v>
      </c>
      <c r="W164" s="4">
        <v>78265.763000000006</v>
      </c>
      <c r="X164" s="4">
        <v>54521.741000000002</v>
      </c>
      <c r="Y164">
        <v>48.34</v>
      </c>
      <c r="Z164">
        <v>77279.361499999999</v>
      </c>
      <c r="AA164" t="s">
        <v>40</v>
      </c>
      <c r="AB164">
        <v>4</v>
      </c>
      <c r="AC164" t="s">
        <v>468</v>
      </c>
      <c r="AD164" s="5">
        <f t="shared" si="20"/>
        <v>8.0665199787793268E-2</v>
      </c>
      <c r="AE164" s="5">
        <f t="shared" si="21"/>
        <v>0.1647395995530376</v>
      </c>
      <c r="AF164" s="5">
        <f t="shared" si="22"/>
        <v>0.13591777292798785</v>
      </c>
      <c r="AG164" s="5">
        <f t="shared" si="23"/>
        <v>0.41497573287581874</v>
      </c>
      <c r="AH164" s="5">
        <f t="shared" si="24"/>
        <v>1.947051928136649</v>
      </c>
      <c r="AI164" s="5">
        <f t="shared" si="25"/>
        <v>4.7203124057579933</v>
      </c>
      <c r="AJ164" s="5">
        <f t="shared" si="26"/>
        <v>1.8653906319705502</v>
      </c>
      <c r="AK164" s="5">
        <f t="shared" si="27"/>
        <v>0.48341683901084953</v>
      </c>
      <c r="AL164" s="5">
        <f t="shared" si="28"/>
        <v>1.741637779408987</v>
      </c>
      <c r="AM164" s="10">
        <f t="shared" si="29"/>
        <v>2.4374912440371892</v>
      </c>
    </row>
    <row r="165" spans="1:39" x14ac:dyDescent="0.3">
      <c r="A165">
        <v>1961</v>
      </c>
      <c r="B165" t="s">
        <v>599</v>
      </c>
      <c r="C165" t="s">
        <v>70</v>
      </c>
      <c r="D165" s="1">
        <v>41771</v>
      </c>
      <c r="E165">
        <v>37</v>
      </c>
      <c r="F165" t="s">
        <v>600</v>
      </c>
      <c r="G165" s="4">
        <v>102.908</v>
      </c>
      <c r="H165" s="4">
        <v>207.542</v>
      </c>
      <c r="I165" s="4">
        <v>7932.5029999999997</v>
      </c>
      <c r="J165" s="4">
        <v>200.16200000000001</v>
      </c>
      <c r="K165" s="4">
        <v>3893.3780000000002</v>
      </c>
      <c r="L165" s="4">
        <v>729.96</v>
      </c>
      <c r="M165" s="4">
        <v>3517.433</v>
      </c>
      <c r="N165" s="4">
        <v>375.94499999999999</v>
      </c>
      <c r="O165" s="4">
        <v>131.55500000000001</v>
      </c>
      <c r="P165" s="4">
        <v>296.02499999999998</v>
      </c>
      <c r="Q165" s="4">
        <v>280.13400000000001</v>
      </c>
      <c r="R165" s="4">
        <v>41.241</v>
      </c>
      <c r="S165" s="4">
        <v>2964.6979999999999</v>
      </c>
      <c r="T165" s="4">
        <v>3797.567</v>
      </c>
      <c r="U165" s="4">
        <v>4208.183</v>
      </c>
      <c r="V165" s="4">
        <v>3258.752</v>
      </c>
      <c r="W165" s="4">
        <v>2239.2919999999999</v>
      </c>
      <c r="X165" s="4">
        <v>1579.7829999999999</v>
      </c>
      <c r="Y165">
        <v>4.76</v>
      </c>
      <c r="Z165">
        <v>2821.5025000000001</v>
      </c>
      <c r="AA165" t="s">
        <v>40</v>
      </c>
      <c r="AB165">
        <v>3</v>
      </c>
      <c r="AC165" t="s">
        <v>468</v>
      </c>
      <c r="AD165" s="5">
        <f t="shared" si="20"/>
        <v>2.7563652288388744E-2</v>
      </c>
      <c r="AE165" s="5">
        <f t="shared" si="21"/>
        <v>2.6163494675009894E-2</v>
      </c>
      <c r="AF165" s="5">
        <f t="shared" si="22"/>
        <v>1.2197392441733651E-2</v>
      </c>
      <c r="AG165" s="5">
        <f t="shared" si="23"/>
        <v>8.9336656699577938E-2</v>
      </c>
      <c r="AH165" s="5">
        <f t="shared" si="24"/>
        <v>1.1081260712450893</v>
      </c>
      <c r="AI165" s="5">
        <f t="shared" si="25"/>
        <v>0.6761658643695635</v>
      </c>
      <c r="AJ165" s="5">
        <f t="shared" si="26"/>
        <v>1.1068805006378231</v>
      </c>
      <c r="AK165" s="5">
        <f t="shared" si="27"/>
        <v>4.7564946676510983E-2</v>
      </c>
      <c r="AL165" s="5">
        <f t="shared" si="28"/>
        <v>1.02522957461975</v>
      </c>
      <c r="AM165" s="10">
        <f t="shared" si="29"/>
        <v>21.100168907685966</v>
      </c>
    </row>
    <row r="166" spans="1:39" x14ac:dyDescent="0.3">
      <c r="A166">
        <v>2003</v>
      </c>
      <c r="B166" t="s">
        <v>605</v>
      </c>
      <c r="C166" t="s">
        <v>38</v>
      </c>
      <c r="D166" s="1">
        <v>41912</v>
      </c>
      <c r="E166">
        <v>78</v>
      </c>
      <c r="F166" t="s">
        <v>606</v>
      </c>
      <c r="G166" s="4">
        <v>30.035</v>
      </c>
      <c r="H166" s="4">
        <v>106.919</v>
      </c>
      <c r="I166" s="4">
        <v>7759.9650000000001</v>
      </c>
      <c r="J166" s="4">
        <v>133.566</v>
      </c>
      <c r="K166" s="4">
        <v>2246.5140000000001</v>
      </c>
      <c r="L166" s="4">
        <v>0</v>
      </c>
      <c r="M166" s="4">
        <v>2096.578</v>
      </c>
      <c r="N166" s="4">
        <v>149.93600000000001</v>
      </c>
      <c r="O166" s="4">
        <v>87.507999999999996</v>
      </c>
      <c r="P166" s="4">
        <v>515.26</v>
      </c>
      <c r="Q166" s="4">
        <v>129.48099999999999</v>
      </c>
      <c r="R166" s="4">
        <v>19.411000000000001</v>
      </c>
      <c r="S166" s="4">
        <v>1680.451</v>
      </c>
      <c r="T166" s="4">
        <v>2226.0590000000002</v>
      </c>
      <c r="U166" s="4">
        <v>2761.7739999999999</v>
      </c>
      <c r="V166" s="4">
        <v>2125.5720000000001</v>
      </c>
      <c r="W166" s="4">
        <v>2233.7629999999999</v>
      </c>
      <c r="X166" s="4">
        <v>2260.3620000000001</v>
      </c>
      <c r="Y166">
        <v>4.84</v>
      </c>
      <c r="Z166">
        <v>2345.3677499999999</v>
      </c>
      <c r="AA166" t="s">
        <v>40</v>
      </c>
      <c r="AB166">
        <v>3</v>
      </c>
      <c r="AC166" t="s">
        <v>468</v>
      </c>
      <c r="AD166" s="5">
        <f t="shared" si="20"/>
        <v>1.2290924358537333E-2</v>
      </c>
      <c r="AE166" s="5">
        <f t="shared" si="21"/>
        <v>1.377828379380577E-2</v>
      </c>
      <c r="AF166" s="5">
        <f t="shared" si="22"/>
        <v>9.9377705419927253E-3</v>
      </c>
      <c r="AG166" s="5">
        <f t="shared" si="23"/>
        <v>5.4289742752303416E-2</v>
      </c>
      <c r="AH166" s="5">
        <f t="shared" si="24"/>
        <v>1.2406562449602636</v>
      </c>
      <c r="AI166" s="5">
        <f t="shared" si="25"/>
        <v>0.25922058766448008</v>
      </c>
      <c r="AJ166" s="5">
        <f t="shared" si="26"/>
        <v>1.0715146300304592</v>
      </c>
      <c r="AK166" s="5">
        <f t="shared" si="27"/>
        <v>4.8362393157441563E-2</v>
      </c>
      <c r="AL166" s="5">
        <f t="shared" si="28"/>
        <v>1.0091888849307229</v>
      </c>
      <c r="AM166" s="10">
        <f t="shared" si="29"/>
        <v>51.755182211076722</v>
      </c>
    </row>
    <row r="167" spans="1:39" x14ac:dyDescent="0.3">
      <c r="A167">
        <v>2166</v>
      </c>
      <c r="B167" t="s">
        <v>637</v>
      </c>
      <c r="C167" t="s">
        <v>70</v>
      </c>
      <c r="D167" s="1">
        <v>43957</v>
      </c>
      <c r="E167">
        <v>84</v>
      </c>
      <c r="F167" t="s">
        <v>638</v>
      </c>
      <c r="G167" s="4">
        <v>146.679</v>
      </c>
      <c r="H167" s="4">
        <v>394.803</v>
      </c>
      <c r="I167" s="4">
        <v>7257.0889999999999</v>
      </c>
      <c r="J167" s="4">
        <v>427.53100000000001</v>
      </c>
      <c r="K167" s="4">
        <v>3503.3710000000001</v>
      </c>
      <c r="L167" s="4">
        <v>0</v>
      </c>
      <c r="M167" s="4">
        <v>4230.491</v>
      </c>
      <c r="N167" s="4">
        <v>-727.12</v>
      </c>
      <c r="O167" s="4">
        <v>272.92099999999999</v>
      </c>
      <c r="P167" s="4">
        <v>803.70399999999995</v>
      </c>
      <c r="Q167" s="4">
        <v>58.722000000000001</v>
      </c>
      <c r="R167" s="4">
        <v>12.907999999999999</v>
      </c>
      <c r="S167" s="4">
        <v>2278.3739999999998</v>
      </c>
      <c r="T167" s="4">
        <v>4289.2129999999997</v>
      </c>
      <c r="U167" s="4">
        <v>5631.4629999999997</v>
      </c>
      <c r="V167" s="4">
        <v>3136.3919999999998</v>
      </c>
      <c r="W167" s="4">
        <v>1135.396</v>
      </c>
      <c r="X167" s="4">
        <v>280.42</v>
      </c>
      <c r="Y167">
        <v>7.59</v>
      </c>
      <c r="Z167">
        <v>2545.9177500000001</v>
      </c>
      <c r="AA167" t="s">
        <v>40</v>
      </c>
      <c r="AB167">
        <v>3</v>
      </c>
      <c r="AC167" t="s">
        <v>468</v>
      </c>
      <c r="AD167" s="5">
        <f t="shared" si="20"/>
        <v>3.3458354409373788E-2</v>
      </c>
      <c r="AE167" s="5">
        <f t="shared" si="21"/>
        <v>5.4402391923262898E-2</v>
      </c>
      <c r="AF167" s="5">
        <f t="shared" si="22"/>
        <v>3.9308196450233554E-3</v>
      </c>
      <c r="AG167" s="5">
        <f t="shared" si="23"/>
        <v>-0.12911742472604368</v>
      </c>
      <c r="AH167" s="5">
        <f t="shared" si="24"/>
        <v>1.312936195987469</v>
      </c>
      <c r="AI167" s="5">
        <f t="shared" si="25"/>
        <v>0.53195081771398434</v>
      </c>
      <c r="AJ167" s="5">
        <f t="shared" si="26"/>
        <v>0.82812396953450562</v>
      </c>
      <c r="AK167" s="5">
        <f t="shared" si="27"/>
        <v>7.5918282691371672E-2</v>
      </c>
      <c r="AL167" s="5">
        <f t="shared" si="28"/>
        <v>0.8167864361131052</v>
      </c>
      <c r="AM167" s="10">
        <f t="shared" si="29"/>
        <v>-9.9805932995929147</v>
      </c>
    </row>
    <row r="168" spans="1:39" x14ac:dyDescent="0.3">
      <c r="A168">
        <v>2178</v>
      </c>
      <c r="B168" t="s">
        <v>639</v>
      </c>
      <c r="C168" t="s">
        <v>245</v>
      </c>
      <c r="D168" s="1">
        <v>43570</v>
      </c>
      <c r="E168">
        <v>10</v>
      </c>
      <c r="F168" t="s">
        <v>640</v>
      </c>
      <c r="G168" s="4">
        <v>512.39599999999996</v>
      </c>
      <c r="H168" s="4">
        <v>277.85500000000002</v>
      </c>
      <c r="I168" s="4">
        <v>7225.8029999999999</v>
      </c>
      <c r="J168" s="4">
        <v>665.45100000000002</v>
      </c>
      <c r="K168" s="4">
        <v>5679.0619999999999</v>
      </c>
      <c r="L168" s="4">
        <v>44.844000000000001</v>
      </c>
      <c r="M168" s="4">
        <v>5149.3149999999996</v>
      </c>
      <c r="N168" s="4">
        <v>529.74699999999996</v>
      </c>
      <c r="O168" s="4">
        <v>533.63199999999995</v>
      </c>
      <c r="P168" s="4">
        <v>218.048</v>
      </c>
      <c r="Q168" s="4">
        <v>42.466999999999999</v>
      </c>
      <c r="R168" s="4">
        <v>70.471000000000004</v>
      </c>
      <c r="S168" s="4">
        <v>1731.181</v>
      </c>
      <c r="T168" s="4">
        <v>5191.7820000000002</v>
      </c>
      <c r="U168" s="4">
        <v>5897.11</v>
      </c>
      <c r="V168" s="4">
        <v>1937.586</v>
      </c>
      <c r="W168" s="4">
        <v>987.66899999999998</v>
      </c>
      <c r="X168" s="4">
        <v>136.79</v>
      </c>
      <c r="Y168">
        <v>11.28</v>
      </c>
      <c r="Z168">
        <v>2239.7887500000002</v>
      </c>
      <c r="AA168" t="s">
        <v>40</v>
      </c>
      <c r="AB168">
        <v>3</v>
      </c>
      <c r="AC168" t="s">
        <v>468</v>
      </c>
      <c r="AD168" s="5">
        <f t="shared" si="20"/>
        <v>0.13080175669866451</v>
      </c>
      <c r="AE168" s="5">
        <f t="shared" si="21"/>
        <v>3.845316568968183E-2</v>
      </c>
      <c r="AF168" s="5">
        <f t="shared" si="22"/>
        <v>2.0358623901355535E-2</v>
      </c>
      <c r="AG168" s="5">
        <f t="shared" si="23"/>
        <v>8.9831629391345924E-2</v>
      </c>
      <c r="AH168" s="5">
        <f t="shared" si="24"/>
        <v>1.1358547026820462</v>
      </c>
      <c r="AI168" s="5">
        <f t="shared" si="25"/>
        <v>3.0518555547402406</v>
      </c>
      <c r="AJ168" s="5">
        <f t="shared" si="26"/>
        <v>1.1028771788092204</v>
      </c>
      <c r="AK168" s="5">
        <f t="shared" si="27"/>
        <v>0.11284357931257855</v>
      </c>
      <c r="AL168" s="5">
        <f t="shared" si="28"/>
        <v>1.0938560209192143</v>
      </c>
      <c r="AM168" s="10">
        <f t="shared" si="29"/>
        <v>13.640101784436723</v>
      </c>
    </row>
    <row r="169" spans="1:39" x14ac:dyDescent="0.3">
      <c r="A169">
        <v>2248</v>
      </c>
      <c r="B169" t="s">
        <v>651</v>
      </c>
      <c r="C169" t="s">
        <v>70</v>
      </c>
      <c r="D169" s="1">
        <v>37271</v>
      </c>
      <c r="E169">
        <v>15</v>
      </c>
      <c r="F169" t="s">
        <v>652</v>
      </c>
      <c r="G169" s="4">
        <v>1078.6369999999999</v>
      </c>
      <c r="H169" s="4">
        <v>707.30600000000004</v>
      </c>
      <c r="I169" s="4">
        <v>7014.134</v>
      </c>
      <c r="J169" s="4">
        <v>1682.5229999999999</v>
      </c>
      <c r="K169" s="4">
        <v>4827.9129999999996</v>
      </c>
      <c r="L169" s="4">
        <v>0</v>
      </c>
      <c r="M169" s="4">
        <v>2787.3159999999998</v>
      </c>
      <c r="N169" s="4">
        <v>2040.597</v>
      </c>
      <c r="O169" s="4">
        <v>1103.248</v>
      </c>
      <c r="P169" s="4">
        <v>72.116</v>
      </c>
      <c r="Q169" s="4">
        <v>331.95800000000003</v>
      </c>
      <c r="R169" s="4">
        <v>27.452000000000002</v>
      </c>
      <c r="S169" s="4">
        <v>2567.424</v>
      </c>
      <c r="T169" s="4">
        <v>3119.2739999999999</v>
      </c>
      <c r="U169" s="4">
        <v>4911.92</v>
      </c>
      <c r="V169" s="4">
        <v>3381.0729999999999</v>
      </c>
      <c r="W169" s="4">
        <v>2260.9740000000002</v>
      </c>
      <c r="X169" s="4">
        <v>1189.5809999999999</v>
      </c>
      <c r="Y169">
        <v>34.25</v>
      </c>
      <c r="Z169">
        <v>2935.8870000000002</v>
      </c>
      <c r="AA169" t="s">
        <v>40</v>
      </c>
      <c r="AB169">
        <v>3</v>
      </c>
      <c r="AC169" t="s">
        <v>468</v>
      </c>
      <c r="AD169" s="5">
        <f t="shared" si="20"/>
        <v>0.26013213805920249</v>
      </c>
      <c r="AE169" s="5">
        <f t="shared" si="21"/>
        <v>0.1008401037105935</v>
      </c>
      <c r="AF169" s="5">
        <f t="shared" si="22"/>
        <v>9.654811984037134E-3</v>
      </c>
      <c r="AG169" s="5">
        <f t="shared" si="23"/>
        <v>0.41543775142917638</v>
      </c>
      <c r="AH169" s="5">
        <f t="shared" si="24"/>
        <v>1.5746997538529799</v>
      </c>
      <c r="AI169" s="5">
        <f t="shared" si="25"/>
        <v>23.330786510621774</v>
      </c>
      <c r="AJ169" s="5">
        <f t="shared" si="26"/>
        <v>1.7321010606619414</v>
      </c>
      <c r="AK169" s="5">
        <f t="shared" si="27"/>
        <v>0.34253876284630042</v>
      </c>
      <c r="AL169" s="5">
        <f t="shared" si="28"/>
        <v>1.5477681665669638</v>
      </c>
      <c r="AM169" s="10">
        <f t="shared" si="29"/>
        <v>3.437295066100754</v>
      </c>
    </row>
    <row r="170" spans="1:39" x14ac:dyDescent="0.3">
      <c r="A170">
        <v>2282</v>
      </c>
      <c r="B170" t="s">
        <v>655</v>
      </c>
      <c r="C170" t="s">
        <v>70</v>
      </c>
      <c r="D170" s="1">
        <v>36487</v>
      </c>
      <c r="E170">
        <v>53</v>
      </c>
      <c r="F170" t="s">
        <v>656</v>
      </c>
      <c r="G170" s="4">
        <v>61.283000000000001</v>
      </c>
      <c r="H170" s="4">
        <v>246.72800000000001</v>
      </c>
      <c r="I170" s="4">
        <v>6914.8789999999999</v>
      </c>
      <c r="J170" s="4">
        <v>373.733</v>
      </c>
      <c r="K170" s="4">
        <v>3163.9050000000002</v>
      </c>
      <c r="L170" s="4">
        <v>12.56</v>
      </c>
      <c r="M170" s="4">
        <v>2834.3760000000002</v>
      </c>
      <c r="N170" s="4">
        <v>329.529</v>
      </c>
      <c r="O170" s="4">
        <v>232.25899999999999</v>
      </c>
      <c r="P170" s="4">
        <v>508.74400000000003</v>
      </c>
      <c r="Q170" s="4">
        <v>0</v>
      </c>
      <c r="R170" s="4">
        <v>3.2069999999999999</v>
      </c>
      <c r="S170" s="4">
        <v>2574.3870000000002</v>
      </c>
      <c r="T170" s="4">
        <v>2834.3760000000002</v>
      </c>
      <c r="U170" s="4">
        <v>3726.2260000000001</v>
      </c>
      <c r="V170" s="4">
        <v>3506.0230000000001</v>
      </c>
      <c r="W170" s="4">
        <v>3413.5819999999999</v>
      </c>
      <c r="X170" s="4">
        <v>3121.0329999999999</v>
      </c>
      <c r="Y170">
        <v>10.029999999999999</v>
      </c>
      <c r="Z170">
        <v>3441.7159999999999</v>
      </c>
      <c r="AA170" t="s">
        <v>40</v>
      </c>
      <c r="AB170">
        <v>3</v>
      </c>
      <c r="AC170" t="s">
        <v>468</v>
      </c>
      <c r="AD170" s="5">
        <f t="shared" si="20"/>
        <v>1.6947148805302473E-2</v>
      </c>
      <c r="AE170" s="5">
        <f t="shared" si="21"/>
        <v>3.5680740038979718E-2</v>
      </c>
      <c r="AF170" s="5">
        <f t="shared" si="22"/>
        <v>1.1858534012305585E-3</v>
      </c>
      <c r="AG170" s="5">
        <f t="shared" si="23"/>
        <v>8.8435054663887805E-2</v>
      </c>
      <c r="AH170" s="5">
        <f t="shared" si="24"/>
        <v>1.3146547952706344</v>
      </c>
      <c r="AI170" s="5">
        <f t="shared" si="25"/>
        <v>0.73461898322142372</v>
      </c>
      <c r="AJ170" s="5">
        <f t="shared" si="26"/>
        <v>1.1162615686839008</v>
      </c>
      <c r="AK170" s="5">
        <f t="shared" si="27"/>
        <v>0.10029799588108719</v>
      </c>
      <c r="AL170" s="5">
        <f t="shared" si="28"/>
        <v>1.1162615686839008</v>
      </c>
      <c r="AM170" s="10">
        <f t="shared" si="29"/>
        <v>20.984128862710111</v>
      </c>
    </row>
    <row r="171" spans="1:39" x14ac:dyDescent="0.3">
      <c r="A171">
        <v>2318</v>
      </c>
      <c r="B171" t="s">
        <v>661</v>
      </c>
      <c r="C171" t="s">
        <v>70</v>
      </c>
      <c r="D171" s="1">
        <v>40998</v>
      </c>
      <c r="E171">
        <v>121</v>
      </c>
      <c r="F171" t="s">
        <v>662</v>
      </c>
      <c r="G171" s="4">
        <v>230.369</v>
      </c>
      <c r="H171" s="4">
        <v>527.11400000000003</v>
      </c>
      <c r="I171" s="4">
        <v>6799.625</v>
      </c>
      <c r="J171" s="4">
        <v>952.21600000000001</v>
      </c>
      <c r="K171" s="4">
        <v>3682.308</v>
      </c>
      <c r="L171" s="4">
        <v>0</v>
      </c>
      <c r="M171" s="4">
        <v>1799.231</v>
      </c>
      <c r="N171" s="4">
        <v>1883.077</v>
      </c>
      <c r="O171" s="4">
        <v>308.29599999999999</v>
      </c>
      <c r="P171" s="4">
        <v>399.75599999999997</v>
      </c>
      <c r="Q171" s="4">
        <v>371.39</v>
      </c>
      <c r="R171" s="4">
        <v>46.497999999999998</v>
      </c>
      <c r="S171" s="4">
        <v>1814.31</v>
      </c>
      <c r="T171" s="4">
        <v>2170.6210000000001</v>
      </c>
      <c r="U171" s="4">
        <v>4137.4920000000002</v>
      </c>
      <c r="V171" s="4">
        <v>2845.7930000000001</v>
      </c>
      <c r="W171" s="4">
        <v>2374.5320000000002</v>
      </c>
      <c r="X171" s="4">
        <v>1467.595</v>
      </c>
      <c r="Y171">
        <v>23.01</v>
      </c>
      <c r="Z171">
        <v>2706.3530000000001</v>
      </c>
      <c r="AA171" t="s">
        <v>40</v>
      </c>
      <c r="AB171">
        <v>3</v>
      </c>
      <c r="AC171" t="s">
        <v>468</v>
      </c>
      <c r="AD171" s="5">
        <f t="shared" si="20"/>
        <v>6.5977258553818155E-2</v>
      </c>
      <c r="AE171" s="5">
        <f t="shared" si="21"/>
        <v>7.7521039763222235E-2</v>
      </c>
      <c r="AF171" s="5">
        <f t="shared" si="22"/>
        <v>2.3336915996788901E-2</v>
      </c>
      <c r="AG171" s="5">
        <f t="shared" si="23"/>
        <v>0.4551252304536178</v>
      </c>
      <c r="AH171" s="5">
        <f t="shared" si="24"/>
        <v>1.9061328532249526</v>
      </c>
      <c r="AI171" s="5">
        <f t="shared" si="25"/>
        <v>2.3819930157396012</v>
      </c>
      <c r="AJ171" s="5">
        <f t="shared" si="26"/>
        <v>2.0466010201024769</v>
      </c>
      <c r="AK171" s="5">
        <f t="shared" si="27"/>
        <v>0.23014328486919128</v>
      </c>
      <c r="AL171" s="5">
        <f t="shared" si="28"/>
        <v>1.696430652794753</v>
      </c>
      <c r="AM171" s="10">
        <f t="shared" si="29"/>
        <v>3.6109118214496805</v>
      </c>
    </row>
    <row r="172" spans="1:39" x14ac:dyDescent="0.3">
      <c r="A172">
        <v>2383</v>
      </c>
      <c r="B172" t="s">
        <v>663</v>
      </c>
      <c r="C172" t="s">
        <v>93</v>
      </c>
      <c r="D172" s="1">
        <v>36223</v>
      </c>
      <c r="E172">
        <v>15</v>
      </c>
      <c r="F172" t="s">
        <v>664</v>
      </c>
      <c r="G172" s="4">
        <v>220.13499999999999</v>
      </c>
      <c r="H172" s="4">
        <v>498.512</v>
      </c>
      <c r="I172" s="4">
        <v>6588.143</v>
      </c>
      <c r="J172" s="4">
        <v>1464.704</v>
      </c>
      <c r="K172" s="4">
        <v>3203.9850000000001</v>
      </c>
      <c r="L172" s="4">
        <v>253</v>
      </c>
      <c r="M172" s="4">
        <v>1045.0909999999999</v>
      </c>
      <c r="N172" s="4">
        <v>2158.8939999999998</v>
      </c>
      <c r="O172" s="4">
        <v>312.2</v>
      </c>
      <c r="P172" s="4">
        <v>263.85000000000002</v>
      </c>
      <c r="Q172" s="4">
        <v>760.78899999999999</v>
      </c>
      <c r="R172" s="4">
        <v>133.321</v>
      </c>
      <c r="S172" s="4">
        <v>874.97299999999996</v>
      </c>
      <c r="T172" s="4">
        <v>1805.88</v>
      </c>
      <c r="U172" s="4">
        <v>3513.0650000000001</v>
      </c>
      <c r="V172" s="4">
        <v>2603.4749999999999</v>
      </c>
      <c r="W172" s="4">
        <v>2453.105</v>
      </c>
      <c r="X172" s="4">
        <v>2151.4639999999999</v>
      </c>
      <c r="Y172">
        <v>41.69</v>
      </c>
      <c r="Z172">
        <v>2680.2772500000001</v>
      </c>
      <c r="AA172" t="s">
        <v>40</v>
      </c>
      <c r="AB172">
        <v>3</v>
      </c>
      <c r="AC172" t="s">
        <v>468</v>
      </c>
      <c r="AD172" s="5">
        <f t="shared" si="20"/>
        <v>7.1980237192922791E-2</v>
      </c>
      <c r="AE172" s="5">
        <f t="shared" si="21"/>
        <v>7.5668060028448073E-2</v>
      </c>
      <c r="AF172" s="5">
        <f t="shared" si="22"/>
        <v>9.9461626579301438E-2</v>
      </c>
      <c r="AG172" s="5">
        <f t="shared" si="23"/>
        <v>0.61453289364130748</v>
      </c>
      <c r="AH172" s="5">
        <f t="shared" si="24"/>
        <v>1.9453479743947548</v>
      </c>
      <c r="AI172" s="5">
        <f t="shared" si="25"/>
        <v>5.5512753458404394</v>
      </c>
      <c r="AJ172" s="5">
        <f t="shared" si="26"/>
        <v>3.0657473846775072</v>
      </c>
      <c r="AK172" s="5">
        <f t="shared" si="27"/>
        <v>0.41693051509152262</v>
      </c>
      <c r="AL172" s="5">
        <f t="shared" si="28"/>
        <v>1.7741959598644428</v>
      </c>
      <c r="AM172" s="10">
        <f t="shared" si="29"/>
        <v>3.0516287506473225</v>
      </c>
    </row>
    <row r="173" spans="1:39" x14ac:dyDescent="0.3">
      <c r="A173">
        <v>2457</v>
      </c>
      <c r="B173" t="s">
        <v>665</v>
      </c>
      <c r="C173" t="s">
        <v>48</v>
      </c>
      <c r="D173" s="1">
        <v>36229</v>
      </c>
      <c r="E173">
        <v>110</v>
      </c>
      <c r="F173" t="s">
        <v>666</v>
      </c>
      <c r="G173" s="4">
        <v>357.346</v>
      </c>
      <c r="H173" s="4">
        <v>816.58500000000004</v>
      </c>
      <c r="I173" s="4">
        <v>6389.5569999999998</v>
      </c>
      <c r="J173" s="4">
        <v>2442.9859999999999</v>
      </c>
      <c r="K173" s="4">
        <v>3100.9850000000001</v>
      </c>
      <c r="L173" s="4">
        <v>128.02099999999999</v>
      </c>
      <c r="M173" s="4">
        <v>991.74900000000002</v>
      </c>
      <c r="N173" s="4">
        <v>2109.2359999999999</v>
      </c>
      <c r="O173" s="4">
        <v>650.92200000000003</v>
      </c>
      <c r="P173" s="4">
        <v>427.85899999999998</v>
      </c>
      <c r="Q173" s="4">
        <v>0</v>
      </c>
      <c r="R173" s="4">
        <v>8.82</v>
      </c>
      <c r="S173" s="4">
        <v>1032.693</v>
      </c>
      <c r="T173" s="4">
        <v>991.74900000000002</v>
      </c>
      <c r="U173" s="4">
        <v>3588.7429999999999</v>
      </c>
      <c r="V173" s="4">
        <v>3305.34</v>
      </c>
      <c r="W173" s="4">
        <v>3051.614</v>
      </c>
      <c r="X173" s="4">
        <v>3433.107</v>
      </c>
      <c r="Y173">
        <v>68.069999999999993</v>
      </c>
      <c r="Z173">
        <v>3344.701</v>
      </c>
      <c r="AA173" t="s">
        <v>40</v>
      </c>
      <c r="AB173">
        <v>3</v>
      </c>
      <c r="AC173" t="s">
        <v>468</v>
      </c>
      <c r="AD173" s="5">
        <f t="shared" si="20"/>
        <v>0.10366744931849529</v>
      </c>
      <c r="AE173" s="5">
        <f t="shared" si="21"/>
        <v>0.12779993980803364</v>
      </c>
      <c r="AF173" s="5">
        <f t="shared" si="22"/>
        <v>8.7135121677973486E-3</v>
      </c>
      <c r="AG173" s="5">
        <f t="shared" si="23"/>
        <v>0.58773670892565999</v>
      </c>
      <c r="AH173" s="5">
        <f t="shared" si="24"/>
        <v>3.6186000691707276</v>
      </c>
      <c r="AI173" s="5">
        <f t="shared" si="25"/>
        <v>5.7097922446413421</v>
      </c>
      <c r="AJ173" s="5">
        <f t="shared" si="26"/>
        <v>3.1267840955725692</v>
      </c>
      <c r="AK173" s="5">
        <f t="shared" si="27"/>
        <v>0.68073584539210519</v>
      </c>
      <c r="AL173" s="5">
        <f t="shared" si="28"/>
        <v>3.1267840955725692</v>
      </c>
      <c r="AM173" s="10">
        <f t="shared" si="29"/>
        <v>3.029322939680529</v>
      </c>
    </row>
    <row r="174" spans="1:39" x14ac:dyDescent="0.3">
      <c r="A174">
        <v>2465</v>
      </c>
      <c r="B174" t="s">
        <v>667</v>
      </c>
      <c r="C174" t="s">
        <v>93</v>
      </c>
      <c r="D174" s="1">
        <v>41621</v>
      </c>
      <c r="E174">
        <v>35</v>
      </c>
      <c r="F174" t="s">
        <v>668</v>
      </c>
      <c r="G174" s="4">
        <v>26.231999999999999</v>
      </c>
      <c r="H174" s="4">
        <v>386.952</v>
      </c>
      <c r="I174" s="4">
        <v>6367.902</v>
      </c>
      <c r="J174" s="4">
        <v>313.73200000000003</v>
      </c>
      <c r="K174" s="4">
        <v>1931.3589999999999</v>
      </c>
      <c r="L174" s="4">
        <v>0</v>
      </c>
      <c r="M174" s="4">
        <v>1446.3789999999999</v>
      </c>
      <c r="N174" s="4">
        <v>484.98</v>
      </c>
      <c r="O174" s="4">
        <v>337.79199999999997</v>
      </c>
      <c r="P174" s="4">
        <v>1124.768</v>
      </c>
      <c r="Q174" s="4">
        <v>351.048</v>
      </c>
      <c r="R174" s="4">
        <v>7.3550000000000004</v>
      </c>
      <c r="S174" s="4">
        <v>1560.7</v>
      </c>
      <c r="T174" s="4">
        <v>1797.4269999999999</v>
      </c>
      <c r="U174" s="4">
        <v>3058.627</v>
      </c>
      <c r="V174" s="4">
        <v>3035.0079999999998</v>
      </c>
      <c r="W174" s="4">
        <v>1992.7339999999999</v>
      </c>
      <c r="X174" s="4">
        <v>1183.3440000000001</v>
      </c>
      <c r="Y174">
        <v>10.26</v>
      </c>
      <c r="Z174">
        <v>2317.4282499999999</v>
      </c>
      <c r="AA174" t="s">
        <v>40</v>
      </c>
      <c r="AB174">
        <v>3</v>
      </c>
      <c r="AC174" t="s">
        <v>468</v>
      </c>
      <c r="AD174" s="5">
        <f t="shared" si="20"/>
        <v>8.6096394024256454E-3</v>
      </c>
      <c r="AE174" s="5">
        <f t="shared" si="21"/>
        <v>6.0766010532197261E-2</v>
      </c>
      <c r="AF174" s="5">
        <f t="shared" si="22"/>
        <v>4.380418012779148E-3</v>
      </c>
      <c r="AG174" s="5">
        <f t="shared" si="23"/>
        <v>0.1585613414123396</v>
      </c>
      <c r="AH174" s="5">
        <f t="shared" si="24"/>
        <v>1.701669664470379</v>
      </c>
      <c r="AI174" s="5">
        <f t="shared" si="25"/>
        <v>0.27893041053799539</v>
      </c>
      <c r="AJ174" s="5">
        <f t="shared" si="26"/>
        <v>1.3353063063000776</v>
      </c>
      <c r="AK174" s="5">
        <f t="shared" si="27"/>
        <v>0.10257282107298472</v>
      </c>
      <c r="AL174" s="5">
        <f t="shared" si="28"/>
        <v>1.0745131791165927</v>
      </c>
      <c r="AM174" s="10">
        <f t="shared" si="29"/>
        <v>13.130236298404057</v>
      </c>
    </row>
    <row r="175" spans="1:39" x14ac:dyDescent="0.3">
      <c r="A175">
        <v>2723</v>
      </c>
      <c r="B175" t="s">
        <v>669</v>
      </c>
      <c r="C175" t="s">
        <v>70</v>
      </c>
      <c r="D175" s="1">
        <v>43209</v>
      </c>
      <c r="E175">
        <v>14</v>
      </c>
      <c r="F175" t="s">
        <v>670</v>
      </c>
      <c r="G175" s="4">
        <v>264.23399999999998</v>
      </c>
      <c r="H175" s="4">
        <v>478.11700000000002</v>
      </c>
      <c r="I175" s="4">
        <v>5795.7020000000002</v>
      </c>
      <c r="J175" s="4">
        <v>1026.4570000000001</v>
      </c>
      <c r="K175" s="4">
        <v>3825.9229999999998</v>
      </c>
      <c r="L175" s="4">
        <v>255</v>
      </c>
      <c r="M175" s="4">
        <v>2901.5729999999999</v>
      </c>
      <c r="N175" s="4">
        <v>924.35</v>
      </c>
      <c r="O175" s="4">
        <v>264.23399999999998</v>
      </c>
      <c r="P175" s="4">
        <v>448.875</v>
      </c>
      <c r="Q175" s="4">
        <v>411.06</v>
      </c>
      <c r="R175" s="4">
        <v>87.363</v>
      </c>
      <c r="S175" s="4">
        <v>1968.5050000000001</v>
      </c>
      <c r="T175" s="4">
        <v>3312.6329999999998</v>
      </c>
      <c r="U175" s="4">
        <v>4374.0680000000002</v>
      </c>
      <c r="V175" s="4">
        <v>2756.1579999999999</v>
      </c>
      <c r="W175" s="4">
        <v>1550.6849999999999</v>
      </c>
      <c r="X175" s="4">
        <v>711.745</v>
      </c>
      <c r="Y175">
        <v>23.47</v>
      </c>
      <c r="Z175">
        <v>2348.1640000000002</v>
      </c>
      <c r="AA175" t="s">
        <v>40</v>
      </c>
      <c r="AB175">
        <v>3</v>
      </c>
      <c r="AC175" t="s">
        <v>468</v>
      </c>
      <c r="AD175" s="5">
        <f t="shared" si="20"/>
        <v>7.4116584803903818E-2</v>
      </c>
      <c r="AE175" s="5">
        <f t="shared" si="21"/>
        <v>8.2495097228946559E-2</v>
      </c>
      <c r="AF175" s="5">
        <f t="shared" si="22"/>
        <v>3.3084914652864589E-2</v>
      </c>
      <c r="AG175" s="5">
        <f t="shared" si="23"/>
        <v>0.21132501826674849</v>
      </c>
      <c r="AH175" s="5">
        <f t="shared" si="24"/>
        <v>1.3204203423681404</v>
      </c>
      <c r="AI175" s="5">
        <f t="shared" si="25"/>
        <v>2.2867323865218605</v>
      </c>
      <c r="AJ175" s="5">
        <f t="shared" si="26"/>
        <v>1.3185685833167045</v>
      </c>
      <c r="AK175" s="5">
        <f t="shared" si="27"/>
        <v>0.23466873400230634</v>
      </c>
      <c r="AL175" s="5">
        <f t="shared" si="28"/>
        <v>1.1549492503395336</v>
      </c>
      <c r="AM175" s="10">
        <f t="shared" si="29"/>
        <v>6.2700297506355822</v>
      </c>
    </row>
    <row r="176" spans="1:39" x14ac:dyDescent="0.3">
      <c r="A176">
        <v>2766</v>
      </c>
      <c r="B176" t="s">
        <v>671</v>
      </c>
      <c r="C176" t="s">
        <v>126</v>
      </c>
      <c r="D176" s="1">
        <v>43838</v>
      </c>
      <c r="E176">
        <v>11</v>
      </c>
      <c r="F176" t="s">
        <v>672</v>
      </c>
      <c r="G176" s="4">
        <v>165.434</v>
      </c>
      <c r="H176" s="4">
        <v>399.64400000000001</v>
      </c>
      <c r="I176" s="4">
        <v>5710.9520000000002</v>
      </c>
      <c r="J176" s="4">
        <v>300.95299999999997</v>
      </c>
      <c r="K176" s="4">
        <v>5272.1729999999998</v>
      </c>
      <c r="L176" s="4">
        <v>169.40700000000001</v>
      </c>
      <c r="M176" s="4">
        <v>4458.3029999999999</v>
      </c>
      <c r="N176" s="4">
        <v>813.87</v>
      </c>
      <c r="O176" s="4">
        <v>266.91199999999998</v>
      </c>
      <c r="P176" s="4">
        <v>895.48699999999997</v>
      </c>
      <c r="Q176" s="4">
        <v>610.255</v>
      </c>
      <c r="R176" s="4">
        <v>51.445999999999998</v>
      </c>
      <c r="S176" s="4">
        <v>2771.4609999999998</v>
      </c>
      <c r="T176" s="4">
        <v>5068.558</v>
      </c>
      <c r="U176" s="4">
        <v>6181.1049999999996</v>
      </c>
      <c r="V176" s="4">
        <v>3262.0909999999999</v>
      </c>
      <c r="W176" s="4">
        <v>1256.126</v>
      </c>
      <c r="X176" s="4">
        <v>867.53200000000004</v>
      </c>
      <c r="Y176">
        <v>4.87</v>
      </c>
      <c r="Z176">
        <v>2891.7134999999998</v>
      </c>
      <c r="AA176" t="s">
        <v>40</v>
      </c>
      <c r="AB176">
        <v>3</v>
      </c>
      <c r="AC176" t="s">
        <v>468</v>
      </c>
      <c r="AD176" s="5">
        <f t="shared" si="20"/>
        <v>3.5037713926513864E-2</v>
      </c>
      <c r="AE176" s="5">
        <f t="shared" si="21"/>
        <v>6.9978525471760228E-2</v>
      </c>
      <c r="AF176" s="5">
        <f t="shared" si="22"/>
        <v>1.3123947786351026E-2</v>
      </c>
      <c r="AG176" s="5">
        <f t="shared" si="23"/>
        <v>0.13167063170743742</v>
      </c>
      <c r="AH176" s="5">
        <f t="shared" si="24"/>
        <v>1.2194997078064411</v>
      </c>
      <c r="AI176" s="5">
        <f t="shared" si="25"/>
        <v>0.33607746399445215</v>
      </c>
      <c r="AJ176" s="5">
        <f t="shared" si="26"/>
        <v>1.1825515224066196</v>
      </c>
      <c r="AK176" s="5">
        <f t="shared" si="27"/>
        <v>4.8689190686778495E-2</v>
      </c>
      <c r="AL176" s="5">
        <f t="shared" si="28"/>
        <v>1.0401721752024935</v>
      </c>
      <c r="AM176" s="10">
        <f t="shared" si="29"/>
        <v>7.0170322041603699</v>
      </c>
    </row>
    <row r="177" spans="1:39" x14ac:dyDescent="0.3">
      <c r="A177">
        <v>2767</v>
      </c>
      <c r="B177" t="s">
        <v>673</v>
      </c>
      <c r="C177" t="s">
        <v>70</v>
      </c>
      <c r="D177" s="1">
        <v>38019</v>
      </c>
      <c r="E177">
        <v>34</v>
      </c>
      <c r="F177" t="s">
        <v>674</v>
      </c>
      <c r="G177" s="4">
        <v>24.436</v>
      </c>
      <c r="H177" s="4">
        <v>181.11500000000001</v>
      </c>
      <c r="I177" s="4">
        <v>5709.1660000000002</v>
      </c>
      <c r="J177" s="4">
        <v>267.07600000000002</v>
      </c>
      <c r="K177" s="4">
        <v>4113.7669999999998</v>
      </c>
      <c r="L177" s="4">
        <v>0</v>
      </c>
      <c r="M177" s="4">
        <v>3905.9630000000002</v>
      </c>
      <c r="N177" s="4">
        <v>207.804</v>
      </c>
      <c r="O177" s="4">
        <v>89.206000000000003</v>
      </c>
      <c r="P177" s="4">
        <v>297.85500000000002</v>
      </c>
      <c r="Q177" s="4">
        <v>190.70099999999999</v>
      </c>
      <c r="R177" s="4">
        <v>15.881</v>
      </c>
      <c r="S177" s="4">
        <v>2769.596</v>
      </c>
      <c r="T177" s="4">
        <v>4096.6639999999998</v>
      </c>
      <c r="U177" s="4">
        <v>4515.1180000000004</v>
      </c>
      <c r="V177" s="4">
        <v>3185.4920000000002</v>
      </c>
      <c r="W177" s="4">
        <v>2010.067</v>
      </c>
      <c r="X177" s="4">
        <v>1440.3119999999999</v>
      </c>
      <c r="Y177">
        <v>5.92</v>
      </c>
      <c r="Z177">
        <v>2787.7472499999999</v>
      </c>
      <c r="AA177" t="s">
        <v>40</v>
      </c>
      <c r="AB177">
        <v>3</v>
      </c>
      <c r="AC177" t="s">
        <v>468</v>
      </c>
      <c r="AD177" s="5">
        <f t="shared" si="20"/>
        <v>6.346510211528697E-3</v>
      </c>
      <c r="AE177" s="5">
        <f t="shared" si="21"/>
        <v>3.1723547712573082E-2</v>
      </c>
      <c r="AF177" s="5">
        <f t="shared" si="22"/>
        <v>4.6258079361981633E-3</v>
      </c>
      <c r="AG177" s="5">
        <f t="shared" si="23"/>
        <v>4.6024046326142522E-2</v>
      </c>
      <c r="AH177" s="5">
        <f t="shared" si="24"/>
        <v>1.1021450624215217</v>
      </c>
      <c r="AI177" s="5">
        <f t="shared" si="25"/>
        <v>0.89666448439677027</v>
      </c>
      <c r="AJ177" s="5">
        <f t="shared" si="26"/>
        <v>1.053201732837715</v>
      </c>
      <c r="AK177" s="5">
        <f t="shared" si="27"/>
        <v>5.9151499473546428E-2</v>
      </c>
      <c r="AL177" s="5">
        <f t="shared" si="28"/>
        <v>1.0041748603253771</v>
      </c>
      <c r="AM177" s="10">
        <f t="shared" si="29"/>
        <v>27.473802236723067</v>
      </c>
    </row>
    <row r="178" spans="1:39" x14ac:dyDescent="0.3">
      <c r="A178">
        <v>2309</v>
      </c>
      <c r="B178" t="s">
        <v>657</v>
      </c>
      <c r="C178" t="s">
        <v>93</v>
      </c>
      <c r="D178" s="1">
        <v>43774</v>
      </c>
      <c r="E178">
        <v>22</v>
      </c>
      <c r="F178" t="s">
        <v>658</v>
      </c>
      <c r="G178" s="4">
        <v>9.58</v>
      </c>
      <c r="H178" s="4">
        <v>56.115000000000002</v>
      </c>
      <c r="I178" s="4">
        <v>6834.2820000000002</v>
      </c>
      <c r="J178" s="4">
        <v>200.50899999999999</v>
      </c>
      <c r="K178" s="4">
        <v>3143.442</v>
      </c>
      <c r="L178" s="4">
        <v>7.89</v>
      </c>
      <c r="M178" s="4">
        <v>2847.9160000000002</v>
      </c>
      <c r="N178" s="4">
        <v>295.52600000000001</v>
      </c>
      <c r="O178" s="4">
        <v>18.405999999999999</v>
      </c>
      <c r="P178" s="4">
        <v>42.149000000000001</v>
      </c>
      <c r="Q178" s="4">
        <v>3.6999999999999998E-2</v>
      </c>
      <c r="R178" s="4">
        <v>2.6190000000000002</v>
      </c>
      <c r="S178" s="4">
        <v>1211.5820000000001</v>
      </c>
      <c r="T178" s="4">
        <v>2847.953</v>
      </c>
      <c r="U178" s="4">
        <v>3209.0709999999999</v>
      </c>
      <c r="V178" s="4">
        <v>1549.546</v>
      </c>
      <c r="W178" s="4">
        <v>401.91500000000002</v>
      </c>
      <c r="X178" s="4">
        <v>175.828</v>
      </c>
      <c r="Y178">
        <v>6.25</v>
      </c>
      <c r="Z178">
        <v>1334.09</v>
      </c>
      <c r="AA178" t="s">
        <v>40</v>
      </c>
      <c r="AB178">
        <v>2</v>
      </c>
      <c r="AC178" t="s">
        <v>468</v>
      </c>
      <c r="AD178" s="5">
        <f t="shared" si="20"/>
        <v>4.0263799334974842E-3</v>
      </c>
      <c r="AE178" s="5">
        <f t="shared" si="21"/>
        <v>8.2108113185847473E-3</v>
      </c>
      <c r="AF178" s="5">
        <f t="shared" si="22"/>
        <v>1.2902955634081245E-3</v>
      </c>
      <c r="AG178" s="5">
        <f t="shared" si="23"/>
        <v>9.2090826285862792E-2</v>
      </c>
      <c r="AH178" s="5">
        <f t="shared" si="24"/>
        <v>1.1267991431038362</v>
      </c>
      <c r="AI178" s="5">
        <f t="shared" si="25"/>
        <v>4.7571472632802676</v>
      </c>
      <c r="AJ178" s="5">
        <f t="shared" si="26"/>
        <v>1.1037692122941827</v>
      </c>
      <c r="AK178" s="5">
        <f t="shared" si="27"/>
        <v>6.2481945709521536E-2</v>
      </c>
      <c r="AL178" s="5">
        <f t="shared" si="28"/>
        <v>1.1037548723591997</v>
      </c>
      <c r="AM178" s="10">
        <f t="shared" si="29"/>
        <v>23.125823108626651</v>
      </c>
    </row>
    <row r="179" spans="1:39" x14ac:dyDescent="0.3">
      <c r="A179">
        <v>4422</v>
      </c>
      <c r="B179" t="s">
        <v>707</v>
      </c>
      <c r="C179" t="s">
        <v>70</v>
      </c>
      <c r="D179" s="1">
        <v>34435</v>
      </c>
      <c r="E179">
        <v>12</v>
      </c>
      <c r="F179" t="s">
        <v>708</v>
      </c>
      <c r="G179" s="4">
        <v>37.43</v>
      </c>
      <c r="H179" s="4">
        <v>66.926000000000002</v>
      </c>
      <c r="I179" s="4">
        <v>3673.451</v>
      </c>
      <c r="J179" s="4">
        <v>549.62400000000002</v>
      </c>
      <c r="K179" s="4">
        <v>1562.623</v>
      </c>
      <c r="L179" s="4">
        <v>434.23</v>
      </c>
      <c r="M179" s="4">
        <v>1175.7940000000001</v>
      </c>
      <c r="N179" s="4">
        <v>386.82900000000001</v>
      </c>
      <c r="O179" s="4">
        <v>43.533999999999999</v>
      </c>
      <c r="P179" s="4">
        <v>191.46199999999999</v>
      </c>
      <c r="Q179" s="4">
        <v>4.5289999999999999</v>
      </c>
      <c r="R179" s="4">
        <v>0.41</v>
      </c>
      <c r="S179" s="4">
        <v>488.20499999999998</v>
      </c>
      <c r="T179" s="4">
        <v>1180.3230000000001</v>
      </c>
      <c r="U179" s="4">
        <v>1756.847</v>
      </c>
      <c r="V179" s="4">
        <v>1011.778</v>
      </c>
      <c r="W179" s="4">
        <v>843.04499999999996</v>
      </c>
      <c r="X179" s="4">
        <v>681.45899999999995</v>
      </c>
      <c r="Y179">
        <v>31.28</v>
      </c>
      <c r="Z179">
        <v>1073.28225</v>
      </c>
      <c r="AA179" t="s">
        <v>40</v>
      </c>
      <c r="AB179">
        <v>2</v>
      </c>
      <c r="AC179" t="s">
        <v>468</v>
      </c>
      <c r="AD179" s="5">
        <f t="shared" si="20"/>
        <v>2.7038692491760351E-2</v>
      </c>
      <c r="AE179" s="5">
        <f t="shared" si="21"/>
        <v>1.8218835639838397E-2</v>
      </c>
      <c r="AF179" s="5">
        <f t="shared" si="22"/>
        <v>4.9145114735862981E-4</v>
      </c>
      <c r="AG179" s="5">
        <f t="shared" si="23"/>
        <v>0.22018365856560076</v>
      </c>
      <c r="AH179" s="5">
        <f t="shared" si="24"/>
        <v>1.4884459592840265</v>
      </c>
      <c r="AI179" s="5">
        <f t="shared" si="25"/>
        <v>2.87066885334949</v>
      </c>
      <c r="AJ179" s="5">
        <f t="shared" si="26"/>
        <v>1.3289938543656457</v>
      </c>
      <c r="AK179" s="5">
        <f t="shared" si="27"/>
        <v>0.31284682160711774</v>
      </c>
      <c r="AL179" s="5">
        <f t="shared" si="28"/>
        <v>1.3238943916199208</v>
      </c>
      <c r="AM179" s="10">
        <f t="shared" si="29"/>
        <v>9.4963174942933435</v>
      </c>
    </row>
    <row r="180" spans="1:39" x14ac:dyDescent="0.3">
      <c r="A180">
        <v>4738</v>
      </c>
      <c r="B180" t="s">
        <v>733</v>
      </c>
      <c r="C180" t="s">
        <v>61</v>
      </c>
      <c r="D180" s="1">
        <v>37606</v>
      </c>
      <c r="E180">
        <v>12</v>
      </c>
      <c r="F180" t="s">
        <v>734</v>
      </c>
      <c r="G180" s="4">
        <v>61.853000000000002</v>
      </c>
      <c r="H180" s="4">
        <v>178.26400000000001</v>
      </c>
      <c r="I180" s="4">
        <v>3438.665</v>
      </c>
      <c r="J180" s="4">
        <v>550.85299999999995</v>
      </c>
      <c r="K180" s="4">
        <v>739.30799999999999</v>
      </c>
      <c r="L180" s="4">
        <v>4.7699999999999996</v>
      </c>
      <c r="M180" s="4">
        <v>364.87900000000002</v>
      </c>
      <c r="N180" s="4">
        <v>374.42899999999997</v>
      </c>
      <c r="O180" s="4">
        <v>123.547</v>
      </c>
      <c r="P180" s="4">
        <v>359.95600000000002</v>
      </c>
      <c r="Q180" s="4">
        <v>165.35400000000001</v>
      </c>
      <c r="R180" s="4">
        <v>18.978999999999999</v>
      </c>
      <c r="S180" s="4">
        <v>901.18299999999999</v>
      </c>
      <c r="T180" s="4">
        <v>530.23299999999995</v>
      </c>
      <c r="U180" s="4">
        <v>1111.953</v>
      </c>
      <c r="V180" s="4">
        <v>1506.3520000000001</v>
      </c>
      <c r="W180" s="4">
        <v>1134.4929999999999</v>
      </c>
      <c r="X180" s="4">
        <v>1113.1099999999999</v>
      </c>
      <c r="Y180">
        <v>49.54</v>
      </c>
      <c r="Z180">
        <v>1216.4770000000001</v>
      </c>
      <c r="AA180" t="s">
        <v>40</v>
      </c>
      <c r="AB180">
        <v>2</v>
      </c>
      <c r="AC180" t="s">
        <v>468</v>
      </c>
      <c r="AD180" s="5">
        <f t="shared" si="20"/>
        <v>4.7246596557696675E-2</v>
      </c>
      <c r="AE180" s="5">
        <f t="shared" si="21"/>
        <v>5.1841048779104684E-2</v>
      </c>
      <c r="AF180" s="5">
        <f t="shared" si="22"/>
        <v>2.65177977610981E-2</v>
      </c>
      <c r="AG180" s="5">
        <f t="shared" si="23"/>
        <v>0.33673095895240174</v>
      </c>
      <c r="AH180" s="5">
        <f t="shared" si="24"/>
        <v>2.0971025945197681</v>
      </c>
      <c r="AI180" s="5">
        <f t="shared" si="25"/>
        <v>1.5303342630765981</v>
      </c>
      <c r="AJ180" s="5">
        <f t="shared" si="26"/>
        <v>2.026173060110338</v>
      </c>
      <c r="AK180" s="5">
        <f t="shared" si="27"/>
        <v>0.49539234122305525</v>
      </c>
      <c r="AL180" s="5">
        <f t="shared" si="28"/>
        <v>1.3943077854452666</v>
      </c>
      <c r="AM180" s="10">
        <f t="shared" si="29"/>
        <v>9.1837571341963375</v>
      </c>
    </row>
    <row r="181" spans="1:39" x14ac:dyDescent="0.3">
      <c r="A181">
        <v>4861</v>
      </c>
      <c r="B181" t="s">
        <v>735</v>
      </c>
      <c r="C181" t="s">
        <v>38</v>
      </c>
      <c r="D181" s="1">
        <v>39043</v>
      </c>
      <c r="E181">
        <v>24</v>
      </c>
      <c r="F181" t="s">
        <v>736</v>
      </c>
      <c r="G181" s="4">
        <v>18.408999999999999</v>
      </c>
      <c r="H181" s="4">
        <v>183.851</v>
      </c>
      <c r="I181" s="4">
        <v>3349.672</v>
      </c>
      <c r="J181" s="4">
        <v>373.37</v>
      </c>
      <c r="K181" s="4">
        <v>2130.8049999999998</v>
      </c>
      <c r="L181" s="4">
        <v>38.164999999999999</v>
      </c>
      <c r="M181" s="4">
        <v>1756.59</v>
      </c>
      <c r="N181" s="4">
        <v>374.21499999999997</v>
      </c>
      <c r="O181" s="4">
        <v>57.537999999999997</v>
      </c>
      <c r="P181" s="4">
        <v>120.14700000000001</v>
      </c>
      <c r="Q181" s="4">
        <v>21.373000000000001</v>
      </c>
      <c r="R181" s="4">
        <v>104.574</v>
      </c>
      <c r="S181" s="4">
        <v>963.47400000000005</v>
      </c>
      <c r="T181" s="4">
        <v>1777.963</v>
      </c>
      <c r="U181" s="4">
        <v>2295.895</v>
      </c>
      <c r="V181" s="4">
        <v>1434.895</v>
      </c>
      <c r="W181" s="4">
        <v>1035.604</v>
      </c>
      <c r="X181" s="4">
        <v>594.02</v>
      </c>
      <c r="Y181">
        <v>16.260000000000002</v>
      </c>
      <c r="Z181">
        <v>1340.1034999999999</v>
      </c>
      <c r="AA181" t="s">
        <v>40</v>
      </c>
      <c r="AB181">
        <v>2</v>
      </c>
      <c r="AC181" t="s">
        <v>468</v>
      </c>
      <c r="AD181" s="5">
        <f t="shared" si="20"/>
        <v>9.8686873289571368E-3</v>
      </c>
      <c r="AE181" s="5">
        <f t="shared" si="21"/>
        <v>5.4886269461606983E-2</v>
      </c>
      <c r="AF181" s="5">
        <f t="shared" si="22"/>
        <v>7.6291375654446922E-2</v>
      </c>
      <c r="AG181" s="5">
        <f t="shared" si="23"/>
        <v>0.16299308112958127</v>
      </c>
      <c r="AH181" s="5">
        <f t="shared" si="24"/>
        <v>1.2913063995145007</v>
      </c>
      <c r="AI181" s="5">
        <f t="shared" si="25"/>
        <v>3.1076098446070231</v>
      </c>
      <c r="AJ181" s="5">
        <f t="shared" si="26"/>
        <v>1.2130349142372436</v>
      </c>
      <c r="AK181" s="5">
        <f t="shared" si="27"/>
        <v>0.16262503293922415</v>
      </c>
      <c r="AL181" s="5">
        <f t="shared" si="28"/>
        <v>1.198452948683409</v>
      </c>
      <c r="AM181" s="10">
        <f t="shared" si="29"/>
        <v>8.9511965046831374</v>
      </c>
    </row>
    <row r="182" spans="1:39" x14ac:dyDescent="0.3">
      <c r="A182">
        <v>4882</v>
      </c>
      <c r="B182" t="s">
        <v>739</v>
      </c>
      <c r="C182" t="s">
        <v>70</v>
      </c>
      <c r="D182" s="1">
        <v>42998</v>
      </c>
      <c r="E182">
        <v>63</v>
      </c>
      <c r="F182" t="s">
        <v>740</v>
      </c>
      <c r="G182" s="4">
        <v>-75.421000000000006</v>
      </c>
      <c r="H182" s="4">
        <v>175.16</v>
      </c>
      <c r="I182" s="4">
        <v>3333.8519999999999</v>
      </c>
      <c r="J182" s="4">
        <v>476.57299999999998</v>
      </c>
      <c r="K182" s="4">
        <v>920.88499999999999</v>
      </c>
      <c r="L182" s="4">
        <v>0</v>
      </c>
      <c r="M182" s="4">
        <v>1308.386</v>
      </c>
      <c r="N182" s="4">
        <v>-387.50099999999998</v>
      </c>
      <c r="O182" s="4">
        <v>61.865000000000002</v>
      </c>
      <c r="P182" s="4">
        <v>857.86199999999997</v>
      </c>
      <c r="Q182" s="4">
        <v>51.98</v>
      </c>
      <c r="R182" s="4">
        <v>44.345999999999997</v>
      </c>
      <c r="S182" s="4">
        <v>387.40800000000002</v>
      </c>
      <c r="T182" s="4">
        <v>1360.366</v>
      </c>
      <c r="U182" s="4">
        <v>1855.454</v>
      </c>
      <c r="V182" s="4">
        <v>951.24599999999998</v>
      </c>
      <c r="W182" s="4">
        <v>784.89499999999998</v>
      </c>
      <c r="X182" s="4">
        <v>1016.9349999999999</v>
      </c>
      <c r="Y182">
        <v>25.68</v>
      </c>
      <c r="Z182">
        <v>1152.1324999999999</v>
      </c>
      <c r="AA182" t="s">
        <v>40</v>
      </c>
      <c r="AB182">
        <v>2</v>
      </c>
      <c r="AC182" t="s">
        <v>468</v>
      </c>
      <c r="AD182" s="5">
        <f t="shared" si="20"/>
        <v>-5.3743542238215709E-2</v>
      </c>
      <c r="AE182" s="5">
        <f t="shared" si="21"/>
        <v>5.2539824803260617E-2</v>
      </c>
      <c r="AF182" s="5">
        <f t="shared" si="22"/>
        <v>5.0745691376573858E-2</v>
      </c>
      <c r="AG182" s="5">
        <f t="shared" si="23"/>
        <v>-0.20884430441282834</v>
      </c>
      <c r="AH182" s="5">
        <f t="shared" si="24"/>
        <v>1.3639373521537586</v>
      </c>
      <c r="AI182" s="5">
        <f t="shared" si="25"/>
        <v>0.55553573884843954</v>
      </c>
      <c r="AJ182" s="5">
        <f t="shared" si="26"/>
        <v>0.70383281386379859</v>
      </c>
      <c r="AK182" s="5">
        <f t="shared" si="27"/>
        <v>0.25684980603130014</v>
      </c>
      <c r="AL182" s="5">
        <f t="shared" si="28"/>
        <v>0.67693914725889948</v>
      </c>
      <c r="AM182" s="10">
        <f t="shared" si="29"/>
        <v>-8.6034668297630201</v>
      </c>
    </row>
    <row r="183" spans="1:39" x14ac:dyDescent="0.3">
      <c r="A183">
        <v>4903</v>
      </c>
      <c r="B183" t="s">
        <v>741</v>
      </c>
      <c r="C183" t="s">
        <v>70</v>
      </c>
      <c r="D183" s="1">
        <v>38009</v>
      </c>
      <c r="E183">
        <v>17</v>
      </c>
      <c r="F183" t="s">
        <v>742</v>
      </c>
      <c r="G183" s="4">
        <v>36.621000000000002</v>
      </c>
      <c r="H183" s="4">
        <v>314.245</v>
      </c>
      <c r="I183" s="4">
        <v>3320.223</v>
      </c>
      <c r="J183" s="4">
        <v>202.75700000000001</v>
      </c>
      <c r="K183" s="4">
        <v>1253.5039999999999</v>
      </c>
      <c r="L183" s="4">
        <v>0</v>
      </c>
      <c r="M183" s="4">
        <v>855.89400000000001</v>
      </c>
      <c r="N183" s="4">
        <v>397.61</v>
      </c>
      <c r="O183" s="4">
        <v>284.01499999999999</v>
      </c>
      <c r="P183" s="4">
        <v>74.591999999999999</v>
      </c>
      <c r="Q183" s="4">
        <v>141.053</v>
      </c>
      <c r="R183" s="4">
        <v>15.574999999999999</v>
      </c>
      <c r="S183" s="4">
        <v>414.988</v>
      </c>
      <c r="T183" s="4">
        <v>996.947</v>
      </c>
      <c r="U183" s="4">
        <v>1328.096</v>
      </c>
      <c r="V183" s="4">
        <v>709.95500000000004</v>
      </c>
      <c r="W183" s="4">
        <v>1124.3969999999999</v>
      </c>
      <c r="X183" s="4">
        <v>872.38400000000001</v>
      </c>
      <c r="Y183">
        <v>15.27</v>
      </c>
      <c r="Z183">
        <v>1008.708</v>
      </c>
      <c r="AA183" t="s">
        <v>40</v>
      </c>
      <c r="AB183">
        <v>2</v>
      </c>
      <c r="AC183" t="s">
        <v>468</v>
      </c>
      <c r="AD183" s="5">
        <f t="shared" si="20"/>
        <v>3.5937275367495712E-2</v>
      </c>
      <c r="AE183" s="5">
        <f t="shared" si="21"/>
        <v>9.4645751204060699E-2</v>
      </c>
      <c r="AF183" s="5">
        <f t="shared" si="22"/>
        <v>2.2061922113978335E-2</v>
      </c>
      <c r="AG183" s="5">
        <f t="shared" si="23"/>
        <v>0.29938347830277329</v>
      </c>
      <c r="AH183" s="5">
        <f t="shared" si="24"/>
        <v>1.3321630939257554</v>
      </c>
      <c r="AI183" s="5">
        <f t="shared" si="25"/>
        <v>2.7182137494637497</v>
      </c>
      <c r="AJ183" s="5">
        <f t="shared" si="26"/>
        <v>1.4645551902455209</v>
      </c>
      <c r="AK183" s="5">
        <f t="shared" si="27"/>
        <v>0.15266742765583211</v>
      </c>
      <c r="AL183" s="5">
        <f t="shared" si="28"/>
        <v>1.257342667162848</v>
      </c>
      <c r="AM183" s="10">
        <f t="shared" si="29"/>
        <v>8.3504514473982034</v>
      </c>
    </row>
    <row r="184" spans="1:39" x14ac:dyDescent="0.3">
      <c r="A184">
        <v>4935</v>
      </c>
      <c r="B184" t="s">
        <v>743</v>
      </c>
      <c r="C184" t="s">
        <v>38</v>
      </c>
      <c r="D184" s="1">
        <v>41304</v>
      </c>
      <c r="E184">
        <v>13</v>
      </c>
      <c r="F184" t="s">
        <v>744</v>
      </c>
      <c r="G184" s="4">
        <v>76.394999999999996</v>
      </c>
      <c r="H184" s="4">
        <v>130.65799999999999</v>
      </c>
      <c r="I184" s="4">
        <v>3299.02</v>
      </c>
      <c r="J184" s="4">
        <v>328.77699999999999</v>
      </c>
      <c r="K184" s="4">
        <v>1516.674</v>
      </c>
      <c r="L184" s="4">
        <v>0</v>
      </c>
      <c r="M184" s="4">
        <v>1313.06</v>
      </c>
      <c r="N184" s="4">
        <v>203.614</v>
      </c>
      <c r="O184" s="4">
        <v>105.848</v>
      </c>
      <c r="P184" s="4">
        <v>190.364</v>
      </c>
      <c r="Q184" s="4">
        <v>9.5269999999999992</v>
      </c>
      <c r="R184" s="4">
        <v>6.6000000000000003E-2</v>
      </c>
      <c r="S184" s="4">
        <v>374.798</v>
      </c>
      <c r="T184" s="4">
        <v>1322.587</v>
      </c>
      <c r="U184" s="4">
        <v>1707.038</v>
      </c>
      <c r="V184" s="4">
        <v>652.03899999999999</v>
      </c>
      <c r="W184" s="4">
        <v>532.23800000000006</v>
      </c>
      <c r="X184" s="4">
        <v>286.41899999999998</v>
      </c>
      <c r="Y184">
        <v>19.260000000000002</v>
      </c>
      <c r="Z184">
        <v>794.43349999999998</v>
      </c>
      <c r="AA184" t="s">
        <v>40</v>
      </c>
      <c r="AB184">
        <v>2</v>
      </c>
      <c r="AC184" t="s">
        <v>468</v>
      </c>
      <c r="AD184" s="5">
        <f t="shared" si="20"/>
        <v>6.4766855850826394E-2</v>
      </c>
      <c r="AE184" s="5">
        <f t="shared" si="21"/>
        <v>3.9605094846348304E-2</v>
      </c>
      <c r="AF184" s="5">
        <f t="shared" si="22"/>
        <v>7.7766682278917283E-5</v>
      </c>
      <c r="AG184" s="5">
        <f t="shared" si="23"/>
        <v>0.11927912559650107</v>
      </c>
      <c r="AH184" s="5">
        <f t="shared" si="24"/>
        <v>1.2906810667275574</v>
      </c>
      <c r="AI184" s="5">
        <f t="shared" si="25"/>
        <v>1.7270965098442981</v>
      </c>
      <c r="AJ184" s="5">
        <f t="shared" si="26"/>
        <v>1.15506831370996</v>
      </c>
      <c r="AK184" s="5">
        <f t="shared" si="27"/>
        <v>0.19260086770183205</v>
      </c>
      <c r="AL184" s="5">
        <f t="shared" si="28"/>
        <v>1.1467480022108187</v>
      </c>
      <c r="AM184" s="10">
        <f t="shared" si="29"/>
        <v>16.202324005225574</v>
      </c>
    </row>
    <row r="185" spans="1:39" x14ac:dyDescent="0.3">
      <c r="A185">
        <v>5148</v>
      </c>
      <c r="B185" t="s">
        <v>747</v>
      </c>
      <c r="C185" t="s">
        <v>38</v>
      </c>
      <c r="D185" s="1">
        <v>41549</v>
      </c>
      <c r="E185">
        <v>43</v>
      </c>
      <c r="F185" t="s">
        <v>748</v>
      </c>
      <c r="G185" s="4">
        <v>12.098000000000001</v>
      </c>
      <c r="H185" s="4">
        <v>169.654</v>
      </c>
      <c r="I185" s="4">
        <v>3163.4679999999998</v>
      </c>
      <c r="J185" s="4">
        <v>186.04900000000001</v>
      </c>
      <c r="K185" s="4">
        <v>1339.271</v>
      </c>
      <c r="L185" s="4">
        <v>76.186000000000007</v>
      </c>
      <c r="M185" s="4">
        <v>1146.6769999999999</v>
      </c>
      <c r="N185" s="4">
        <v>192.59399999999999</v>
      </c>
      <c r="O185" s="4">
        <v>157.52000000000001</v>
      </c>
      <c r="P185" s="4">
        <v>281.50900000000001</v>
      </c>
      <c r="Q185" s="4">
        <v>167.11600000000001</v>
      </c>
      <c r="R185" s="4">
        <v>10.018000000000001</v>
      </c>
      <c r="S185" s="4">
        <v>1418.027</v>
      </c>
      <c r="T185" s="4">
        <v>1313.7929999999999</v>
      </c>
      <c r="U185" s="4">
        <v>1620.78</v>
      </c>
      <c r="V185" s="4">
        <v>1739.9960000000001</v>
      </c>
      <c r="W185" s="4">
        <v>1106.6279999999999</v>
      </c>
      <c r="X185" s="4">
        <v>825.54200000000003</v>
      </c>
      <c r="Y185">
        <v>11.48</v>
      </c>
      <c r="Z185">
        <v>1323.2365</v>
      </c>
      <c r="AA185" t="s">
        <v>40</v>
      </c>
      <c r="AB185">
        <v>2</v>
      </c>
      <c r="AC185" t="s">
        <v>468</v>
      </c>
      <c r="AD185" s="5">
        <f t="shared" si="20"/>
        <v>7.1995277281199348E-3</v>
      </c>
      <c r="AE185" s="5">
        <f t="shared" si="21"/>
        <v>5.3629118423198847E-2</v>
      </c>
      <c r="AF185" s="5">
        <f t="shared" si="22"/>
        <v>7.3343046027922786E-3</v>
      </c>
      <c r="AG185" s="5">
        <f t="shared" si="23"/>
        <v>0.11882797171732129</v>
      </c>
      <c r="AH185" s="5">
        <f t="shared" si="24"/>
        <v>1.2336646640680839</v>
      </c>
      <c r="AI185" s="5">
        <f t="shared" si="25"/>
        <v>0.66089894106405123</v>
      </c>
      <c r="AJ185" s="5">
        <f t="shared" si="26"/>
        <v>1.1679583701425946</v>
      </c>
      <c r="AK185" s="5">
        <f t="shared" si="27"/>
        <v>0.11478979256900999</v>
      </c>
      <c r="AL185" s="5">
        <f t="shared" si="28"/>
        <v>1.0193927049390581</v>
      </c>
      <c r="AM185" s="10">
        <f t="shared" si="29"/>
        <v>16.425579197690478</v>
      </c>
    </row>
    <row r="186" spans="1:39" x14ac:dyDescent="0.3">
      <c r="A186">
        <v>5308</v>
      </c>
      <c r="B186" t="s">
        <v>755</v>
      </c>
      <c r="C186" t="s">
        <v>126</v>
      </c>
      <c r="D186" s="1">
        <v>42661</v>
      </c>
      <c r="E186">
        <v>29</v>
      </c>
      <c r="F186" t="s">
        <v>756</v>
      </c>
      <c r="G186" s="4">
        <v>30.526</v>
      </c>
      <c r="H186" s="4">
        <v>95.233999999999995</v>
      </c>
      <c r="I186" s="4">
        <v>3067.8310000000001</v>
      </c>
      <c r="J186" s="4">
        <v>106.908</v>
      </c>
      <c r="K186" s="4">
        <v>1254.0889999999999</v>
      </c>
      <c r="L186" s="4">
        <v>43.2</v>
      </c>
      <c r="M186" s="4">
        <v>1067.115</v>
      </c>
      <c r="N186" s="4">
        <v>186.97399999999999</v>
      </c>
      <c r="O186" s="4">
        <v>52.283999999999999</v>
      </c>
      <c r="P186" s="4">
        <v>174.28800000000001</v>
      </c>
      <c r="Q186" s="4">
        <v>227.898</v>
      </c>
      <c r="R186" s="4">
        <v>14.763</v>
      </c>
      <c r="S186" s="4">
        <v>922.54</v>
      </c>
      <c r="T186" s="4">
        <v>1295.0129999999999</v>
      </c>
      <c r="U186" s="4">
        <v>1435.877</v>
      </c>
      <c r="V186" s="4">
        <v>1017.569</v>
      </c>
      <c r="W186" s="4">
        <v>632.08500000000004</v>
      </c>
      <c r="X186" s="4">
        <v>408.74299999999999</v>
      </c>
      <c r="Y186">
        <v>7.45</v>
      </c>
      <c r="Z186">
        <v>873.56849999999997</v>
      </c>
      <c r="AA186" t="s">
        <v>40</v>
      </c>
      <c r="AB186">
        <v>2</v>
      </c>
      <c r="AC186" t="s">
        <v>468</v>
      </c>
      <c r="AD186" s="5">
        <f t="shared" si="20"/>
        <v>2.4884183307886134E-2</v>
      </c>
      <c r="AE186" s="5">
        <f t="shared" si="21"/>
        <v>3.1042779083984742E-2</v>
      </c>
      <c r="AF186" s="5">
        <f t="shared" si="22"/>
        <v>1.3314676131754235E-2</v>
      </c>
      <c r="AG186" s="5">
        <f t="shared" si="23"/>
        <v>0.13021588896541975</v>
      </c>
      <c r="AH186" s="5">
        <f t="shared" si="24"/>
        <v>1.1087741976335372</v>
      </c>
      <c r="AI186" s="5">
        <f t="shared" si="25"/>
        <v>0.61339851280638935</v>
      </c>
      <c r="AJ186" s="5">
        <f t="shared" si="26"/>
        <v>1.175214480163806</v>
      </c>
      <c r="AK186" s="5">
        <f t="shared" si="27"/>
        <v>7.4454845366281372E-2</v>
      </c>
      <c r="AL186" s="5">
        <f t="shared" si="28"/>
        <v>0.96839877283085185</v>
      </c>
      <c r="AM186" s="10">
        <f t="shared" si="29"/>
        <v>16.407794666638143</v>
      </c>
    </row>
    <row r="187" spans="1:39" x14ac:dyDescent="0.3">
      <c r="A187">
        <v>5375</v>
      </c>
      <c r="B187" t="s">
        <v>757</v>
      </c>
      <c r="C187" t="s">
        <v>48</v>
      </c>
      <c r="D187" s="1">
        <v>42795</v>
      </c>
      <c r="E187">
        <v>39</v>
      </c>
      <c r="F187" t="s">
        <v>758</v>
      </c>
      <c r="G187" s="4">
        <v>8.8260000000000005</v>
      </c>
      <c r="H187" s="4">
        <v>40.158000000000001</v>
      </c>
      <c r="I187" s="4">
        <v>3023.873</v>
      </c>
      <c r="J187" s="4">
        <v>61.258000000000003</v>
      </c>
      <c r="K187" s="4">
        <v>1117.8789999999999</v>
      </c>
      <c r="L187" s="4">
        <v>228.702</v>
      </c>
      <c r="M187" s="4">
        <v>890.13099999999997</v>
      </c>
      <c r="N187" s="4">
        <v>227.74799999999999</v>
      </c>
      <c r="O187" s="4">
        <v>32.841000000000001</v>
      </c>
      <c r="P187" s="4">
        <v>49.462000000000003</v>
      </c>
      <c r="Q187" s="4">
        <v>1.2290000000000001</v>
      </c>
      <c r="R187" s="4">
        <v>0.40600000000000003</v>
      </c>
      <c r="S187" s="4">
        <v>758.90099999999995</v>
      </c>
      <c r="T187" s="4">
        <v>891.36</v>
      </c>
      <c r="U187" s="4">
        <v>1180.223</v>
      </c>
      <c r="V187" s="4">
        <v>1010.539</v>
      </c>
      <c r="W187" s="4">
        <v>971.71799999999996</v>
      </c>
      <c r="X187" s="4">
        <v>665.40099999999995</v>
      </c>
      <c r="Y187">
        <v>5.19</v>
      </c>
      <c r="Z187">
        <v>956.97024999999996</v>
      </c>
      <c r="AA187" t="s">
        <v>40</v>
      </c>
      <c r="AB187">
        <v>2</v>
      </c>
      <c r="AC187" t="s">
        <v>468</v>
      </c>
      <c r="AD187" s="5">
        <f t="shared" si="20"/>
        <v>8.0574704144037567E-3</v>
      </c>
      <c r="AE187" s="5">
        <f t="shared" si="21"/>
        <v>1.3280319643053793E-2</v>
      </c>
      <c r="AF187" s="5">
        <f t="shared" si="22"/>
        <v>4.9204337980477027E-4</v>
      </c>
      <c r="AG187" s="5">
        <f t="shared" si="23"/>
        <v>0.1929703115428186</v>
      </c>
      <c r="AH187" s="5">
        <f t="shared" si="24"/>
        <v>1.3240699605097828</v>
      </c>
      <c r="AI187" s="5">
        <f t="shared" si="25"/>
        <v>1.2384861105495126</v>
      </c>
      <c r="AJ187" s="5">
        <f t="shared" si="26"/>
        <v>1.2558589690730915</v>
      </c>
      <c r="AK187" s="5">
        <f t="shared" si="27"/>
        <v>5.1903750392934218E-2</v>
      </c>
      <c r="AL187" s="5">
        <f t="shared" si="28"/>
        <v>1.2541274008257044</v>
      </c>
      <c r="AM187" s="10">
        <f t="shared" si="29"/>
        <v>13.277275760928747</v>
      </c>
    </row>
    <row r="188" spans="1:39" x14ac:dyDescent="0.3">
      <c r="A188">
        <v>5606</v>
      </c>
      <c r="B188" t="s">
        <v>761</v>
      </c>
      <c r="C188" t="s">
        <v>38</v>
      </c>
      <c r="D188" s="1">
        <v>43168</v>
      </c>
      <c r="E188">
        <v>22</v>
      </c>
      <c r="F188" t="s">
        <v>762</v>
      </c>
      <c r="G188" s="4">
        <v>96.069000000000003</v>
      </c>
      <c r="H188" s="4">
        <v>167.798</v>
      </c>
      <c r="I188" s="4">
        <v>2904.4250000000002</v>
      </c>
      <c r="J188" s="4">
        <v>295.84500000000003</v>
      </c>
      <c r="K188" s="4">
        <v>1021.054</v>
      </c>
      <c r="L188" s="4">
        <v>0</v>
      </c>
      <c r="M188" s="4">
        <v>412.48599999999999</v>
      </c>
      <c r="N188" s="4">
        <v>608.56799999999998</v>
      </c>
      <c r="O188" s="4">
        <v>125.565</v>
      </c>
      <c r="P188" s="4">
        <v>67.305999999999997</v>
      </c>
      <c r="Q188" s="4">
        <v>333.45600000000002</v>
      </c>
      <c r="R188" s="4">
        <v>4.407</v>
      </c>
      <c r="S188" s="4">
        <v>672.39</v>
      </c>
      <c r="T188" s="4">
        <v>745.94200000000001</v>
      </c>
      <c r="U188" s="4">
        <v>1103.56</v>
      </c>
      <c r="V188" s="4">
        <v>884.11099999999999</v>
      </c>
      <c r="W188" s="4">
        <v>357.67700000000002</v>
      </c>
      <c r="X188" s="4">
        <v>279.94400000000002</v>
      </c>
      <c r="Y188">
        <v>26.81</v>
      </c>
      <c r="Z188">
        <v>656.32299999999998</v>
      </c>
      <c r="AA188" t="s">
        <v>40</v>
      </c>
      <c r="AB188">
        <v>2</v>
      </c>
      <c r="AC188" t="s">
        <v>468</v>
      </c>
      <c r="AD188" s="5">
        <f t="shared" si="20"/>
        <v>9.6664890718836272E-2</v>
      </c>
      <c r="AE188" s="5">
        <f t="shared" si="21"/>
        <v>5.7773225337200994E-2</v>
      </c>
      <c r="AF188" s="5">
        <f t="shared" si="22"/>
        <v>6.2143419171251874E-3</v>
      </c>
      <c r="AG188" s="5">
        <f t="shared" si="23"/>
        <v>0.55145891478487807</v>
      </c>
      <c r="AH188" s="5">
        <f t="shared" si="24"/>
        <v>1.4794179708341935</v>
      </c>
      <c r="AI188" s="5">
        <f t="shared" si="25"/>
        <v>4.3955219445517493</v>
      </c>
      <c r="AJ188" s="5">
        <f t="shared" si="26"/>
        <v>2.4753664366790629</v>
      </c>
      <c r="AK188" s="5">
        <f t="shared" si="27"/>
        <v>0.26808238790822431</v>
      </c>
      <c r="AL188" s="5">
        <f t="shared" si="28"/>
        <v>1.3688115161768608</v>
      </c>
      <c r="AM188" s="10">
        <f t="shared" si="29"/>
        <v>4.7725562303637394</v>
      </c>
    </row>
    <row r="189" spans="1:39" x14ac:dyDescent="0.3">
      <c r="A189">
        <v>5772</v>
      </c>
      <c r="B189" t="s">
        <v>765</v>
      </c>
      <c r="C189" t="s">
        <v>93</v>
      </c>
      <c r="D189" s="1">
        <v>41689</v>
      </c>
      <c r="E189">
        <v>8</v>
      </c>
      <c r="F189" t="s">
        <v>766</v>
      </c>
      <c r="G189" s="4">
        <v>14.289</v>
      </c>
      <c r="H189" s="4">
        <v>32.302</v>
      </c>
      <c r="I189" s="4">
        <v>2828.5250000000001</v>
      </c>
      <c r="J189" s="4">
        <v>242.334</v>
      </c>
      <c r="K189" s="4">
        <v>832.15</v>
      </c>
      <c r="L189" s="4">
        <v>131.02799999999999</v>
      </c>
      <c r="M189" s="4">
        <v>499.27199999999999</v>
      </c>
      <c r="N189" s="4">
        <v>332.87799999999999</v>
      </c>
      <c r="O189" s="4">
        <v>24.488</v>
      </c>
      <c r="P189" s="4">
        <v>32.027999999999999</v>
      </c>
      <c r="Q189" s="4">
        <v>84.882999999999996</v>
      </c>
      <c r="R189" s="4">
        <v>0.32200000000000001</v>
      </c>
      <c r="S189" s="4">
        <v>1648.444</v>
      </c>
      <c r="T189" s="4">
        <v>584.15499999999997</v>
      </c>
      <c r="U189" s="4">
        <v>882.67499999999995</v>
      </c>
      <c r="V189" s="4">
        <v>1948.249</v>
      </c>
      <c r="W189" s="4">
        <v>555.90300000000002</v>
      </c>
      <c r="X189" s="4">
        <v>721.57399999999996</v>
      </c>
      <c r="Y189">
        <v>27.45</v>
      </c>
      <c r="Z189">
        <v>1027.10025</v>
      </c>
      <c r="AA189" t="s">
        <v>40</v>
      </c>
      <c r="AB189">
        <v>2</v>
      </c>
      <c r="AC189" t="s">
        <v>468</v>
      </c>
      <c r="AD189" s="5">
        <f t="shared" si="20"/>
        <v>1.0094937200716091E-2</v>
      </c>
      <c r="AE189" s="5">
        <f t="shared" si="21"/>
        <v>1.142008644081279E-2</v>
      </c>
      <c r="AF189" s="5">
        <f t="shared" si="22"/>
        <v>2.8845305404150048E-4</v>
      </c>
      <c r="AG189" s="5">
        <f t="shared" si="23"/>
        <v>0.37712408304302264</v>
      </c>
      <c r="AH189" s="5">
        <f t="shared" si="24"/>
        <v>1.5110287509308318</v>
      </c>
      <c r="AI189" s="5">
        <f t="shared" si="25"/>
        <v>7.5663169726489325</v>
      </c>
      <c r="AJ189" s="5">
        <f t="shared" si="26"/>
        <v>1.6667267541540483</v>
      </c>
      <c r="AK189" s="5">
        <f t="shared" si="27"/>
        <v>0.27454499107825647</v>
      </c>
      <c r="AL189" s="5">
        <f t="shared" si="28"/>
        <v>1.4245362960173242</v>
      </c>
      <c r="AM189" s="10">
        <f t="shared" si="29"/>
        <v>8.4971821508180181</v>
      </c>
    </row>
    <row r="190" spans="1:39" x14ac:dyDescent="0.3">
      <c r="A190">
        <v>5895</v>
      </c>
      <c r="B190" t="s">
        <v>771</v>
      </c>
      <c r="C190" t="s">
        <v>38</v>
      </c>
      <c r="D190" s="1">
        <v>43132</v>
      </c>
      <c r="E190">
        <v>33</v>
      </c>
      <c r="F190" t="s">
        <v>772</v>
      </c>
      <c r="G190" s="4">
        <v>80.478999999999999</v>
      </c>
      <c r="H190" s="4">
        <v>242.5</v>
      </c>
      <c r="I190" s="4">
        <v>2768.1469999999999</v>
      </c>
      <c r="J190" s="4">
        <v>398.363</v>
      </c>
      <c r="K190" s="4">
        <v>1314.2909999999999</v>
      </c>
      <c r="L190" s="4">
        <v>167.55600000000001</v>
      </c>
      <c r="M190" s="4">
        <v>857.08900000000006</v>
      </c>
      <c r="N190" s="4">
        <v>457.202</v>
      </c>
      <c r="O190" s="4">
        <v>131.91900000000001</v>
      </c>
      <c r="P190" s="4">
        <v>198.971</v>
      </c>
      <c r="Q190" s="4">
        <v>119.104</v>
      </c>
      <c r="R190" s="4">
        <v>27.245999999999999</v>
      </c>
      <c r="S190" s="4">
        <v>1088.056</v>
      </c>
      <c r="T190" s="4">
        <v>976.19299999999998</v>
      </c>
      <c r="U190" s="4">
        <v>1513.2619999999999</v>
      </c>
      <c r="V190" s="4">
        <v>1535.0419999999999</v>
      </c>
      <c r="W190" s="4">
        <v>923.327</v>
      </c>
      <c r="X190" s="4">
        <v>831.39400000000001</v>
      </c>
      <c r="Y190">
        <v>26.32</v>
      </c>
      <c r="Z190">
        <v>1200.7562499999999</v>
      </c>
      <c r="AA190" t="s">
        <v>40</v>
      </c>
      <c r="AB190">
        <v>2</v>
      </c>
      <c r="AC190" t="s">
        <v>468</v>
      </c>
      <c r="AD190" s="5">
        <f t="shared" si="20"/>
        <v>5.2802476393430574E-2</v>
      </c>
      <c r="AE190" s="5">
        <f t="shared" si="21"/>
        <v>8.7603729137217062E-2</v>
      </c>
      <c r="AF190" s="5">
        <f t="shared" si="22"/>
        <v>2.639797815089168E-2</v>
      </c>
      <c r="AG190" s="5">
        <f t="shared" si="23"/>
        <v>0.30213010040561383</v>
      </c>
      <c r="AH190" s="5">
        <f t="shared" si="24"/>
        <v>1.5501668215199249</v>
      </c>
      <c r="AI190" s="5">
        <f t="shared" si="25"/>
        <v>2.0021158862346775</v>
      </c>
      <c r="AJ190" s="5">
        <f t="shared" si="26"/>
        <v>1.5334358508859638</v>
      </c>
      <c r="AK190" s="5">
        <f t="shared" si="27"/>
        <v>0.26324787115516018</v>
      </c>
      <c r="AL190" s="5">
        <f t="shared" si="28"/>
        <v>1.3463433972585339</v>
      </c>
      <c r="AM190" s="10">
        <f t="shared" si="29"/>
        <v>6.0545382566130508</v>
      </c>
    </row>
    <row r="191" spans="1:39" x14ac:dyDescent="0.3">
      <c r="A191">
        <v>5919</v>
      </c>
      <c r="B191" t="s">
        <v>773</v>
      </c>
      <c r="C191" t="s">
        <v>93</v>
      </c>
      <c r="D191" s="1">
        <v>42719</v>
      </c>
      <c r="E191">
        <v>9</v>
      </c>
      <c r="F191" t="s">
        <v>774</v>
      </c>
      <c r="G191" s="4">
        <v>238.17500000000001</v>
      </c>
      <c r="H191" s="4">
        <v>350.19099999999997</v>
      </c>
      <c r="I191" s="4">
        <v>2759.4050000000002</v>
      </c>
      <c r="J191" s="4">
        <v>600.54999999999995</v>
      </c>
      <c r="K191" s="4">
        <v>1400.528</v>
      </c>
      <c r="L191" s="4">
        <v>458.9</v>
      </c>
      <c r="M191" s="4">
        <v>1021.506</v>
      </c>
      <c r="N191" s="4">
        <v>379.02199999999999</v>
      </c>
      <c r="O191" s="4">
        <v>307.702</v>
      </c>
      <c r="P191" s="4">
        <v>282.91500000000002</v>
      </c>
      <c r="Q191" s="4">
        <v>0</v>
      </c>
      <c r="R191" s="4">
        <v>42.488999999999997</v>
      </c>
      <c r="S191" s="4">
        <v>709.76099999999997</v>
      </c>
      <c r="T191" s="4">
        <v>1021.506</v>
      </c>
      <c r="U191" s="4">
        <v>1683.443</v>
      </c>
      <c r="V191" s="4">
        <v>1187.7349999999999</v>
      </c>
      <c r="W191" s="4">
        <v>804.09900000000005</v>
      </c>
      <c r="X191" s="4">
        <v>755.28099999999995</v>
      </c>
      <c r="Y191">
        <v>35.67</v>
      </c>
      <c r="Z191">
        <v>1107.6395</v>
      </c>
      <c r="AA191" t="s">
        <v>40</v>
      </c>
      <c r="AB191">
        <v>2</v>
      </c>
      <c r="AC191" t="s">
        <v>468</v>
      </c>
      <c r="AD191" s="5">
        <f t="shared" si="20"/>
        <v>0.16590751252621747</v>
      </c>
      <c r="AE191" s="5">
        <f t="shared" si="21"/>
        <v>0.12690815592491858</v>
      </c>
      <c r="AF191" s="5">
        <f t="shared" si="22"/>
        <v>4.9084283360105632E-2</v>
      </c>
      <c r="AG191" s="5">
        <f t="shared" si="23"/>
        <v>0.22514691617120389</v>
      </c>
      <c r="AH191" s="5">
        <f t="shared" si="24"/>
        <v>1.648001088588809</v>
      </c>
      <c r="AI191" s="5">
        <f t="shared" si="25"/>
        <v>2.1227223724440201</v>
      </c>
      <c r="AJ191" s="5">
        <f t="shared" si="26"/>
        <v>1.3710423629425574</v>
      </c>
      <c r="AK191" s="5">
        <f t="shared" si="27"/>
        <v>0.35673913521277523</v>
      </c>
      <c r="AL191" s="5">
        <f t="shared" si="28"/>
        <v>1.3710423629425574</v>
      </c>
      <c r="AM191" s="10">
        <f t="shared" si="29"/>
        <v>7.2803293740205062</v>
      </c>
    </row>
    <row r="192" spans="1:39" x14ac:dyDescent="0.3">
      <c r="A192">
        <v>6070</v>
      </c>
      <c r="B192" t="s">
        <v>775</v>
      </c>
      <c r="C192" t="s">
        <v>126</v>
      </c>
      <c r="D192" s="1">
        <v>41078</v>
      </c>
      <c r="E192">
        <v>10</v>
      </c>
      <c r="F192" t="s">
        <v>776</v>
      </c>
      <c r="G192" s="4">
        <v>3.3530000000000002</v>
      </c>
      <c r="H192" s="4">
        <v>117.52</v>
      </c>
      <c r="I192" s="4">
        <v>2698.9110000000001</v>
      </c>
      <c r="J192" s="4">
        <v>322.30799999999999</v>
      </c>
      <c r="K192" s="4">
        <v>889.09199999999998</v>
      </c>
      <c r="L192" s="4">
        <v>3.504</v>
      </c>
      <c r="M192" s="4">
        <v>731.58299999999997</v>
      </c>
      <c r="N192" s="4">
        <v>157.50899999999999</v>
      </c>
      <c r="O192" s="4">
        <v>108.816</v>
      </c>
      <c r="P192" s="4">
        <v>286.91300000000001</v>
      </c>
      <c r="Q192" s="4">
        <v>20.481000000000002</v>
      </c>
      <c r="R192" s="4">
        <v>8.8940000000000001</v>
      </c>
      <c r="S192" s="4">
        <v>678.16200000000003</v>
      </c>
      <c r="T192" s="4">
        <v>752.06399999999996</v>
      </c>
      <c r="U192" s="4">
        <v>1190.4490000000001</v>
      </c>
      <c r="V192" s="4">
        <v>1106.616</v>
      </c>
      <c r="W192" s="4">
        <v>1227.816</v>
      </c>
      <c r="X192" s="4">
        <v>890.66300000000001</v>
      </c>
      <c r="Y192">
        <v>27.07</v>
      </c>
      <c r="Z192">
        <v>1103.886</v>
      </c>
      <c r="AA192" t="s">
        <v>40</v>
      </c>
      <c r="AB192">
        <v>2</v>
      </c>
      <c r="AC192" t="s">
        <v>468</v>
      </c>
      <c r="AD192" s="5">
        <f t="shared" si="20"/>
        <v>2.9193775535302658E-3</v>
      </c>
      <c r="AE192" s="5">
        <f t="shared" si="21"/>
        <v>4.354348846627399E-2</v>
      </c>
      <c r="AF192" s="5">
        <f t="shared" si="22"/>
        <v>1.2437195240472484E-2</v>
      </c>
      <c r="AG192" s="5">
        <f t="shared" si="23"/>
        <v>0.13231058197369225</v>
      </c>
      <c r="AH192" s="5">
        <f t="shared" si="24"/>
        <v>1.5829091673049105</v>
      </c>
      <c r="AI192" s="5">
        <f t="shared" si="25"/>
        <v>1.1233649224677864</v>
      </c>
      <c r="AJ192" s="5">
        <f t="shared" si="26"/>
        <v>1.2152988792795896</v>
      </c>
      <c r="AK192" s="5">
        <f t="shared" si="27"/>
        <v>0.27074490381360306</v>
      </c>
      <c r="AL192" s="5">
        <f t="shared" si="28"/>
        <v>1.1822025785039572</v>
      </c>
      <c r="AM192" s="10">
        <f t="shared" si="29"/>
        <v>17.134963716359067</v>
      </c>
    </row>
    <row r="193" spans="1:39" x14ac:dyDescent="0.3">
      <c r="A193">
        <v>6095</v>
      </c>
      <c r="B193" t="s">
        <v>777</v>
      </c>
      <c r="C193" t="s">
        <v>38</v>
      </c>
      <c r="D193" s="1">
        <v>43563</v>
      </c>
      <c r="E193">
        <v>10</v>
      </c>
      <c r="F193" t="s">
        <v>778</v>
      </c>
      <c r="G193" s="4">
        <v>96.191000000000003</v>
      </c>
      <c r="H193" s="4">
        <v>181.739</v>
      </c>
      <c r="I193" s="4">
        <v>2689.25</v>
      </c>
      <c r="J193" s="4">
        <v>450.92500000000001</v>
      </c>
      <c r="K193" s="4">
        <v>1693.4349999999999</v>
      </c>
      <c r="L193" s="4">
        <v>57.192999999999998</v>
      </c>
      <c r="M193" s="4">
        <v>1245.992</v>
      </c>
      <c r="N193" s="4">
        <v>447.44299999999998</v>
      </c>
      <c r="O193" s="4">
        <v>131.13200000000001</v>
      </c>
      <c r="P193" s="4">
        <v>247.39599999999999</v>
      </c>
      <c r="Q193" s="4">
        <v>231.364</v>
      </c>
      <c r="R193" s="4">
        <v>12.871</v>
      </c>
      <c r="S193" s="4">
        <v>1267.3630000000001</v>
      </c>
      <c r="T193" s="4">
        <v>1477.356</v>
      </c>
      <c r="U193" s="4">
        <v>1940.8309999999999</v>
      </c>
      <c r="V193" s="4">
        <v>1677.3150000000001</v>
      </c>
      <c r="W193" s="4">
        <v>925.08399999999995</v>
      </c>
      <c r="X193" s="4">
        <v>644.404</v>
      </c>
      <c r="Y193">
        <v>23.23</v>
      </c>
      <c r="Z193">
        <v>1296.9085</v>
      </c>
      <c r="AA193" t="s">
        <v>40</v>
      </c>
      <c r="AB193">
        <v>2</v>
      </c>
      <c r="AC193" t="s">
        <v>468</v>
      </c>
      <c r="AD193" s="5">
        <f t="shared" si="20"/>
        <v>5.3171430893059597E-2</v>
      </c>
      <c r="AE193" s="5">
        <f t="shared" si="21"/>
        <v>6.7579808496792793E-2</v>
      </c>
      <c r="AF193" s="5">
        <f t="shared" si="22"/>
        <v>9.3787378598683517E-3</v>
      </c>
      <c r="AG193" s="5">
        <f t="shared" si="23"/>
        <v>0.23054196887827946</v>
      </c>
      <c r="AH193" s="5">
        <f t="shared" si="24"/>
        <v>1.313719238964745</v>
      </c>
      <c r="AI193" s="5">
        <f t="shared" si="25"/>
        <v>1.8226850878753094</v>
      </c>
      <c r="AJ193" s="5">
        <f t="shared" si="26"/>
        <v>1.3591058369556144</v>
      </c>
      <c r="AK193" s="5">
        <f t="shared" si="27"/>
        <v>0.23233604574535344</v>
      </c>
      <c r="AL193" s="5">
        <f t="shared" si="28"/>
        <v>1.1462606169399927</v>
      </c>
      <c r="AM193" s="10">
        <f t="shared" si="29"/>
        <v>6.01026275972582</v>
      </c>
    </row>
    <row r="194" spans="1:39" x14ac:dyDescent="0.3">
      <c r="A194">
        <v>8226</v>
      </c>
      <c r="B194" t="s">
        <v>803</v>
      </c>
      <c r="C194" t="s">
        <v>38</v>
      </c>
      <c r="D194" s="1">
        <v>44155</v>
      </c>
      <c r="E194">
        <v>13</v>
      </c>
      <c r="F194" t="s">
        <v>804</v>
      </c>
      <c r="G194" s="4">
        <v>7.6859999999999999</v>
      </c>
      <c r="H194" s="4">
        <v>35.290999999999997</v>
      </c>
      <c r="I194" s="4">
        <v>1969.364</v>
      </c>
      <c r="J194" s="4">
        <v>61.591999999999999</v>
      </c>
      <c r="K194" s="4">
        <v>957.41899999999998</v>
      </c>
      <c r="L194" s="4">
        <v>686</v>
      </c>
      <c r="M194" s="4">
        <v>950.05700000000002</v>
      </c>
      <c r="N194" s="4">
        <v>7.3620000000000001</v>
      </c>
      <c r="O194" s="4">
        <v>23.600999999999999</v>
      </c>
      <c r="P194" s="4">
        <v>125.328</v>
      </c>
      <c r="Q194" s="4">
        <v>0</v>
      </c>
      <c r="R194" s="4">
        <v>0.79700000000000004</v>
      </c>
      <c r="S194" s="4">
        <v>583.66899999999998</v>
      </c>
      <c r="T194" s="4">
        <v>950.05700000000002</v>
      </c>
      <c r="U194" s="4">
        <v>1088.0989999999999</v>
      </c>
      <c r="V194" s="4">
        <v>698.10199999999998</v>
      </c>
      <c r="W194" s="4">
        <v>393.721</v>
      </c>
      <c r="X194" s="4">
        <v>45.081000000000003</v>
      </c>
      <c r="Y194">
        <v>5.66</v>
      </c>
      <c r="Z194">
        <v>556.25075000000004</v>
      </c>
      <c r="AA194" t="s">
        <v>40</v>
      </c>
      <c r="AB194">
        <v>1</v>
      </c>
      <c r="AC194" t="s">
        <v>468</v>
      </c>
      <c r="AD194" s="5">
        <f t="shared" si="20"/>
        <v>8.6059743556296288E-3</v>
      </c>
      <c r="AE194" s="5">
        <f t="shared" si="21"/>
        <v>1.7919998537598937E-2</v>
      </c>
      <c r="AF194" s="5">
        <f t="shared" si="22"/>
        <v>1.0392990664564595E-3</v>
      </c>
      <c r="AG194" s="5">
        <f t="shared" si="23"/>
        <v>6.7659284679059536E-3</v>
      </c>
      <c r="AH194" s="5">
        <f t="shared" si="24"/>
        <v>1.1452986505020224</v>
      </c>
      <c r="AI194" s="5">
        <f t="shared" si="25"/>
        <v>0.49144644452955444</v>
      </c>
      <c r="AJ194" s="5">
        <f t="shared" si="26"/>
        <v>1.0077490087436858</v>
      </c>
      <c r="AK194" s="5">
        <f t="shared" si="27"/>
        <v>5.660514346580596E-2</v>
      </c>
      <c r="AL194" s="5">
        <f t="shared" si="28"/>
        <v>1.0077490087436858</v>
      </c>
      <c r="AM194" s="10">
        <f t="shared" si="29"/>
        <v>267.50393914697094</v>
      </c>
    </row>
    <row r="195" spans="1:39" x14ac:dyDescent="0.3">
      <c r="A195">
        <v>8468</v>
      </c>
      <c r="B195" t="s">
        <v>807</v>
      </c>
      <c r="C195" t="s">
        <v>48</v>
      </c>
      <c r="D195" s="1">
        <v>41565</v>
      </c>
      <c r="E195">
        <v>14</v>
      </c>
      <c r="F195" t="s">
        <v>808</v>
      </c>
      <c r="G195" s="4">
        <v>24.885999999999999</v>
      </c>
      <c r="H195" s="4">
        <v>77.403999999999996</v>
      </c>
      <c r="I195" s="4">
        <v>1909.386</v>
      </c>
      <c r="J195" s="4">
        <v>253.46799999999999</v>
      </c>
      <c r="K195" s="4">
        <v>578.26199999999994</v>
      </c>
      <c r="L195" s="4">
        <v>217.92</v>
      </c>
      <c r="M195" s="4">
        <v>235.143</v>
      </c>
      <c r="N195" s="4">
        <v>343.11900000000003</v>
      </c>
      <c r="O195" s="4">
        <v>38.771000000000001</v>
      </c>
      <c r="P195" s="4">
        <v>94.811999999999998</v>
      </c>
      <c r="Q195" s="4">
        <v>55.031999999999996</v>
      </c>
      <c r="R195" s="4">
        <v>11.959</v>
      </c>
      <c r="S195" s="4">
        <v>287.37099999999998</v>
      </c>
      <c r="T195" s="4">
        <v>290.17500000000001</v>
      </c>
      <c r="U195" s="4">
        <v>690.101</v>
      </c>
      <c r="V195" s="4">
        <v>558.904</v>
      </c>
      <c r="W195" s="4">
        <v>443.15800000000002</v>
      </c>
      <c r="X195" s="4">
        <v>317.46199999999999</v>
      </c>
      <c r="Y195">
        <v>36.729999999999997</v>
      </c>
      <c r="Z195">
        <v>502.40625</v>
      </c>
      <c r="AA195" t="s">
        <v>40</v>
      </c>
      <c r="AB195">
        <v>1</v>
      </c>
      <c r="AC195" t="s">
        <v>468</v>
      </c>
      <c r="AD195" s="5">
        <f t="shared" ref="AD195:AD258" si="30">G195/((U195+V195)/2)</f>
        <v>3.9849320058766777E-2</v>
      </c>
      <c r="AE195" s="5">
        <f t="shared" ref="AE195:AE258" si="31">H195/I195</f>
        <v>4.0538686258305028E-2</v>
      </c>
      <c r="AF195" s="5">
        <f t="shared" ref="AF195:AF258" si="32">R195/((S195+T195)/2)</f>
        <v>4.1413151506546661E-2</v>
      </c>
      <c r="AG195" s="5">
        <f t="shared" ref="AG195:AG258" si="33">N195/U195</f>
        <v>0.49720113432671453</v>
      </c>
      <c r="AH195" s="5">
        <f t="shared" ref="AH195:AH258" si="34">U195/T195</f>
        <v>2.378223485827518</v>
      </c>
      <c r="AI195" s="5">
        <f t="shared" ref="AI195:AI258" si="35">J195/P195</f>
        <v>2.6733746783107621</v>
      </c>
      <c r="AJ195" s="5">
        <f t="shared" ref="AJ195:AJ258" si="36">K195/M195</f>
        <v>2.4591929166507187</v>
      </c>
      <c r="AK195" s="5">
        <f t="shared" ref="AK195:AK258" si="37">J195/U195</f>
        <v>0.36729116462662709</v>
      </c>
      <c r="AL195" s="5">
        <f t="shared" ref="AL195:AL258" si="38">K195/T195</f>
        <v>1.9928043422072885</v>
      </c>
      <c r="AM195" s="10">
        <f t="shared" ref="AM195:AM258" si="39">I195/N195</f>
        <v>5.56479238981228</v>
      </c>
    </row>
    <row r="196" spans="1:39" x14ac:dyDescent="0.3">
      <c r="A196">
        <v>8743</v>
      </c>
      <c r="B196" t="s">
        <v>821</v>
      </c>
      <c r="C196" t="s">
        <v>61</v>
      </c>
      <c r="D196" s="1">
        <v>40080</v>
      </c>
      <c r="E196">
        <v>4</v>
      </c>
      <c r="F196" t="s">
        <v>822</v>
      </c>
      <c r="G196" s="4">
        <v>-7.9290000000000003</v>
      </c>
      <c r="H196" s="4">
        <v>11.412000000000001</v>
      </c>
      <c r="I196" s="4">
        <v>1843.088</v>
      </c>
      <c r="J196" s="4">
        <v>276.32499999999999</v>
      </c>
      <c r="K196" s="4">
        <v>293.50700000000001</v>
      </c>
      <c r="L196" s="4">
        <v>54.869</v>
      </c>
      <c r="M196" s="4">
        <v>139.56899999999999</v>
      </c>
      <c r="N196" s="4">
        <v>153.93799999999999</v>
      </c>
      <c r="O196" s="4">
        <v>17.434000000000001</v>
      </c>
      <c r="P196" s="4">
        <v>232.29499999999999</v>
      </c>
      <c r="Q196" s="4">
        <v>62.878</v>
      </c>
      <c r="R196" s="4">
        <v>0.95799999999999996</v>
      </c>
      <c r="S196" s="4">
        <v>214.786</v>
      </c>
      <c r="T196" s="4">
        <v>202.447</v>
      </c>
      <c r="U196" s="4">
        <v>526.70600000000002</v>
      </c>
      <c r="V196" s="4">
        <v>544.26099999999997</v>
      </c>
      <c r="W196" s="4">
        <v>559.31799999999998</v>
      </c>
      <c r="X196" s="4">
        <v>516.94000000000005</v>
      </c>
      <c r="Y196">
        <v>52.46</v>
      </c>
      <c r="Z196">
        <v>536.80624999999998</v>
      </c>
      <c r="AA196" t="s">
        <v>40</v>
      </c>
      <c r="AB196">
        <v>1</v>
      </c>
      <c r="AC196" t="s">
        <v>468</v>
      </c>
      <c r="AD196" s="5">
        <f t="shared" si="30"/>
        <v>-1.48071789326842E-2</v>
      </c>
      <c r="AE196" s="5">
        <f t="shared" si="31"/>
        <v>6.1917824867830512E-3</v>
      </c>
      <c r="AF196" s="5">
        <f t="shared" si="32"/>
        <v>4.5921583383864645E-3</v>
      </c>
      <c r="AG196" s="5">
        <f t="shared" si="33"/>
        <v>0.29226551434766262</v>
      </c>
      <c r="AH196" s="5">
        <f t="shared" si="34"/>
        <v>2.6016982222507621</v>
      </c>
      <c r="AI196" s="5">
        <f t="shared" si="35"/>
        <v>1.1895434684345336</v>
      </c>
      <c r="AJ196" s="5">
        <f t="shared" si="36"/>
        <v>2.1029526614076195</v>
      </c>
      <c r="AK196" s="5">
        <f t="shared" si="37"/>
        <v>0.52462854040014728</v>
      </c>
      <c r="AL196" s="5">
        <f t="shared" si="38"/>
        <v>1.4497967369237381</v>
      </c>
      <c r="AM196" s="10">
        <f t="shared" si="39"/>
        <v>11.972924164273929</v>
      </c>
    </row>
    <row r="197" spans="1:39" x14ac:dyDescent="0.3">
      <c r="A197">
        <v>9758</v>
      </c>
      <c r="B197" t="s">
        <v>839</v>
      </c>
      <c r="C197" t="s">
        <v>38</v>
      </c>
      <c r="D197" s="1">
        <v>43844</v>
      </c>
      <c r="E197">
        <v>19</v>
      </c>
      <c r="F197" t="s">
        <v>840</v>
      </c>
      <c r="G197" s="4">
        <v>72.677999999999997</v>
      </c>
      <c r="H197" s="4">
        <v>111.617</v>
      </c>
      <c r="I197" s="4">
        <v>1634.4490000000001</v>
      </c>
      <c r="J197" s="4">
        <v>515.53700000000003</v>
      </c>
      <c r="K197" s="4">
        <v>662.61400000000003</v>
      </c>
      <c r="L197" s="4">
        <v>17.68</v>
      </c>
      <c r="M197" s="4">
        <v>111.44499999999999</v>
      </c>
      <c r="N197" s="4">
        <v>551.16899999999998</v>
      </c>
      <c r="O197" s="4">
        <v>77.266000000000005</v>
      </c>
      <c r="P197" s="4">
        <v>24.04</v>
      </c>
      <c r="Q197" s="4">
        <v>59.671999999999997</v>
      </c>
      <c r="R197" s="4">
        <v>4.9240000000000004</v>
      </c>
      <c r="S197" s="4">
        <v>251.49700000000001</v>
      </c>
      <c r="T197" s="4">
        <v>171.11699999999999</v>
      </c>
      <c r="U197" s="4">
        <v>686.654</v>
      </c>
      <c r="V197" s="4">
        <v>715.71199999999999</v>
      </c>
      <c r="W197" s="4">
        <v>379.04500000000002</v>
      </c>
      <c r="X197" s="4">
        <v>94.093999999999994</v>
      </c>
      <c r="Y197">
        <v>75.08</v>
      </c>
      <c r="Z197">
        <v>468.87625000000003</v>
      </c>
      <c r="AA197" t="s">
        <v>40</v>
      </c>
      <c r="AB197">
        <v>1</v>
      </c>
      <c r="AC197" t="s">
        <v>468</v>
      </c>
      <c r="AD197" s="5">
        <f t="shared" si="30"/>
        <v>0.10365054486489261</v>
      </c>
      <c r="AE197" s="5">
        <f t="shared" si="31"/>
        <v>6.8290292324814053E-2</v>
      </c>
      <c r="AF197" s="5">
        <f t="shared" si="32"/>
        <v>2.3302588177391188E-2</v>
      </c>
      <c r="AG197" s="5">
        <f t="shared" si="33"/>
        <v>0.80268810783888245</v>
      </c>
      <c r="AH197" s="5">
        <f t="shared" si="34"/>
        <v>4.0127748850201908</v>
      </c>
      <c r="AI197" s="5">
        <f t="shared" si="35"/>
        <v>21.444966722129784</v>
      </c>
      <c r="AJ197" s="5">
        <f t="shared" si="36"/>
        <v>5.9456592938220654</v>
      </c>
      <c r="AK197" s="5">
        <f t="shared" si="37"/>
        <v>0.75079588846784562</v>
      </c>
      <c r="AL197" s="5">
        <f t="shared" si="38"/>
        <v>3.8722862135264182</v>
      </c>
      <c r="AM197" s="10">
        <f t="shared" si="39"/>
        <v>2.9654225836358723</v>
      </c>
    </row>
    <row r="198" spans="1:39" x14ac:dyDescent="0.3">
      <c r="A198">
        <v>10088</v>
      </c>
      <c r="B198" t="s">
        <v>843</v>
      </c>
      <c r="C198" t="s">
        <v>93</v>
      </c>
      <c r="D198" s="1">
        <v>43231</v>
      </c>
      <c r="E198">
        <v>7</v>
      </c>
      <c r="F198" t="s">
        <v>844</v>
      </c>
      <c r="G198" s="4">
        <v>25.131</v>
      </c>
      <c r="H198" s="4">
        <v>81.335999999999999</v>
      </c>
      <c r="I198" s="4">
        <v>1569.76</v>
      </c>
      <c r="J198" s="4">
        <v>154.59800000000001</v>
      </c>
      <c r="K198" s="4">
        <v>174.679</v>
      </c>
      <c r="L198" s="4">
        <v>0</v>
      </c>
      <c r="M198" s="4">
        <v>35.066000000000003</v>
      </c>
      <c r="N198" s="4">
        <v>139.613</v>
      </c>
      <c r="O198" s="4">
        <v>66.361999999999995</v>
      </c>
      <c r="P198" s="4">
        <v>116.06</v>
      </c>
      <c r="Q198" s="4">
        <v>101.075</v>
      </c>
      <c r="R198" s="4">
        <v>0</v>
      </c>
      <c r="S198" s="4">
        <v>270.41500000000002</v>
      </c>
      <c r="T198" s="4">
        <v>136.14099999999999</v>
      </c>
      <c r="U198" s="4">
        <v>290.73899999999998</v>
      </c>
      <c r="V198" s="4">
        <v>436.49400000000003</v>
      </c>
      <c r="W198" s="4">
        <v>636.72799999999995</v>
      </c>
      <c r="X198" s="4">
        <v>149.291</v>
      </c>
      <c r="Y198">
        <v>53.17</v>
      </c>
      <c r="Z198">
        <v>378.31299999999999</v>
      </c>
      <c r="AA198" t="s">
        <v>40</v>
      </c>
      <c r="AB198">
        <v>1</v>
      </c>
      <c r="AC198" t="s">
        <v>468</v>
      </c>
      <c r="AD198" s="5">
        <f t="shared" si="30"/>
        <v>6.911402535363495E-2</v>
      </c>
      <c r="AE198" s="5">
        <f t="shared" si="31"/>
        <v>5.1814290082560388E-2</v>
      </c>
      <c r="AF198" s="5">
        <f t="shared" si="32"/>
        <v>0</v>
      </c>
      <c r="AG198" s="5">
        <f t="shared" si="33"/>
        <v>0.48020045470335943</v>
      </c>
      <c r="AH198" s="5">
        <f t="shared" si="34"/>
        <v>2.1355726783261471</v>
      </c>
      <c r="AI198" s="5">
        <f t="shared" si="35"/>
        <v>1.3320523866965364</v>
      </c>
      <c r="AJ198" s="5">
        <f t="shared" si="36"/>
        <v>4.9814350082701191</v>
      </c>
      <c r="AK198" s="5">
        <f t="shared" si="37"/>
        <v>0.53174152762443305</v>
      </c>
      <c r="AL198" s="5">
        <f t="shared" si="38"/>
        <v>1.2830741657546221</v>
      </c>
      <c r="AM198" s="10">
        <f t="shared" si="39"/>
        <v>11.243652095435239</v>
      </c>
    </row>
    <row r="199" spans="1:39" x14ac:dyDescent="0.3">
      <c r="A199">
        <v>10174</v>
      </c>
      <c r="B199" t="s">
        <v>845</v>
      </c>
      <c r="C199" t="s">
        <v>354</v>
      </c>
      <c r="D199" s="1">
        <v>43612</v>
      </c>
      <c r="E199">
        <v>11</v>
      </c>
      <c r="F199" t="s">
        <v>846</v>
      </c>
      <c r="G199" s="4">
        <v>8.1349999999999998</v>
      </c>
      <c r="H199" s="4">
        <v>44.76</v>
      </c>
      <c r="I199" s="4">
        <v>1554.345</v>
      </c>
      <c r="J199" s="4">
        <v>39.982999999999997</v>
      </c>
      <c r="K199" s="4">
        <v>626.06399999999996</v>
      </c>
      <c r="L199" s="4">
        <v>150</v>
      </c>
      <c r="M199" s="4">
        <v>432.79500000000002</v>
      </c>
      <c r="N199" s="4">
        <v>193.26900000000001</v>
      </c>
      <c r="O199" s="4">
        <v>15.318</v>
      </c>
      <c r="P199" s="4">
        <v>22.382999999999999</v>
      </c>
      <c r="Q199" s="4">
        <v>148.05600000000001</v>
      </c>
      <c r="R199" s="4">
        <v>15.273999999999999</v>
      </c>
      <c r="S199" s="4">
        <v>602.80600000000004</v>
      </c>
      <c r="T199" s="4">
        <v>580.851</v>
      </c>
      <c r="U199" s="4">
        <v>660.63599999999997</v>
      </c>
      <c r="V199" s="4">
        <v>663.66099999999994</v>
      </c>
      <c r="W199" s="4">
        <v>633.25099999999998</v>
      </c>
      <c r="X199" s="4">
        <v>321.77699999999999</v>
      </c>
      <c r="Y199">
        <v>6.05</v>
      </c>
      <c r="Z199">
        <v>569.83124999999995</v>
      </c>
      <c r="AA199" t="s">
        <v>40</v>
      </c>
      <c r="AB199">
        <v>1</v>
      </c>
      <c r="AC199" t="s">
        <v>468</v>
      </c>
      <c r="AD199" s="5">
        <f t="shared" si="30"/>
        <v>1.2285763691981481E-2</v>
      </c>
      <c r="AE199" s="5">
        <f t="shared" si="31"/>
        <v>2.8796695714271927E-2</v>
      </c>
      <c r="AF199" s="5">
        <f t="shared" si="32"/>
        <v>2.5808152192738264E-2</v>
      </c>
      <c r="AG199" s="5">
        <f t="shared" si="33"/>
        <v>0.29254990645378093</v>
      </c>
      <c r="AH199" s="5">
        <f t="shared" si="34"/>
        <v>1.1373588063031654</v>
      </c>
      <c r="AI199" s="5">
        <f t="shared" si="35"/>
        <v>1.7863110396282893</v>
      </c>
      <c r="AJ199" s="5">
        <f t="shared" si="36"/>
        <v>1.4465601497244653</v>
      </c>
      <c r="AK199" s="5">
        <f t="shared" si="37"/>
        <v>6.0521981847795156E-2</v>
      </c>
      <c r="AL199" s="5">
        <f t="shared" si="38"/>
        <v>1.0778392393229932</v>
      </c>
      <c r="AM199" s="10">
        <f t="shared" si="39"/>
        <v>8.0423916924079908</v>
      </c>
    </row>
    <row r="200" spans="1:39" x14ac:dyDescent="0.3">
      <c r="A200">
        <v>10566</v>
      </c>
      <c r="B200" t="s">
        <v>849</v>
      </c>
      <c r="C200" t="s">
        <v>93</v>
      </c>
      <c r="D200" s="1">
        <v>41542</v>
      </c>
      <c r="E200">
        <v>7</v>
      </c>
      <c r="F200" t="s">
        <v>850</v>
      </c>
      <c r="G200" s="4">
        <v>22.457999999999998</v>
      </c>
      <c r="H200" s="4">
        <v>69.798000000000002</v>
      </c>
      <c r="I200" s="4">
        <v>1484.569</v>
      </c>
      <c r="J200" s="4">
        <v>190.61</v>
      </c>
      <c r="K200" s="4">
        <v>578.22199999999998</v>
      </c>
      <c r="L200" s="4">
        <v>176.3</v>
      </c>
      <c r="M200" s="4">
        <v>571.20299999999997</v>
      </c>
      <c r="N200" s="4">
        <v>7.0190000000000001</v>
      </c>
      <c r="O200" s="4">
        <v>44.847999999999999</v>
      </c>
      <c r="P200" s="4">
        <v>168.14500000000001</v>
      </c>
      <c r="Q200" s="4">
        <v>0</v>
      </c>
      <c r="R200" s="4">
        <v>0.32500000000000001</v>
      </c>
      <c r="S200" s="4">
        <v>448.03100000000001</v>
      </c>
      <c r="T200" s="4">
        <v>571.20299999999997</v>
      </c>
      <c r="U200" s="4">
        <v>774.20500000000004</v>
      </c>
      <c r="V200" s="4">
        <v>621.53</v>
      </c>
      <c r="W200" s="4">
        <v>403.226</v>
      </c>
      <c r="X200" s="4">
        <v>180.49600000000001</v>
      </c>
      <c r="Y200">
        <v>24.62</v>
      </c>
      <c r="Z200">
        <v>494.86425000000003</v>
      </c>
      <c r="AA200" t="s">
        <v>40</v>
      </c>
      <c r="AB200">
        <v>1</v>
      </c>
      <c r="AC200" t="s">
        <v>468</v>
      </c>
      <c r="AD200" s="5">
        <f t="shared" si="30"/>
        <v>3.2180893937602761E-2</v>
      </c>
      <c r="AE200" s="5">
        <f t="shared" si="31"/>
        <v>4.7015665826243176E-2</v>
      </c>
      <c r="AF200" s="5">
        <f t="shared" si="32"/>
        <v>6.3773382756069762E-4</v>
      </c>
      <c r="AG200" s="5">
        <f t="shared" si="33"/>
        <v>9.0660742309853336E-3</v>
      </c>
      <c r="AH200" s="5">
        <f t="shared" si="34"/>
        <v>1.3553937916992733</v>
      </c>
      <c r="AI200" s="5">
        <f t="shared" si="35"/>
        <v>1.1336049243212702</v>
      </c>
      <c r="AJ200" s="5">
        <f t="shared" si="36"/>
        <v>1.0122881007277622</v>
      </c>
      <c r="AK200" s="5">
        <f t="shared" si="37"/>
        <v>0.24620094161107201</v>
      </c>
      <c r="AL200" s="5">
        <f t="shared" si="38"/>
        <v>1.0122881007277622</v>
      </c>
      <c r="AM200" s="10">
        <f t="shared" si="39"/>
        <v>211.50719475708789</v>
      </c>
    </row>
    <row r="201" spans="1:39" x14ac:dyDescent="0.3">
      <c r="A201">
        <v>10640</v>
      </c>
      <c r="B201" t="s">
        <v>851</v>
      </c>
      <c r="C201" t="s">
        <v>38</v>
      </c>
      <c r="D201" s="1">
        <v>41234</v>
      </c>
      <c r="E201">
        <v>5</v>
      </c>
      <c r="F201" t="s">
        <v>852</v>
      </c>
      <c r="G201" s="4">
        <v>29.556999999999999</v>
      </c>
      <c r="H201" s="4">
        <v>53.319000000000003</v>
      </c>
      <c r="I201" s="4">
        <v>1471.2829999999999</v>
      </c>
      <c r="J201" s="4">
        <v>140.392</v>
      </c>
      <c r="K201" s="4">
        <v>608.97299999999996</v>
      </c>
      <c r="L201" s="4">
        <v>9.2620000000000005</v>
      </c>
      <c r="M201" s="4">
        <v>499.84100000000001</v>
      </c>
      <c r="N201" s="4">
        <v>109.13200000000001</v>
      </c>
      <c r="O201" s="4">
        <v>33.552999999999997</v>
      </c>
      <c r="P201" s="4">
        <v>55.362000000000002</v>
      </c>
      <c r="Q201" s="4">
        <v>0</v>
      </c>
      <c r="R201" s="4">
        <v>0.88600000000000001</v>
      </c>
      <c r="S201" s="4">
        <v>572.71100000000001</v>
      </c>
      <c r="T201" s="4">
        <v>499.84100000000001</v>
      </c>
      <c r="U201" s="4">
        <v>678.88400000000001</v>
      </c>
      <c r="V201" s="4">
        <v>704.745</v>
      </c>
      <c r="W201" s="4">
        <v>260.99200000000002</v>
      </c>
      <c r="X201" s="4">
        <v>230.88800000000001</v>
      </c>
      <c r="Y201">
        <v>20.68</v>
      </c>
      <c r="Z201">
        <v>468.87725</v>
      </c>
      <c r="AA201" t="s">
        <v>40</v>
      </c>
      <c r="AB201">
        <v>1</v>
      </c>
      <c r="AC201" t="s">
        <v>468</v>
      </c>
      <c r="AD201" s="5">
        <f t="shared" si="30"/>
        <v>4.2723880462175914E-2</v>
      </c>
      <c r="AE201" s="5">
        <f t="shared" si="31"/>
        <v>3.6239798869422135E-2</v>
      </c>
      <c r="AF201" s="5">
        <f t="shared" si="32"/>
        <v>1.6521343487308773E-3</v>
      </c>
      <c r="AG201" s="5">
        <f t="shared" si="33"/>
        <v>0.16075205778895954</v>
      </c>
      <c r="AH201" s="5">
        <f t="shared" si="34"/>
        <v>1.3581999075706075</v>
      </c>
      <c r="AI201" s="5">
        <f t="shared" si="35"/>
        <v>2.5358910443986851</v>
      </c>
      <c r="AJ201" s="5">
        <f t="shared" si="36"/>
        <v>1.2183334300307496</v>
      </c>
      <c r="AK201" s="5">
        <f t="shared" si="37"/>
        <v>0.20679821589549907</v>
      </c>
      <c r="AL201" s="5">
        <f t="shared" si="38"/>
        <v>1.2183334300307496</v>
      </c>
      <c r="AM201" s="10">
        <f t="shared" si="39"/>
        <v>13.481682732837296</v>
      </c>
    </row>
    <row r="202" spans="1:39" x14ac:dyDescent="0.3">
      <c r="A202">
        <v>10652</v>
      </c>
      <c r="B202" t="s">
        <v>853</v>
      </c>
      <c r="C202" t="s">
        <v>70</v>
      </c>
      <c r="D202" s="1">
        <v>42845</v>
      </c>
      <c r="E202">
        <v>2</v>
      </c>
      <c r="F202" t="s">
        <v>854</v>
      </c>
      <c r="G202" s="4">
        <v>14.849</v>
      </c>
      <c r="H202" s="4">
        <v>32.042999999999999</v>
      </c>
      <c r="I202" s="4">
        <v>1468.6320000000001</v>
      </c>
      <c r="J202" s="4">
        <v>86.01</v>
      </c>
      <c r="K202" s="4">
        <v>209.631</v>
      </c>
      <c r="L202" s="4">
        <v>15</v>
      </c>
      <c r="M202" s="4">
        <v>151.88900000000001</v>
      </c>
      <c r="N202" s="4">
        <v>57.741999999999997</v>
      </c>
      <c r="O202" s="4">
        <v>22.251999999999999</v>
      </c>
      <c r="P202" s="4">
        <v>85.07</v>
      </c>
      <c r="Q202" s="4">
        <v>52.344000000000001</v>
      </c>
      <c r="R202" s="4">
        <v>1.117</v>
      </c>
      <c r="S202" s="4">
        <v>235.774</v>
      </c>
      <c r="T202" s="4">
        <v>204.233</v>
      </c>
      <c r="U202" s="4">
        <v>309.40199999999999</v>
      </c>
      <c r="V202" s="4">
        <v>322.76799999999997</v>
      </c>
      <c r="W202" s="4">
        <v>447.80200000000002</v>
      </c>
      <c r="X202" s="4">
        <v>222.75700000000001</v>
      </c>
      <c r="Y202">
        <v>27.8</v>
      </c>
      <c r="Z202">
        <v>325.68225000000001</v>
      </c>
      <c r="AA202" t="s">
        <v>40</v>
      </c>
      <c r="AB202">
        <v>1</v>
      </c>
      <c r="AC202" t="s">
        <v>468</v>
      </c>
      <c r="AD202" s="5">
        <f t="shared" si="30"/>
        <v>4.6977869876773659E-2</v>
      </c>
      <c r="AE202" s="5">
        <f t="shared" si="31"/>
        <v>2.1818263526873986E-2</v>
      </c>
      <c r="AF202" s="5">
        <f t="shared" si="32"/>
        <v>5.0771919537643722E-3</v>
      </c>
      <c r="AG202" s="5">
        <f t="shared" si="33"/>
        <v>0.18662452084989756</v>
      </c>
      <c r="AH202" s="5">
        <f t="shared" si="34"/>
        <v>1.5149461644298423</v>
      </c>
      <c r="AI202" s="5">
        <f t="shared" si="35"/>
        <v>1.0110497237569063</v>
      </c>
      <c r="AJ202" s="5">
        <f t="shared" si="36"/>
        <v>1.3801591952017591</v>
      </c>
      <c r="AK202" s="5">
        <f t="shared" si="37"/>
        <v>0.27798786045339074</v>
      </c>
      <c r="AL202" s="5">
        <f t="shared" si="38"/>
        <v>1.0264305964266303</v>
      </c>
      <c r="AM202" s="10">
        <f t="shared" si="39"/>
        <v>25.434380520245231</v>
      </c>
    </row>
    <row r="203" spans="1:39" x14ac:dyDescent="0.3">
      <c r="A203">
        <v>10865</v>
      </c>
      <c r="B203" t="s">
        <v>855</v>
      </c>
      <c r="C203" t="s">
        <v>93</v>
      </c>
      <c r="D203" s="1">
        <v>43847</v>
      </c>
      <c r="E203">
        <v>7</v>
      </c>
      <c r="F203" t="s">
        <v>856</v>
      </c>
      <c r="G203" s="4">
        <v>80.55</v>
      </c>
      <c r="H203" s="4">
        <v>134.19900000000001</v>
      </c>
      <c r="I203" s="4">
        <v>1439.0540000000001</v>
      </c>
      <c r="J203" s="4">
        <v>226.27</v>
      </c>
      <c r="K203" s="4">
        <v>754.92</v>
      </c>
      <c r="L203" s="4">
        <v>73.436000000000007</v>
      </c>
      <c r="M203" s="4">
        <v>421.32799999999997</v>
      </c>
      <c r="N203" s="4">
        <v>333.59199999999998</v>
      </c>
      <c r="O203" s="4">
        <v>86.001000000000005</v>
      </c>
      <c r="P203" s="4">
        <v>75.662999999999997</v>
      </c>
      <c r="Q203" s="4">
        <v>169.03299999999999</v>
      </c>
      <c r="R203" s="4">
        <v>9.8070000000000004</v>
      </c>
      <c r="S203" s="4">
        <v>472.16199999999998</v>
      </c>
      <c r="T203" s="4">
        <v>590.36099999999999</v>
      </c>
      <c r="U203" s="4">
        <v>835.69399999999996</v>
      </c>
      <c r="V203" s="4">
        <v>629.40700000000004</v>
      </c>
      <c r="W203" s="4">
        <v>339.87599999999998</v>
      </c>
      <c r="X203" s="4">
        <v>114.03</v>
      </c>
      <c r="Y203">
        <v>27.08</v>
      </c>
      <c r="Z203">
        <v>479.75175000000002</v>
      </c>
      <c r="AA203" t="s">
        <v>40</v>
      </c>
      <c r="AB203">
        <v>1</v>
      </c>
      <c r="AC203" t="s">
        <v>468</v>
      </c>
      <c r="AD203" s="5">
        <f t="shared" si="30"/>
        <v>0.10995828956501974</v>
      </c>
      <c r="AE203" s="5">
        <f t="shared" si="31"/>
        <v>9.325501336294538E-2</v>
      </c>
      <c r="AF203" s="5">
        <f t="shared" si="32"/>
        <v>1.8459835692968531E-2</v>
      </c>
      <c r="AG203" s="5">
        <f t="shared" si="33"/>
        <v>0.39917960401773855</v>
      </c>
      <c r="AH203" s="5">
        <f t="shared" si="34"/>
        <v>1.4155643750179974</v>
      </c>
      <c r="AI203" s="5">
        <f t="shared" si="35"/>
        <v>2.9904973368753556</v>
      </c>
      <c r="AJ203" s="5">
        <f t="shared" si="36"/>
        <v>1.7917631868757833</v>
      </c>
      <c r="AK203" s="5">
        <f t="shared" si="37"/>
        <v>0.27075699957161353</v>
      </c>
      <c r="AL203" s="5">
        <f t="shared" si="38"/>
        <v>1.2787430063977803</v>
      </c>
      <c r="AM203" s="10">
        <f t="shared" si="39"/>
        <v>4.3138144799635487</v>
      </c>
    </row>
    <row r="204" spans="1:39" x14ac:dyDescent="0.3">
      <c r="A204">
        <v>10996</v>
      </c>
      <c r="B204" t="s">
        <v>865</v>
      </c>
      <c r="C204" t="s">
        <v>93</v>
      </c>
      <c r="D204" s="1">
        <v>39552</v>
      </c>
      <c r="E204">
        <v>20</v>
      </c>
      <c r="F204" t="s">
        <v>866</v>
      </c>
      <c r="G204" s="4">
        <v>2.0019999999999998</v>
      </c>
      <c r="H204" s="4">
        <v>46.539000000000001</v>
      </c>
      <c r="I204" s="4">
        <v>1422.7650000000001</v>
      </c>
      <c r="J204" s="4">
        <v>87.634</v>
      </c>
      <c r="K204" s="4">
        <v>264.11599999999999</v>
      </c>
      <c r="L204" s="4">
        <v>0</v>
      </c>
      <c r="M204" s="4">
        <v>152.76499999999999</v>
      </c>
      <c r="N204" s="4">
        <v>111.351</v>
      </c>
      <c r="O204" s="4">
        <v>26.707000000000001</v>
      </c>
      <c r="P204" s="4">
        <v>61.887</v>
      </c>
      <c r="Q204" s="4">
        <v>84.350999999999999</v>
      </c>
      <c r="R204" s="4">
        <v>5.7859999999999996</v>
      </c>
      <c r="S204" s="4">
        <v>400.66800000000001</v>
      </c>
      <c r="T204" s="4">
        <v>237.11600000000001</v>
      </c>
      <c r="U204" s="4">
        <v>331.23099999999999</v>
      </c>
      <c r="V204" s="4">
        <v>515.53</v>
      </c>
      <c r="W204" s="4">
        <v>415.80700000000002</v>
      </c>
      <c r="X204" s="4">
        <v>344.01499999999999</v>
      </c>
      <c r="Y204">
        <v>26.46</v>
      </c>
      <c r="Z204">
        <v>401.64575000000002</v>
      </c>
      <c r="AA204" t="s">
        <v>40</v>
      </c>
      <c r="AB204">
        <v>1</v>
      </c>
      <c r="AC204" t="s">
        <v>468</v>
      </c>
      <c r="AD204" s="5">
        <f t="shared" si="30"/>
        <v>4.728607009533977E-3</v>
      </c>
      <c r="AE204" s="5">
        <f t="shared" si="31"/>
        <v>3.2710250814435272E-2</v>
      </c>
      <c r="AF204" s="5">
        <f t="shared" si="32"/>
        <v>1.8144073855725449E-2</v>
      </c>
      <c r="AG204" s="5">
        <f t="shared" si="33"/>
        <v>0.33617324465403298</v>
      </c>
      <c r="AH204" s="5">
        <f t="shared" si="34"/>
        <v>1.3969154337961165</v>
      </c>
      <c r="AI204" s="5">
        <f t="shared" si="35"/>
        <v>1.4160324462326499</v>
      </c>
      <c r="AJ204" s="5">
        <f t="shared" si="36"/>
        <v>1.7289038719602003</v>
      </c>
      <c r="AK204" s="5">
        <f t="shared" si="37"/>
        <v>0.2645706470710773</v>
      </c>
      <c r="AL204" s="5">
        <f t="shared" si="38"/>
        <v>1.1138683176166939</v>
      </c>
      <c r="AM204" s="10">
        <f t="shared" si="39"/>
        <v>12.777298811865185</v>
      </c>
    </row>
    <row r="205" spans="1:39" x14ac:dyDescent="0.3">
      <c r="A205">
        <v>11037</v>
      </c>
      <c r="B205" t="s">
        <v>867</v>
      </c>
      <c r="C205" t="s">
        <v>38</v>
      </c>
      <c r="D205" s="1">
        <v>39955</v>
      </c>
      <c r="E205">
        <v>14</v>
      </c>
      <c r="F205" t="s">
        <v>868</v>
      </c>
      <c r="G205" s="4">
        <v>35.478000000000002</v>
      </c>
      <c r="H205" s="4">
        <v>58.814</v>
      </c>
      <c r="I205" s="4">
        <v>1417.4059999999999</v>
      </c>
      <c r="J205" s="4">
        <v>150.273</v>
      </c>
      <c r="K205" s="4">
        <v>651.06500000000005</v>
      </c>
      <c r="L205" s="4">
        <v>20.036999999999999</v>
      </c>
      <c r="M205" s="4">
        <v>359.05200000000002</v>
      </c>
      <c r="N205" s="4">
        <v>292.01299999999998</v>
      </c>
      <c r="O205" s="4">
        <v>45.887999999999998</v>
      </c>
      <c r="P205" s="4">
        <v>67.102999999999994</v>
      </c>
      <c r="Q205" s="4">
        <v>53.357999999999997</v>
      </c>
      <c r="R205" s="4">
        <v>1.4239999999999999</v>
      </c>
      <c r="S205" s="4">
        <v>156.173</v>
      </c>
      <c r="T205" s="4">
        <v>412.41</v>
      </c>
      <c r="U205" s="4">
        <v>718.16800000000001</v>
      </c>
      <c r="V205" s="4">
        <v>403.16300000000001</v>
      </c>
      <c r="W205" s="4">
        <v>372.923</v>
      </c>
      <c r="X205" s="4">
        <v>368.75799999999998</v>
      </c>
      <c r="Y205">
        <v>20.92</v>
      </c>
      <c r="Z205">
        <v>465.75299999999999</v>
      </c>
      <c r="AA205" t="s">
        <v>40</v>
      </c>
      <c r="AB205">
        <v>1</v>
      </c>
      <c r="AC205" t="s">
        <v>468</v>
      </c>
      <c r="AD205" s="5">
        <f t="shared" si="30"/>
        <v>6.327837186343728E-2</v>
      </c>
      <c r="AE205" s="5">
        <f t="shared" si="31"/>
        <v>4.1494109662298592E-2</v>
      </c>
      <c r="AF205" s="5">
        <f t="shared" si="32"/>
        <v>5.008943285325097E-3</v>
      </c>
      <c r="AG205" s="5">
        <f t="shared" si="33"/>
        <v>0.40660820309454054</v>
      </c>
      <c r="AH205" s="5">
        <f t="shared" si="34"/>
        <v>1.7413932736839552</v>
      </c>
      <c r="AI205" s="5">
        <f t="shared" si="35"/>
        <v>2.2394378790814122</v>
      </c>
      <c r="AJ205" s="5">
        <f t="shared" si="36"/>
        <v>1.8132888829473168</v>
      </c>
      <c r="AK205" s="5">
        <f t="shared" si="37"/>
        <v>0.20924491205400406</v>
      </c>
      <c r="AL205" s="5">
        <f t="shared" si="38"/>
        <v>1.5786838340486409</v>
      </c>
      <c r="AM205" s="10">
        <f t="shared" si="39"/>
        <v>4.8539140380736479</v>
      </c>
    </row>
    <row r="206" spans="1:39" x14ac:dyDescent="0.3">
      <c r="A206">
        <v>11118</v>
      </c>
      <c r="B206" t="s">
        <v>871</v>
      </c>
      <c r="C206" t="s">
        <v>38</v>
      </c>
      <c r="D206" s="1">
        <v>42578</v>
      </c>
      <c r="E206">
        <v>13</v>
      </c>
      <c r="F206" t="s">
        <v>872</v>
      </c>
      <c r="G206" s="4">
        <v>98.399000000000001</v>
      </c>
      <c r="H206" s="4">
        <v>142.785</v>
      </c>
      <c r="I206" s="4">
        <v>1405.701</v>
      </c>
      <c r="J206" s="4">
        <v>211.54300000000001</v>
      </c>
      <c r="K206" s="4">
        <v>993.07399999999996</v>
      </c>
      <c r="L206" s="4">
        <v>238.773</v>
      </c>
      <c r="M206" s="4">
        <v>348.52100000000002</v>
      </c>
      <c r="N206" s="4">
        <v>644.553</v>
      </c>
      <c r="O206" s="4">
        <v>103.512</v>
      </c>
      <c r="P206" s="4">
        <v>19.335999999999999</v>
      </c>
      <c r="Q206" s="4">
        <v>405.26400000000001</v>
      </c>
      <c r="R206" s="4">
        <v>22.585000000000001</v>
      </c>
      <c r="S206" s="4">
        <v>287.28100000000001</v>
      </c>
      <c r="T206" s="4">
        <v>753.78499999999997</v>
      </c>
      <c r="U206" s="4">
        <v>1012.41</v>
      </c>
      <c r="V206" s="4">
        <v>416.95499999999998</v>
      </c>
      <c r="W206" s="4">
        <v>262.88799999999998</v>
      </c>
      <c r="X206" s="4">
        <v>386.91699999999997</v>
      </c>
      <c r="Y206">
        <v>20.89</v>
      </c>
      <c r="Z206">
        <v>519.79250000000002</v>
      </c>
      <c r="AA206" t="s">
        <v>40</v>
      </c>
      <c r="AB206">
        <v>1</v>
      </c>
      <c r="AC206" t="s">
        <v>468</v>
      </c>
      <c r="AD206" s="5">
        <f t="shared" si="30"/>
        <v>0.13768211758368226</v>
      </c>
      <c r="AE206" s="5">
        <f t="shared" si="31"/>
        <v>0.101575655135765</v>
      </c>
      <c r="AF206" s="5">
        <f t="shared" si="32"/>
        <v>4.3388219382824909E-2</v>
      </c>
      <c r="AG206" s="5">
        <f t="shared" si="33"/>
        <v>0.63665214685749849</v>
      </c>
      <c r="AH206" s="5">
        <f t="shared" si="34"/>
        <v>1.3431018128511445</v>
      </c>
      <c r="AI206" s="5">
        <f t="shared" si="35"/>
        <v>10.940370293752586</v>
      </c>
      <c r="AJ206" s="5">
        <f t="shared" si="36"/>
        <v>2.8493950149345375</v>
      </c>
      <c r="AK206" s="5">
        <f t="shared" si="37"/>
        <v>0.20894993135192266</v>
      </c>
      <c r="AL206" s="5">
        <f t="shared" si="38"/>
        <v>1.3174499359897054</v>
      </c>
      <c r="AM206" s="10">
        <f t="shared" si="39"/>
        <v>2.1808928047809877</v>
      </c>
    </row>
    <row r="207" spans="1:39" x14ac:dyDescent="0.3">
      <c r="A207">
        <v>11184</v>
      </c>
      <c r="B207" t="s">
        <v>875</v>
      </c>
      <c r="C207" t="s">
        <v>70</v>
      </c>
      <c r="D207" s="1">
        <v>42809</v>
      </c>
      <c r="E207">
        <v>5</v>
      </c>
      <c r="F207" t="s">
        <v>876</v>
      </c>
      <c r="G207" s="4">
        <v>37.747</v>
      </c>
      <c r="H207" s="4">
        <v>76.834999999999994</v>
      </c>
      <c r="I207" s="4">
        <v>1393.4829999999999</v>
      </c>
      <c r="J207" s="4">
        <v>95.831999999999994</v>
      </c>
      <c r="K207" s="4">
        <v>575.10299999999995</v>
      </c>
      <c r="L207" s="4">
        <v>35</v>
      </c>
      <c r="M207" s="4">
        <v>369.87299999999999</v>
      </c>
      <c r="N207" s="4">
        <v>205.23</v>
      </c>
      <c r="O207" s="4">
        <v>45.506</v>
      </c>
      <c r="P207" s="4">
        <v>49.506</v>
      </c>
      <c r="Q207" s="4">
        <v>151.756</v>
      </c>
      <c r="R207" s="4">
        <v>9.5980000000000008</v>
      </c>
      <c r="S207" s="4">
        <v>448.30599999999998</v>
      </c>
      <c r="T207" s="4">
        <v>521.62900000000002</v>
      </c>
      <c r="U207" s="4">
        <v>624.60900000000004</v>
      </c>
      <c r="V207" s="4">
        <v>501.702</v>
      </c>
      <c r="W207" s="4">
        <v>212.29900000000001</v>
      </c>
      <c r="X207" s="4">
        <v>111.733</v>
      </c>
      <c r="Y207">
        <v>15.34</v>
      </c>
      <c r="Z207">
        <v>362.58575000000002</v>
      </c>
      <c r="AA207" t="s">
        <v>40</v>
      </c>
      <c r="AB207">
        <v>1</v>
      </c>
      <c r="AC207" t="s">
        <v>468</v>
      </c>
      <c r="AD207" s="5">
        <f t="shared" si="30"/>
        <v>6.7027668201766644E-2</v>
      </c>
      <c r="AE207" s="5">
        <f t="shared" si="31"/>
        <v>5.5138814036482679E-2</v>
      </c>
      <c r="AF207" s="5">
        <f t="shared" si="32"/>
        <v>1.9791016923814485E-2</v>
      </c>
      <c r="AG207" s="5">
        <f t="shared" si="33"/>
        <v>0.32857355561639356</v>
      </c>
      <c r="AH207" s="5">
        <f t="shared" si="34"/>
        <v>1.1974200054061412</v>
      </c>
      <c r="AI207" s="5">
        <f t="shared" si="35"/>
        <v>1.9357653617743302</v>
      </c>
      <c r="AJ207" s="5">
        <f t="shared" si="36"/>
        <v>1.5548661297256083</v>
      </c>
      <c r="AK207" s="5">
        <f t="shared" si="37"/>
        <v>0.15342718404633937</v>
      </c>
      <c r="AL207" s="5">
        <f t="shared" si="38"/>
        <v>1.1025134722187606</v>
      </c>
      <c r="AM207" s="10">
        <f t="shared" si="39"/>
        <v>6.7898601568971397</v>
      </c>
    </row>
    <row r="208" spans="1:39" x14ac:dyDescent="0.3">
      <c r="A208">
        <v>11247</v>
      </c>
      <c r="B208" t="s">
        <v>877</v>
      </c>
      <c r="C208" t="s">
        <v>93</v>
      </c>
      <c r="D208" s="1">
        <v>43294</v>
      </c>
      <c r="E208">
        <v>11</v>
      </c>
      <c r="F208" t="s">
        <v>878</v>
      </c>
      <c r="G208" s="4">
        <v>30.042000000000002</v>
      </c>
      <c r="H208" s="4">
        <v>48.975999999999999</v>
      </c>
      <c r="I208" s="4">
        <v>1383.8430000000001</v>
      </c>
      <c r="J208" s="4">
        <v>147.72499999999999</v>
      </c>
      <c r="K208" s="4">
        <v>922.94500000000005</v>
      </c>
      <c r="L208" s="4">
        <v>206.12299999999999</v>
      </c>
      <c r="M208" s="4">
        <v>751.56700000000001</v>
      </c>
      <c r="N208" s="4">
        <v>171.37799999999999</v>
      </c>
      <c r="O208" s="4">
        <v>32.808999999999997</v>
      </c>
      <c r="P208" s="4">
        <v>7.468</v>
      </c>
      <c r="Q208" s="4">
        <v>17.698</v>
      </c>
      <c r="R208" s="4">
        <v>2.9590000000000001</v>
      </c>
      <c r="S208" s="4">
        <v>439.45699999999999</v>
      </c>
      <c r="T208" s="4">
        <v>769.26499999999999</v>
      </c>
      <c r="U208" s="4">
        <v>941.06899999999996</v>
      </c>
      <c r="V208" s="4">
        <v>568.91200000000003</v>
      </c>
      <c r="W208" s="4">
        <v>230.78399999999999</v>
      </c>
      <c r="X208" s="4">
        <v>59.597999999999999</v>
      </c>
      <c r="Y208">
        <v>15.7</v>
      </c>
      <c r="Z208">
        <v>450.09075000000001</v>
      </c>
      <c r="AA208" t="s">
        <v>40</v>
      </c>
      <c r="AB208">
        <v>1</v>
      </c>
      <c r="AC208" t="s">
        <v>468</v>
      </c>
      <c r="AD208" s="5">
        <f t="shared" si="30"/>
        <v>3.979122916116163E-2</v>
      </c>
      <c r="AE208" s="5">
        <f t="shared" si="31"/>
        <v>3.5391298001290608E-2</v>
      </c>
      <c r="AF208" s="5">
        <f t="shared" si="32"/>
        <v>4.8960803228533939E-3</v>
      </c>
      <c r="AG208" s="5">
        <f t="shared" si="33"/>
        <v>0.18210991967645304</v>
      </c>
      <c r="AH208" s="5">
        <f t="shared" si="34"/>
        <v>1.2233352615808597</v>
      </c>
      <c r="AI208" s="5">
        <f t="shared" si="35"/>
        <v>19.781065881092662</v>
      </c>
      <c r="AJ208" s="5">
        <f t="shared" si="36"/>
        <v>1.2280275743879123</v>
      </c>
      <c r="AK208" s="5">
        <f t="shared" si="37"/>
        <v>0.15697573716698776</v>
      </c>
      <c r="AL208" s="5">
        <f t="shared" si="38"/>
        <v>1.1997751100076048</v>
      </c>
      <c r="AM208" s="10">
        <f t="shared" si="39"/>
        <v>8.0747995658719329</v>
      </c>
    </row>
    <row r="209" spans="1:39" x14ac:dyDescent="0.3">
      <c r="A209">
        <v>1</v>
      </c>
      <c r="B209" t="s">
        <v>29</v>
      </c>
      <c r="C209" t="s">
        <v>30</v>
      </c>
      <c r="D209" s="1">
        <v>25596</v>
      </c>
      <c r="E209">
        <v>1074</v>
      </c>
      <c r="F209" t="s">
        <v>31</v>
      </c>
      <c r="G209" s="4">
        <v>-67598.107000000004</v>
      </c>
      <c r="H209" s="4">
        <v>-45311.983999999997</v>
      </c>
      <c r="I209" s="4">
        <v>567442.59600000002</v>
      </c>
      <c r="J209" s="4">
        <v>-52478.093999999997</v>
      </c>
      <c r="K209" s="4">
        <v>747937.38300000003</v>
      </c>
      <c r="L209" s="4">
        <v>218370.92300000001</v>
      </c>
      <c r="M209" s="4">
        <v>862750.91200000001</v>
      </c>
      <c r="N209" s="4">
        <v>-114813.52899999999</v>
      </c>
      <c r="O209" s="4">
        <v>-51006.868000000002</v>
      </c>
      <c r="P209" s="4">
        <v>134814.497</v>
      </c>
      <c r="Q209" s="4">
        <v>0</v>
      </c>
      <c r="R209" s="4">
        <v>33484.767999999996</v>
      </c>
      <c r="S209" s="4">
        <v>793972.22199999995</v>
      </c>
      <c r="T209" s="4">
        <v>862750.91200000001</v>
      </c>
      <c r="U209" s="4">
        <v>892116.90399999998</v>
      </c>
      <c r="V209" s="4">
        <v>844755.52899999998</v>
      </c>
      <c r="W209" s="4">
        <v>772974.51800000004</v>
      </c>
      <c r="X209" s="4">
        <v>759704.78099999996</v>
      </c>
      <c r="Y209">
        <v>-5.8824234542247798E-2</v>
      </c>
      <c r="Z209">
        <v>817387.93299999996</v>
      </c>
      <c r="AA209" t="s">
        <v>32</v>
      </c>
      <c r="AB209">
        <v>4</v>
      </c>
      <c r="AC209" t="s">
        <v>33</v>
      </c>
      <c r="AD209" s="5">
        <f t="shared" si="30"/>
        <v>-7.7838885246444584E-2</v>
      </c>
      <c r="AE209" s="5">
        <f t="shared" si="31"/>
        <v>-7.9852983049584089E-2</v>
      </c>
      <c r="AF209" s="5">
        <f t="shared" si="32"/>
        <v>4.0422889392694381E-2</v>
      </c>
      <c r="AG209" s="5">
        <f t="shared" si="33"/>
        <v>-0.12869785168872891</v>
      </c>
      <c r="AH209" s="5">
        <f t="shared" si="34"/>
        <v>1.0340376249871759</v>
      </c>
      <c r="AI209" s="5">
        <f t="shared" si="35"/>
        <v>-0.38926150501455342</v>
      </c>
      <c r="AJ209" s="5">
        <f t="shared" si="36"/>
        <v>0.86692157909883494</v>
      </c>
      <c r="AK209" s="5">
        <f t="shared" si="37"/>
        <v>-5.882423454224784E-2</v>
      </c>
      <c r="AL209" s="5">
        <f t="shared" si="38"/>
        <v>0.86692157909883494</v>
      </c>
      <c r="AM209" s="10">
        <f t="shared" si="39"/>
        <v>-4.9422973141083402</v>
      </c>
    </row>
    <row r="210" spans="1:39" x14ac:dyDescent="0.3">
      <c r="A210">
        <v>2</v>
      </c>
      <c r="B210" t="s">
        <v>34</v>
      </c>
      <c r="C210" t="s">
        <v>35</v>
      </c>
      <c r="D210" s="1">
        <v>37711</v>
      </c>
      <c r="E210">
        <v>7</v>
      </c>
      <c r="F210" t="s">
        <v>36</v>
      </c>
      <c r="G210" s="4">
        <v>-958.05200000000002</v>
      </c>
      <c r="H210" s="4">
        <v>1173.192</v>
      </c>
      <c r="I210" s="4">
        <v>9333.8709999999992</v>
      </c>
      <c r="J210" s="4">
        <v>11065.359</v>
      </c>
      <c r="K210" s="4">
        <v>196139.08600000001</v>
      </c>
      <c r="L210" s="4">
        <v>190300.166</v>
      </c>
      <c r="M210" s="4">
        <v>55629.661999999997</v>
      </c>
      <c r="N210" s="4">
        <v>140509.424</v>
      </c>
      <c r="O210" s="4">
        <v>-832.82399999999996</v>
      </c>
      <c r="P210" s="4">
        <v>398.04199999999997</v>
      </c>
      <c r="Q210" s="4">
        <v>128940.137</v>
      </c>
      <c r="R210" s="4">
        <v>1843.1980000000001</v>
      </c>
      <c r="S210" s="4">
        <v>197558.693</v>
      </c>
      <c r="T210" s="4">
        <v>184569.799</v>
      </c>
      <c r="U210" s="4">
        <v>196832.03700000001</v>
      </c>
      <c r="V210" s="4">
        <v>196716.038</v>
      </c>
      <c r="W210" s="4">
        <v>202949.34899999999</v>
      </c>
      <c r="X210" s="4">
        <v>203904.96400000001</v>
      </c>
      <c r="Y210">
        <v>5.6217266094746601E-2</v>
      </c>
      <c r="Z210">
        <v>200100.59700000001</v>
      </c>
      <c r="AA210" t="s">
        <v>32</v>
      </c>
      <c r="AB210">
        <v>4</v>
      </c>
      <c r="AC210" t="s">
        <v>33</v>
      </c>
      <c r="AD210" s="5">
        <f t="shared" si="30"/>
        <v>-4.8687927135712709E-3</v>
      </c>
      <c r="AE210" s="5">
        <f t="shared" si="31"/>
        <v>0.12569190210578227</v>
      </c>
      <c r="AF210" s="5">
        <f t="shared" si="32"/>
        <v>9.6470063792050351E-3</v>
      </c>
      <c r="AG210" s="5">
        <f t="shared" si="33"/>
        <v>0.71385444230300776</v>
      </c>
      <c r="AH210" s="5">
        <f t="shared" si="34"/>
        <v>1.0664368605613532</v>
      </c>
      <c r="AI210" s="5">
        <f t="shared" si="35"/>
        <v>27.799475934700361</v>
      </c>
      <c r="AJ210" s="5">
        <f t="shared" si="36"/>
        <v>3.5258004263984208</v>
      </c>
      <c r="AK210" s="5">
        <f t="shared" si="37"/>
        <v>5.621726609474656E-2</v>
      </c>
      <c r="AL210" s="5">
        <f t="shared" si="38"/>
        <v>1.0626824489308786</v>
      </c>
      <c r="AM210" s="10">
        <f t="shared" si="39"/>
        <v>6.6428789858251777E-2</v>
      </c>
    </row>
    <row r="211" spans="1:39" x14ac:dyDescent="0.3">
      <c r="A211">
        <v>4</v>
      </c>
      <c r="B211" t="s">
        <v>41</v>
      </c>
      <c r="C211" t="s">
        <v>42</v>
      </c>
      <c r="D211" s="1">
        <v>41240</v>
      </c>
      <c r="E211">
        <v>153</v>
      </c>
      <c r="F211" t="s">
        <v>43</v>
      </c>
      <c r="G211" s="4">
        <v>-15396.26</v>
      </c>
      <c r="H211" s="4">
        <v>-12261.766</v>
      </c>
      <c r="I211" s="4">
        <v>85008.84</v>
      </c>
      <c r="J211" s="4">
        <v>-10430.352999999999</v>
      </c>
      <c r="K211" s="4">
        <v>107752.243</v>
      </c>
      <c r="L211" s="4">
        <v>68371.880999999994</v>
      </c>
      <c r="M211" s="4">
        <v>112978.806</v>
      </c>
      <c r="N211" s="4">
        <v>-5226.5630000000001</v>
      </c>
      <c r="O211" s="4">
        <v>-12731.326999999999</v>
      </c>
      <c r="P211" s="4">
        <v>1061.3810000000001</v>
      </c>
      <c r="Q211" s="4">
        <v>3.496</v>
      </c>
      <c r="R211" s="4">
        <v>464.93900000000002</v>
      </c>
      <c r="S211" s="4">
        <v>123120.63400000001</v>
      </c>
      <c r="T211" s="4">
        <v>112982.302</v>
      </c>
      <c r="U211" s="4">
        <v>108813.624</v>
      </c>
      <c r="V211" s="4">
        <v>124964.156</v>
      </c>
      <c r="W211" s="4">
        <v>139026.64199999999</v>
      </c>
      <c r="X211" s="4">
        <v>121461.235</v>
      </c>
      <c r="Y211">
        <v>-9.5855212027493905E-2</v>
      </c>
      <c r="Z211">
        <v>123566.41425</v>
      </c>
      <c r="AA211" t="s">
        <v>32</v>
      </c>
      <c r="AB211">
        <v>4</v>
      </c>
      <c r="AC211" t="s">
        <v>33</v>
      </c>
      <c r="AD211" s="5">
        <f t="shared" si="30"/>
        <v>-0.13171705197987593</v>
      </c>
      <c r="AE211" s="5">
        <f t="shared" si="31"/>
        <v>-0.14424106951700552</v>
      </c>
      <c r="AF211" s="5">
        <f t="shared" si="32"/>
        <v>3.9384431881863595E-3</v>
      </c>
      <c r="AG211" s="5">
        <f t="shared" si="33"/>
        <v>-4.8032248241268026E-2</v>
      </c>
      <c r="AH211" s="5">
        <f t="shared" si="34"/>
        <v>0.96310326550082148</v>
      </c>
      <c r="AI211" s="5">
        <f t="shared" si="35"/>
        <v>-9.8271525493672858</v>
      </c>
      <c r="AJ211" s="5">
        <f t="shared" si="36"/>
        <v>0.95373855340620262</v>
      </c>
      <c r="AK211" s="5">
        <f t="shared" si="37"/>
        <v>-9.5855212027493905E-2</v>
      </c>
      <c r="AL211" s="5">
        <f t="shared" si="38"/>
        <v>0.95370904197013096</v>
      </c>
      <c r="AM211" s="10">
        <f t="shared" si="39"/>
        <v>-16.264769026987715</v>
      </c>
    </row>
    <row r="212" spans="1:39" x14ac:dyDescent="0.3">
      <c r="A212">
        <v>5</v>
      </c>
      <c r="B212" t="s">
        <v>44</v>
      </c>
      <c r="C212" t="s">
        <v>45</v>
      </c>
      <c r="D212" s="1">
        <v>34367</v>
      </c>
      <c r="E212">
        <v>114</v>
      </c>
      <c r="F212" t="s">
        <v>46</v>
      </c>
      <c r="G212" s="4">
        <v>-49013.315999999999</v>
      </c>
      <c r="H212" s="4">
        <v>-21681.666000000001</v>
      </c>
      <c r="I212" s="4">
        <v>31119.108</v>
      </c>
      <c r="J212" s="4">
        <v>-23385.627</v>
      </c>
      <c r="K212" s="4">
        <v>33632.326999999997</v>
      </c>
      <c r="L212" s="4">
        <v>22363.202000000001</v>
      </c>
      <c r="M212" s="4">
        <v>49919.402000000002</v>
      </c>
      <c r="N212" s="4">
        <v>-16287.075000000001</v>
      </c>
      <c r="O212" s="4">
        <v>-22852.144</v>
      </c>
      <c r="P212" s="4">
        <v>16476.491000000002</v>
      </c>
      <c r="Q212" s="4">
        <v>9345.5810000000001</v>
      </c>
      <c r="R212" s="4">
        <v>496.35199999999998</v>
      </c>
      <c r="S212" s="4">
        <v>58834.400999999998</v>
      </c>
      <c r="T212" s="4">
        <v>59264.983</v>
      </c>
      <c r="U212" s="4">
        <v>50653.607000000004</v>
      </c>
      <c r="V212" s="4">
        <v>85731.62</v>
      </c>
      <c r="W212" s="4">
        <v>31997.062999999998</v>
      </c>
      <c r="X212" s="4">
        <v>25123.643</v>
      </c>
      <c r="Y212">
        <v>-0.46167742802600398</v>
      </c>
      <c r="Z212">
        <v>48376.483249999997</v>
      </c>
      <c r="AA212" t="s">
        <v>32</v>
      </c>
      <c r="AB212">
        <v>4</v>
      </c>
      <c r="AC212" t="s">
        <v>33</v>
      </c>
      <c r="AD212" s="5">
        <f t="shared" si="30"/>
        <v>-0.71874816764428595</v>
      </c>
      <c r="AE212" s="5">
        <f t="shared" si="31"/>
        <v>-0.69673160297525238</v>
      </c>
      <c r="AF212" s="5">
        <f t="shared" si="32"/>
        <v>8.4056661972089549E-3</v>
      </c>
      <c r="AG212" s="5">
        <f t="shared" si="33"/>
        <v>-0.32153830624539731</v>
      </c>
      <c r="AH212" s="5">
        <f t="shared" si="34"/>
        <v>0.85469706453809335</v>
      </c>
      <c r="AI212" s="5">
        <f t="shared" si="35"/>
        <v>-1.4193329756924578</v>
      </c>
      <c r="AJ212" s="5">
        <f t="shared" si="36"/>
        <v>0.67373256995346209</v>
      </c>
      <c r="AK212" s="5">
        <f t="shared" si="37"/>
        <v>-0.46167742802600414</v>
      </c>
      <c r="AL212" s="5">
        <f t="shared" si="38"/>
        <v>0.56749070526182377</v>
      </c>
      <c r="AM212" s="10">
        <f t="shared" si="39"/>
        <v>-1.9106627801492901</v>
      </c>
    </row>
    <row r="213" spans="1:39" x14ac:dyDescent="0.3">
      <c r="A213">
        <v>11</v>
      </c>
      <c r="B213" t="s">
        <v>57</v>
      </c>
      <c r="C213" t="s">
        <v>58</v>
      </c>
      <c r="D213" s="1">
        <v>37032</v>
      </c>
      <c r="E213">
        <v>36</v>
      </c>
      <c r="F213" t="s">
        <v>59</v>
      </c>
      <c r="G213" s="4">
        <v>-7971.0889999999999</v>
      </c>
      <c r="H213" s="4">
        <v>-4038.0250000000001</v>
      </c>
      <c r="I213" s="4">
        <v>16585.407999999999</v>
      </c>
      <c r="J213" s="4">
        <v>207.15700000000001</v>
      </c>
      <c r="K213" s="4">
        <v>18639.55</v>
      </c>
      <c r="L213" s="4">
        <v>14749.959000000001</v>
      </c>
      <c r="M213" s="4">
        <v>18220.425999999999</v>
      </c>
      <c r="N213" s="4">
        <v>419.12400000000002</v>
      </c>
      <c r="O213" s="4">
        <v>-7950.3810000000003</v>
      </c>
      <c r="P213" s="4">
        <v>7254.8209999999999</v>
      </c>
      <c r="Q213" s="4">
        <v>5941.1580000000004</v>
      </c>
      <c r="R213" s="4">
        <v>1048.1179999999999</v>
      </c>
      <c r="S213" s="4">
        <v>25955.776000000002</v>
      </c>
      <c r="T213" s="4">
        <v>24161.583999999999</v>
      </c>
      <c r="U213" s="4">
        <v>25945.471000000001</v>
      </c>
      <c r="V213" s="4">
        <v>35371.366000000002</v>
      </c>
      <c r="W213" s="4">
        <v>34632.154000000002</v>
      </c>
      <c r="X213" s="4">
        <v>34741.402999999998</v>
      </c>
      <c r="Y213">
        <v>7.9843221963478705E-3</v>
      </c>
      <c r="Z213">
        <v>32672.5985</v>
      </c>
      <c r="AA213" t="s">
        <v>32</v>
      </c>
      <c r="AB213">
        <v>4</v>
      </c>
      <c r="AC213" t="s">
        <v>33</v>
      </c>
      <c r="AD213" s="5">
        <f t="shared" si="30"/>
        <v>-0.259996744450468</v>
      </c>
      <c r="AE213" s="5">
        <f t="shared" si="31"/>
        <v>-0.24346853571525043</v>
      </c>
      <c r="AF213" s="5">
        <f t="shared" si="32"/>
        <v>4.1826544734199882E-2</v>
      </c>
      <c r="AG213" s="5">
        <f t="shared" si="33"/>
        <v>1.6154033202943202E-2</v>
      </c>
      <c r="AH213" s="5">
        <f t="shared" si="34"/>
        <v>1.0738315418393101</v>
      </c>
      <c r="AI213" s="5">
        <f t="shared" si="35"/>
        <v>2.8554391624548699E-2</v>
      </c>
      <c r="AJ213" s="5">
        <f t="shared" si="36"/>
        <v>1.0230029747932348</v>
      </c>
      <c r="AK213" s="5">
        <f t="shared" si="37"/>
        <v>7.9843221963478705E-3</v>
      </c>
      <c r="AL213" s="5">
        <f t="shared" si="38"/>
        <v>0.7714539742096379</v>
      </c>
      <c r="AM213" s="10">
        <f t="shared" si="39"/>
        <v>39.571601721686179</v>
      </c>
    </row>
    <row r="214" spans="1:39" x14ac:dyDescent="0.3">
      <c r="A214">
        <v>15</v>
      </c>
      <c r="B214" t="s">
        <v>65</v>
      </c>
      <c r="C214" t="s">
        <v>58</v>
      </c>
      <c r="D214" s="1">
        <v>32268</v>
      </c>
      <c r="E214">
        <v>23</v>
      </c>
      <c r="F214" t="s">
        <v>66</v>
      </c>
      <c r="G214" s="4">
        <v>-1530.106</v>
      </c>
      <c r="H214" s="4">
        <v>-304.04199999999997</v>
      </c>
      <c r="I214" s="4">
        <v>10749.58</v>
      </c>
      <c r="J214" s="4">
        <v>505.5</v>
      </c>
      <c r="K214" s="4">
        <v>10622.43</v>
      </c>
      <c r="L214" s="4">
        <v>1261.7329999999999</v>
      </c>
      <c r="M214" s="4">
        <v>10914.492</v>
      </c>
      <c r="N214" s="4">
        <v>-292.06200000000001</v>
      </c>
      <c r="O214" s="4">
        <v>-491.142</v>
      </c>
      <c r="P214" s="4">
        <v>4501.5079999999998</v>
      </c>
      <c r="Q214" s="4">
        <v>3384.8649999999998</v>
      </c>
      <c r="R214" s="4">
        <v>249.756</v>
      </c>
      <c r="S214" s="4">
        <v>12056.021000000001</v>
      </c>
      <c r="T214" s="4">
        <v>14299.357</v>
      </c>
      <c r="U214" s="4">
        <v>15451.442999999999</v>
      </c>
      <c r="V214" s="4">
        <v>14852.67</v>
      </c>
      <c r="W214" s="4">
        <v>10439.217000000001</v>
      </c>
      <c r="X214" s="4">
        <v>6744.8670000000002</v>
      </c>
      <c r="Y214">
        <v>3.2715391047942903E-2</v>
      </c>
      <c r="Z214">
        <v>11872.04925</v>
      </c>
      <c r="AA214" t="s">
        <v>32</v>
      </c>
      <c r="AB214">
        <v>4</v>
      </c>
      <c r="AC214" t="s">
        <v>33</v>
      </c>
      <c r="AD214" s="5">
        <f t="shared" si="30"/>
        <v>-0.10098338796453142</v>
      </c>
      <c r="AE214" s="5">
        <f t="shared" si="31"/>
        <v>-2.8284081796684148E-2</v>
      </c>
      <c r="AF214" s="5">
        <f t="shared" si="32"/>
        <v>1.895294387354262E-2</v>
      </c>
      <c r="AG214" s="5">
        <f t="shared" si="33"/>
        <v>-1.8901923917397232E-2</v>
      </c>
      <c r="AH214" s="5">
        <f t="shared" si="34"/>
        <v>1.0805690773368342</v>
      </c>
      <c r="AI214" s="5">
        <f t="shared" si="35"/>
        <v>0.1122957017959315</v>
      </c>
      <c r="AJ214" s="5">
        <f t="shared" si="36"/>
        <v>0.97324089843118677</v>
      </c>
      <c r="AK214" s="5">
        <f t="shared" si="37"/>
        <v>3.2715391047942903E-2</v>
      </c>
      <c r="AL214" s="5">
        <f t="shared" si="38"/>
        <v>0.74286067548351997</v>
      </c>
      <c r="AM214" s="10">
        <f t="shared" si="39"/>
        <v>-36.805815203621144</v>
      </c>
    </row>
    <row r="215" spans="1:39" x14ac:dyDescent="0.3">
      <c r="A215">
        <v>16</v>
      </c>
      <c r="B215" t="s">
        <v>67</v>
      </c>
      <c r="C215" t="s">
        <v>35</v>
      </c>
      <c r="D215" s="1">
        <v>36682</v>
      </c>
      <c r="E215">
        <v>0</v>
      </c>
      <c r="F215" t="s">
        <v>68</v>
      </c>
      <c r="G215" s="4">
        <v>-240.797</v>
      </c>
      <c r="H215" s="4">
        <v>-181.5</v>
      </c>
      <c r="I215" s="4">
        <v>103</v>
      </c>
      <c r="J215" s="4">
        <v>83.531999999999996</v>
      </c>
      <c r="K215" s="4">
        <v>11594.963</v>
      </c>
      <c r="L215" s="4">
        <v>11468.894</v>
      </c>
      <c r="M215" s="4">
        <v>488.267</v>
      </c>
      <c r="N215" s="4">
        <v>11106.696</v>
      </c>
      <c r="O215" s="4">
        <v>-181.5</v>
      </c>
      <c r="P215" s="4">
        <v>3221.556</v>
      </c>
      <c r="Q215" s="4">
        <v>14244.72</v>
      </c>
      <c r="R215" s="4">
        <v>0</v>
      </c>
      <c r="S215" s="4">
        <v>14602.055</v>
      </c>
      <c r="T215" s="4">
        <v>14732.986999999999</v>
      </c>
      <c r="U215" s="4">
        <v>14816.519</v>
      </c>
      <c r="V215" s="4">
        <v>14926.386</v>
      </c>
      <c r="W215" s="4">
        <v>15555.87</v>
      </c>
      <c r="X215" s="4">
        <v>15650.796</v>
      </c>
      <c r="Y215">
        <v>5.6377614742032199E-3</v>
      </c>
      <c r="Z215">
        <v>15237.392750000001</v>
      </c>
      <c r="AA215" t="s">
        <v>32</v>
      </c>
      <c r="AB215">
        <v>4</v>
      </c>
      <c r="AC215" t="s">
        <v>33</v>
      </c>
      <c r="AD215" s="5">
        <f t="shared" si="30"/>
        <v>-1.6191895176345419E-2</v>
      </c>
      <c r="AE215" s="5">
        <f t="shared" si="31"/>
        <v>-1.7621359223300972</v>
      </c>
      <c r="AF215" s="5">
        <f t="shared" si="32"/>
        <v>0</v>
      </c>
      <c r="AG215" s="5">
        <f t="shared" si="33"/>
        <v>0.74961574982625812</v>
      </c>
      <c r="AH215" s="5">
        <f t="shared" si="34"/>
        <v>1.0056697260372252</v>
      </c>
      <c r="AI215" s="5">
        <f t="shared" si="35"/>
        <v>2.5929085199822694E-2</v>
      </c>
      <c r="AJ215" s="5">
        <f t="shared" si="36"/>
        <v>23.747177261621204</v>
      </c>
      <c r="AK215" s="5">
        <f t="shared" si="37"/>
        <v>5.6377614742032182E-3</v>
      </c>
      <c r="AL215" s="5">
        <f t="shared" si="38"/>
        <v>0.78700693891876783</v>
      </c>
      <c r="AM215" s="10">
        <f t="shared" si="39"/>
        <v>9.2736849914682104E-3</v>
      </c>
    </row>
    <row r="216" spans="1:39" x14ac:dyDescent="0.3">
      <c r="A216">
        <v>18</v>
      </c>
      <c r="B216" t="s">
        <v>72</v>
      </c>
      <c r="C216" t="s">
        <v>58</v>
      </c>
      <c r="D216" s="1">
        <v>38028</v>
      </c>
      <c r="E216">
        <v>0</v>
      </c>
      <c r="F216" t="s">
        <v>73</v>
      </c>
      <c r="G216" s="4">
        <v>-1982.0160000000001</v>
      </c>
      <c r="H216" s="4">
        <v>315.88499999999999</v>
      </c>
      <c r="I216" s="4">
        <v>827.024</v>
      </c>
      <c r="J216" s="4">
        <v>-1614.203</v>
      </c>
      <c r="K216" s="4">
        <v>8651.2049999999999</v>
      </c>
      <c r="L216" s="4">
        <v>8526.4439999999995</v>
      </c>
      <c r="M216" s="4">
        <v>9514.2610000000004</v>
      </c>
      <c r="N216" s="4">
        <v>-863.05600000000004</v>
      </c>
      <c r="O216" s="4">
        <v>-454.19499999999999</v>
      </c>
      <c r="P216" s="4">
        <v>5298.3590000000004</v>
      </c>
      <c r="Q216" s="4">
        <v>4546.7610000000004</v>
      </c>
      <c r="R216" s="4">
        <v>770.08</v>
      </c>
      <c r="S216" s="4">
        <v>14331.304</v>
      </c>
      <c r="T216" s="4">
        <v>14061.022000000001</v>
      </c>
      <c r="U216" s="4">
        <v>13949.769</v>
      </c>
      <c r="V216" s="4">
        <v>14710.643</v>
      </c>
      <c r="W216" s="4">
        <v>15884.678</v>
      </c>
      <c r="X216" s="4">
        <v>15886.987999999999</v>
      </c>
      <c r="Y216">
        <v>-0.115715392849874</v>
      </c>
      <c r="Z216">
        <v>15108.0195</v>
      </c>
      <c r="AA216" t="s">
        <v>32</v>
      </c>
      <c r="AB216">
        <v>4</v>
      </c>
      <c r="AC216" t="s">
        <v>33</v>
      </c>
      <c r="AD216" s="5">
        <f t="shared" si="30"/>
        <v>-0.13831036343790173</v>
      </c>
      <c r="AE216" s="5">
        <f t="shared" si="31"/>
        <v>0.38195384898140805</v>
      </c>
      <c r="AF216" s="5">
        <f t="shared" si="32"/>
        <v>5.4245643699639121E-2</v>
      </c>
      <c r="AG216" s="5">
        <f t="shared" si="33"/>
        <v>-6.1868838114810365E-2</v>
      </c>
      <c r="AH216" s="5">
        <f t="shared" si="34"/>
        <v>0.99208784397037419</v>
      </c>
      <c r="AI216" s="5">
        <f t="shared" si="35"/>
        <v>-0.30466093369664077</v>
      </c>
      <c r="AJ216" s="5">
        <f t="shared" si="36"/>
        <v>0.90928817277558394</v>
      </c>
      <c r="AK216" s="5">
        <f t="shared" si="37"/>
        <v>-0.11571539284987442</v>
      </c>
      <c r="AL216" s="5">
        <f t="shared" si="38"/>
        <v>0.61526146534725568</v>
      </c>
      <c r="AM216" s="10">
        <f t="shared" si="39"/>
        <v>-0.95825068129993873</v>
      </c>
    </row>
    <row r="217" spans="1:39" x14ac:dyDescent="0.3">
      <c r="A217">
        <v>19</v>
      </c>
      <c r="B217" t="s">
        <v>74</v>
      </c>
      <c r="C217" t="s">
        <v>30</v>
      </c>
      <c r="D217" s="1">
        <v>29762</v>
      </c>
      <c r="E217">
        <v>4</v>
      </c>
      <c r="F217" t="s">
        <v>75</v>
      </c>
      <c r="G217" s="4">
        <v>-4511.7759999999998</v>
      </c>
      <c r="H217" s="4">
        <v>-1735.8779999999999</v>
      </c>
      <c r="I217" s="4">
        <v>1042.625</v>
      </c>
      <c r="J217" s="4">
        <v>-5979.259</v>
      </c>
      <c r="K217" s="4">
        <v>11279.08</v>
      </c>
      <c r="L217" s="4">
        <v>10986.797</v>
      </c>
      <c r="M217" s="4">
        <v>17769.440999999999</v>
      </c>
      <c r="N217" s="4">
        <v>-6490.3609999999999</v>
      </c>
      <c r="O217" s="4">
        <v>-2748.2629999999999</v>
      </c>
      <c r="P217" s="4">
        <v>1460.383</v>
      </c>
      <c r="Q217" s="4">
        <v>0</v>
      </c>
      <c r="R217" s="4">
        <v>932.19899999999996</v>
      </c>
      <c r="S217" s="4">
        <v>17290.941999999999</v>
      </c>
      <c r="T217" s="4">
        <v>17769.440999999999</v>
      </c>
      <c r="U217" s="4">
        <v>12786.255999999999</v>
      </c>
      <c r="V217" s="4">
        <v>15996.741</v>
      </c>
      <c r="W217" s="4">
        <v>17670.918000000001</v>
      </c>
      <c r="X217" s="4">
        <v>22893.991000000002</v>
      </c>
      <c r="Y217">
        <v>-0.46763172894395399</v>
      </c>
      <c r="Z217">
        <v>17336.976500000001</v>
      </c>
      <c r="AA217" t="s">
        <v>32</v>
      </c>
      <c r="AB217">
        <v>4</v>
      </c>
      <c r="AC217" t="s">
        <v>33</v>
      </c>
      <c r="AD217" s="5">
        <f t="shared" si="30"/>
        <v>-0.31350286420833801</v>
      </c>
      <c r="AE217" s="5">
        <f t="shared" si="31"/>
        <v>-1.6649111617312071</v>
      </c>
      <c r="AF217" s="5">
        <f t="shared" si="32"/>
        <v>5.3176772198980253E-2</v>
      </c>
      <c r="AG217" s="5">
        <f t="shared" si="33"/>
        <v>-0.50760449344984182</v>
      </c>
      <c r="AH217" s="5">
        <f t="shared" si="34"/>
        <v>0.7195643351977139</v>
      </c>
      <c r="AI217" s="5">
        <f t="shared" si="35"/>
        <v>-4.0943088217269032</v>
      </c>
      <c r="AJ217" s="5">
        <f t="shared" si="36"/>
        <v>0.63474591012739234</v>
      </c>
      <c r="AK217" s="5">
        <f t="shared" si="37"/>
        <v>-0.46763172894395361</v>
      </c>
      <c r="AL217" s="5">
        <f t="shared" si="38"/>
        <v>0.63474591012739234</v>
      </c>
      <c r="AM217" s="10">
        <f t="shared" si="39"/>
        <v>-0.1606420659806134</v>
      </c>
    </row>
    <row r="218" spans="1:39" x14ac:dyDescent="0.3">
      <c r="A218">
        <v>20</v>
      </c>
      <c r="B218" t="s">
        <v>76</v>
      </c>
      <c r="C218" t="s">
        <v>58</v>
      </c>
      <c r="D218" s="1">
        <v>41221</v>
      </c>
      <c r="E218">
        <v>49</v>
      </c>
      <c r="F218" t="s">
        <v>77</v>
      </c>
      <c r="G218" s="4">
        <v>-3697.18</v>
      </c>
      <c r="H218" s="4">
        <v>-3367.2660000000001</v>
      </c>
      <c r="I218" s="4">
        <v>7778.0140000000001</v>
      </c>
      <c r="J218" s="4">
        <v>-3497.6990000000001</v>
      </c>
      <c r="K218" s="4">
        <v>11870.576999999999</v>
      </c>
      <c r="L218" s="4">
        <v>5713.5119999999997</v>
      </c>
      <c r="M218" s="4">
        <v>15522.553</v>
      </c>
      <c r="N218" s="4">
        <v>-3651.9760000000001</v>
      </c>
      <c r="O218" s="4">
        <v>-3580.1390000000001</v>
      </c>
      <c r="P218" s="4">
        <v>474.10599999999999</v>
      </c>
      <c r="Q218" s="4">
        <v>203.655</v>
      </c>
      <c r="R218" s="4">
        <v>214.68600000000001</v>
      </c>
      <c r="S218" s="4">
        <v>11987.866</v>
      </c>
      <c r="T218" s="4">
        <v>15726.208000000001</v>
      </c>
      <c r="U218" s="4">
        <v>12407.572</v>
      </c>
      <c r="V218" s="4">
        <v>12305.665000000001</v>
      </c>
      <c r="W218" s="4">
        <v>6825.8379999999997</v>
      </c>
      <c r="X218" s="4">
        <v>4291.5940000000001</v>
      </c>
      <c r="Y218">
        <v>-0.28190035890986598</v>
      </c>
      <c r="Z218">
        <v>8957.6672500000004</v>
      </c>
      <c r="AA218" t="s">
        <v>32</v>
      </c>
      <c r="AB218">
        <v>4</v>
      </c>
      <c r="AC218" t="s">
        <v>33</v>
      </c>
      <c r="AD218" s="5">
        <f t="shared" si="30"/>
        <v>-0.2992064536102656</v>
      </c>
      <c r="AE218" s="5">
        <f t="shared" si="31"/>
        <v>-0.43292105156920518</v>
      </c>
      <c r="AF218" s="5">
        <f t="shared" si="32"/>
        <v>1.5492922476861395E-2</v>
      </c>
      <c r="AG218" s="5">
        <f t="shared" si="33"/>
        <v>-0.29433445963481009</v>
      </c>
      <c r="AH218" s="5">
        <f t="shared" si="34"/>
        <v>0.78897417610144793</v>
      </c>
      <c r="AI218" s="5">
        <f t="shared" si="35"/>
        <v>-7.3774620021682917</v>
      </c>
      <c r="AJ218" s="5">
        <f t="shared" si="36"/>
        <v>0.76473096919044181</v>
      </c>
      <c r="AK218" s="5">
        <f t="shared" si="37"/>
        <v>-0.2819003589098657</v>
      </c>
      <c r="AL218" s="5">
        <f t="shared" si="38"/>
        <v>0.75482767365152481</v>
      </c>
      <c r="AM218" s="10">
        <f t="shared" si="39"/>
        <v>-2.1298097249269983</v>
      </c>
    </row>
    <row r="219" spans="1:39" x14ac:dyDescent="0.3">
      <c r="A219">
        <v>21</v>
      </c>
      <c r="B219" t="s">
        <v>78</v>
      </c>
      <c r="C219" t="s">
        <v>58</v>
      </c>
      <c r="D219" s="1">
        <v>37259</v>
      </c>
      <c r="E219">
        <v>70</v>
      </c>
      <c r="F219" t="s">
        <v>79</v>
      </c>
      <c r="G219" s="4">
        <v>-2291.9830000000002</v>
      </c>
      <c r="H219" s="4">
        <v>1276.2619999999999</v>
      </c>
      <c r="I219" s="4">
        <v>10962.406999999999</v>
      </c>
      <c r="J219" s="4">
        <v>-1842.5989999999999</v>
      </c>
      <c r="K219" s="4">
        <v>11406.029</v>
      </c>
      <c r="L219" s="4">
        <v>0</v>
      </c>
      <c r="M219" s="4">
        <v>12889.273999999999</v>
      </c>
      <c r="N219" s="4">
        <v>-1483.2449999999999</v>
      </c>
      <c r="O219" s="4">
        <v>1140.979</v>
      </c>
      <c r="P219" s="4">
        <v>915.26400000000001</v>
      </c>
      <c r="Q219" s="4">
        <v>840.89499999999998</v>
      </c>
      <c r="R219" s="4">
        <v>135.94499999999999</v>
      </c>
      <c r="S219" s="4">
        <v>20666.263999999999</v>
      </c>
      <c r="T219" s="4">
        <v>13730.169</v>
      </c>
      <c r="U219" s="4">
        <v>12321.294</v>
      </c>
      <c r="V219" s="4">
        <v>21583.188999999998</v>
      </c>
      <c r="W219" s="4">
        <v>14400.957</v>
      </c>
      <c r="X219" s="4">
        <v>7427.2809999999999</v>
      </c>
      <c r="Y219">
        <v>-0.14954589996797399</v>
      </c>
      <c r="Z219">
        <v>13933.180249999999</v>
      </c>
      <c r="AA219" t="s">
        <v>32</v>
      </c>
      <c r="AB219">
        <v>4</v>
      </c>
      <c r="AC219" t="s">
        <v>33</v>
      </c>
      <c r="AD219" s="5">
        <f t="shared" si="30"/>
        <v>-0.13520235657331806</v>
      </c>
      <c r="AE219" s="5">
        <f t="shared" si="31"/>
        <v>0.11642169461506037</v>
      </c>
      <c r="AF219" s="5">
        <f t="shared" si="32"/>
        <v>7.9045987123141526E-3</v>
      </c>
      <c r="AG219" s="5">
        <f t="shared" si="33"/>
        <v>-0.1203806191135444</v>
      </c>
      <c r="AH219" s="5">
        <f t="shared" si="34"/>
        <v>0.89738837154881346</v>
      </c>
      <c r="AI219" s="5">
        <f t="shared" si="35"/>
        <v>-2.0131885445073769</v>
      </c>
      <c r="AJ219" s="5">
        <f t="shared" si="36"/>
        <v>0.88492408494070351</v>
      </c>
      <c r="AK219" s="5">
        <f t="shared" si="37"/>
        <v>-0.14954589996797413</v>
      </c>
      <c r="AL219" s="5">
        <f t="shared" si="38"/>
        <v>0.8307275023344578</v>
      </c>
      <c r="AM219" s="10">
        <f t="shared" si="39"/>
        <v>-7.3908268694652604</v>
      </c>
    </row>
    <row r="220" spans="1:39" x14ac:dyDescent="0.3">
      <c r="A220">
        <v>22</v>
      </c>
      <c r="B220" t="s">
        <v>80</v>
      </c>
      <c r="C220" t="s">
        <v>58</v>
      </c>
      <c r="D220" s="1">
        <v>39055</v>
      </c>
      <c r="E220">
        <v>0</v>
      </c>
      <c r="F220" t="s">
        <v>81</v>
      </c>
      <c r="G220" s="4">
        <v>15.491</v>
      </c>
      <c r="H220" s="4">
        <v>27.670999999999999</v>
      </c>
      <c r="I220" s="4">
        <v>60.372</v>
      </c>
      <c r="J220" s="4">
        <v>-91.221999999999994</v>
      </c>
      <c r="K220" s="4">
        <v>10307.834000000001</v>
      </c>
      <c r="L220" s="4">
        <v>9344.7270000000008</v>
      </c>
      <c r="M220" s="4">
        <v>10898.289000000001</v>
      </c>
      <c r="N220" s="4">
        <v>-590.45500000000004</v>
      </c>
      <c r="O220" s="4">
        <v>15.491</v>
      </c>
      <c r="P220" s="4">
        <v>1044.595</v>
      </c>
      <c r="Q220" s="4">
        <v>524.30899999999997</v>
      </c>
      <c r="R220" s="4">
        <v>11.775</v>
      </c>
      <c r="S220" s="4">
        <v>11274.445</v>
      </c>
      <c r="T220" s="4">
        <v>11422.598</v>
      </c>
      <c r="U220" s="4">
        <v>11408.169</v>
      </c>
      <c r="V220" s="4">
        <v>11374.654</v>
      </c>
      <c r="W220" s="4">
        <v>11382.638999999999</v>
      </c>
      <c r="X220" s="4">
        <v>12706.171</v>
      </c>
      <c r="Y220">
        <v>-7.9961999160426192E-3</v>
      </c>
      <c r="Z220">
        <v>11717.90825</v>
      </c>
      <c r="AA220" t="s">
        <v>32</v>
      </c>
      <c r="AB220">
        <v>4</v>
      </c>
      <c r="AC220" t="s">
        <v>33</v>
      </c>
      <c r="AD220" s="5">
        <f t="shared" si="30"/>
        <v>1.3598841548301541E-3</v>
      </c>
      <c r="AE220" s="5">
        <f t="shared" si="31"/>
        <v>0.45834161531835949</v>
      </c>
      <c r="AF220" s="5">
        <f t="shared" si="32"/>
        <v>1.0375800935831158E-3</v>
      </c>
      <c r="AG220" s="5">
        <f t="shared" si="33"/>
        <v>-5.1757210118468622E-2</v>
      </c>
      <c r="AH220" s="5">
        <f t="shared" si="34"/>
        <v>0.99873680225812023</v>
      </c>
      <c r="AI220" s="5">
        <f t="shared" si="35"/>
        <v>-8.7327624581775704E-2</v>
      </c>
      <c r="AJ220" s="5">
        <f t="shared" si="36"/>
        <v>0.94582131195089436</v>
      </c>
      <c r="AK220" s="5">
        <f t="shared" si="37"/>
        <v>-7.9961999160426175E-3</v>
      </c>
      <c r="AL220" s="5">
        <f t="shared" si="38"/>
        <v>0.90240714065224048</v>
      </c>
      <c r="AM220" s="10">
        <f t="shared" si="39"/>
        <v>-0.10224657255845068</v>
      </c>
    </row>
    <row r="221" spans="1:39" x14ac:dyDescent="0.3">
      <c r="A221">
        <v>23</v>
      </c>
      <c r="B221" t="s">
        <v>82</v>
      </c>
      <c r="C221" t="s">
        <v>58</v>
      </c>
      <c r="D221" s="1">
        <v>40808</v>
      </c>
      <c r="E221">
        <v>0</v>
      </c>
      <c r="F221" t="s">
        <v>83</v>
      </c>
      <c r="G221" s="4">
        <v>76.686000000000007</v>
      </c>
      <c r="H221" s="4">
        <v>156.74</v>
      </c>
      <c r="I221" s="4">
        <v>200</v>
      </c>
      <c r="J221" s="4">
        <v>-204.88</v>
      </c>
      <c r="K221" s="4">
        <v>9596.2180000000008</v>
      </c>
      <c r="L221" s="4">
        <v>9062.6350000000002</v>
      </c>
      <c r="M221" s="4">
        <v>11293.56</v>
      </c>
      <c r="N221" s="4">
        <v>-1697.3420000000001</v>
      </c>
      <c r="O221" s="4">
        <v>78.852999999999994</v>
      </c>
      <c r="P221" s="4">
        <v>1492.4559999999999</v>
      </c>
      <c r="Q221" s="4">
        <v>0</v>
      </c>
      <c r="R221" s="4">
        <v>24.315999999999999</v>
      </c>
      <c r="S221" s="4">
        <v>11125.664000000001</v>
      </c>
      <c r="T221" s="4">
        <v>11293.56</v>
      </c>
      <c r="U221" s="4">
        <v>11088.68</v>
      </c>
      <c r="V221" s="4">
        <v>10557.519</v>
      </c>
      <c r="W221" s="4">
        <v>10833.66</v>
      </c>
      <c r="X221" s="4">
        <v>10397.290999999999</v>
      </c>
      <c r="Y221">
        <v>-1.8476500358924602E-2</v>
      </c>
      <c r="Z221">
        <v>10719.2875</v>
      </c>
      <c r="AA221" t="s">
        <v>32</v>
      </c>
      <c r="AB221">
        <v>4</v>
      </c>
      <c r="AC221" t="s">
        <v>33</v>
      </c>
      <c r="AD221" s="5">
        <f t="shared" si="30"/>
        <v>7.085400998115189E-3</v>
      </c>
      <c r="AE221" s="5">
        <f t="shared" si="31"/>
        <v>0.78370000000000006</v>
      </c>
      <c r="AF221" s="5">
        <f t="shared" si="32"/>
        <v>2.169209781748021E-3</v>
      </c>
      <c r="AG221" s="5">
        <f t="shared" si="33"/>
        <v>-0.15306979730680298</v>
      </c>
      <c r="AH221" s="5">
        <f t="shared" si="34"/>
        <v>0.9818586876060339</v>
      </c>
      <c r="AI221" s="5">
        <f t="shared" si="35"/>
        <v>-0.13727707885525603</v>
      </c>
      <c r="AJ221" s="5">
        <f t="shared" si="36"/>
        <v>0.84970708970422093</v>
      </c>
      <c r="AK221" s="5">
        <f t="shared" si="37"/>
        <v>-1.8476500358924595E-2</v>
      </c>
      <c r="AL221" s="5">
        <f t="shared" si="38"/>
        <v>0.84970708970422093</v>
      </c>
      <c r="AM221" s="10">
        <f t="shared" si="39"/>
        <v>-0.11783129151343688</v>
      </c>
    </row>
    <row r="222" spans="1:39" x14ac:dyDescent="0.3">
      <c r="A222">
        <v>37</v>
      </c>
      <c r="B222" t="s">
        <v>100</v>
      </c>
      <c r="C222" t="s">
        <v>101</v>
      </c>
      <c r="D222" s="1">
        <v>36216</v>
      </c>
      <c r="E222">
        <v>0</v>
      </c>
      <c r="F222" t="s">
        <v>102</v>
      </c>
      <c r="G222" s="4">
        <v>-145.946</v>
      </c>
      <c r="H222" s="4">
        <v>-133.946</v>
      </c>
      <c r="I222" s="4">
        <v>1.2450000000000001</v>
      </c>
      <c r="J222" s="4">
        <v>-4821.7430000000004</v>
      </c>
      <c r="K222" s="4">
        <v>1845.6859999999999</v>
      </c>
      <c r="L222" s="4">
        <v>1636</v>
      </c>
      <c r="M222" s="4">
        <v>12409.467000000001</v>
      </c>
      <c r="N222" s="4">
        <v>-10563.781000000001</v>
      </c>
      <c r="O222" s="4">
        <v>-145.946</v>
      </c>
      <c r="P222" s="4">
        <v>6170.598</v>
      </c>
      <c r="Q222" s="4">
        <v>415.505</v>
      </c>
      <c r="R222" s="4">
        <v>12</v>
      </c>
      <c r="S222" s="4">
        <v>12721.467000000001</v>
      </c>
      <c r="T222" s="4">
        <v>12824.972</v>
      </c>
      <c r="U222" s="4">
        <v>8016.2839999999997</v>
      </c>
      <c r="V222" s="4">
        <v>8066.9129999999996</v>
      </c>
      <c r="W222" s="4">
        <v>8238.86</v>
      </c>
      <c r="X222" s="4">
        <v>15801.436</v>
      </c>
      <c r="Y222">
        <v>-0.60149353490969104</v>
      </c>
      <c r="Z222">
        <v>10030.873250000001</v>
      </c>
      <c r="AA222" t="s">
        <v>32</v>
      </c>
      <c r="AB222">
        <v>4</v>
      </c>
      <c r="AC222" t="s">
        <v>33</v>
      </c>
      <c r="AD222" s="5">
        <f t="shared" si="30"/>
        <v>-1.8148879230914104E-2</v>
      </c>
      <c r="AE222" s="5">
        <f t="shared" si="31"/>
        <v>-107.5871485943775</v>
      </c>
      <c r="AF222" s="5">
        <f t="shared" si="32"/>
        <v>9.3946557483021414E-4</v>
      </c>
      <c r="AG222" s="5">
        <f t="shared" si="33"/>
        <v>-1.3177902629198268</v>
      </c>
      <c r="AH222" s="5">
        <f t="shared" si="34"/>
        <v>0.62505274865317439</v>
      </c>
      <c r="AI222" s="5">
        <f t="shared" si="35"/>
        <v>-0.78140611331349097</v>
      </c>
      <c r="AJ222" s="5">
        <f t="shared" si="36"/>
        <v>0.14873209300608961</v>
      </c>
      <c r="AK222" s="5">
        <f t="shared" si="37"/>
        <v>-0.60149353490969137</v>
      </c>
      <c r="AL222" s="5">
        <f t="shared" si="38"/>
        <v>0.14391345259857097</v>
      </c>
      <c r="AM222" s="10">
        <f t="shared" si="39"/>
        <v>-1.1785552918978536E-4</v>
      </c>
    </row>
    <row r="223" spans="1:39" x14ac:dyDescent="0.3">
      <c r="A223">
        <v>38</v>
      </c>
      <c r="B223" t="s">
        <v>103</v>
      </c>
      <c r="C223" t="s">
        <v>58</v>
      </c>
      <c r="D223" s="1">
        <v>36348</v>
      </c>
      <c r="E223">
        <v>0</v>
      </c>
      <c r="F223" t="s">
        <v>104</v>
      </c>
      <c r="G223" s="4">
        <v>-650.07299999999998</v>
      </c>
      <c r="H223" s="4">
        <v>-486.404</v>
      </c>
      <c r="I223" s="4">
        <v>535.553</v>
      </c>
      <c r="J223" s="4">
        <v>-6678.9040000000005</v>
      </c>
      <c r="K223" s="4">
        <v>7756.7389999999996</v>
      </c>
      <c r="L223" s="4">
        <v>7299.8459999999995</v>
      </c>
      <c r="M223" s="4">
        <v>1830.508</v>
      </c>
      <c r="N223" s="4">
        <v>5926.2309999999998</v>
      </c>
      <c r="O223" s="4">
        <v>-649.27499999999998</v>
      </c>
      <c r="P223" s="4">
        <v>2.3580000000000001</v>
      </c>
      <c r="Q223" s="4">
        <v>11151.833000000001</v>
      </c>
      <c r="R223" s="4">
        <v>162.88200000000001</v>
      </c>
      <c r="S223" s="4">
        <v>17512.672999999999</v>
      </c>
      <c r="T223" s="4">
        <v>12982.341</v>
      </c>
      <c r="U223" s="4">
        <v>7765.6260000000002</v>
      </c>
      <c r="V223" s="4">
        <v>12783.315000000001</v>
      </c>
      <c r="W223" s="4">
        <v>12747.07</v>
      </c>
      <c r="X223" s="4">
        <v>12748.896000000001</v>
      </c>
      <c r="Y223">
        <v>-0.86005996168241905</v>
      </c>
      <c r="Z223">
        <v>11511.22675</v>
      </c>
      <c r="AA223" t="s">
        <v>32</v>
      </c>
      <c r="AB223">
        <v>4</v>
      </c>
      <c r="AC223" t="s">
        <v>33</v>
      </c>
      <c r="AD223" s="5">
        <f t="shared" si="30"/>
        <v>-6.3270705775056724E-2</v>
      </c>
      <c r="AE223" s="5">
        <f t="shared" si="31"/>
        <v>-0.9082275703805226</v>
      </c>
      <c r="AF223" s="5">
        <f t="shared" si="32"/>
        <v>1.0682533216741596E-2</v>
      </c>
      <c r="AG223" s="5">
        <f t="shared" si="33"/>
        <v>0.76313628804683609</v>
      </c>
      <c r="AH223" s="5">
        <f t="shared" si="34"/>
        <v>0.59816838889072477</v>
      </c>
      <c r="AI223" s="5">
        <f t="shared" si="35"/>
        <v>-2832.4444444444443</v>
      </c>
      <c r="AJ223" s="5">
        <f t="shared" si="36"/>
        <v>4.2374788856426742</v>
      </c>
      <c r="AK223" s="5">
        <f t="shared" si="37"/>
        <v>-0.86005996168241949</v>
      </c>
      <c r="AL223" s="5">
        <f t="shared" si="38"/>
        <v>0.59748384363035911</v>
      </c>
      <c r="AM223" s="10">
        <f t="shared" si="39"/>
        <v>9.0369916393741659E-2</v>
      </c>
    </row>
    <row r="224" spans="1:39" x14ac:dyDescent="0.3">
      <c r="A224">
        <v>44</v>
      </c>
      <c r="B224" t="s">
        <v>111</v>
      </c>
      <c r="C224" t="s">
        <v>101</v>
      </c>
      <c r="D224" s="1">
        <v>39114</v>
      </c>
      <c r="E224">
        <v>0</v>
      </c>
      <c r="F224" t="s">
        <v>112</v>
      </c>
      <c r="G224" s="4">
        <v>-0.82199999999999995</v>
      </c>
      <c r="H224" s="4">
        <v>8.3239999999999998</v>
      </c>
      <c r="I224" s="4">
        <v>118.386</v>
      </c>
      <c r="J224" s="4">
        <v>364.36900000000003</v>
      </c>
      <c r="K224" s="4">
        <v>6951.7839999999997</v>
      </c>
      <c r="L224" s="4">
        <v>6739.616</v>
      </c>
      <c r="M224" s="4">
        <v>5786.9319999999998</v>
      </c>
      <c r="N224" s="4">
        <v>1164.8520000000001</v>
      </c>
      <c r="O224" s="4">
        <v>8.3130000000000006</v>
      </c>
      <c r="P224" s="4">
        <v>33.439</v>
      </c>
      <c r="Q224" s="4">
        <v>842.85400000000004</v>
      </c>
      <c r="R224" s="4">
        <v>1.0999999999999999E-2</v>
      </c>
      <c r="S224" s="4">
        <v>6517.8789999999999</v>
      </c>
      <c r="T224" s="4">
        <v>6629.7860000000001</v>
      </c>
      <c r="U224" s="4">
        <v>6994.3239999999996</v>
      </c>
      <c r="V224" s="4">
        <v>6887.8140000000003</v>
      </c>
      <c r="W224" s="4">
        <v>6860.5069999999996</v>
      </c>
      <c r="X224" s="4">
        <v>6859.9269999999997</v>
      </c>
      <c r="Y224">
        <v>5.2094955852774301E-2</v>
      </c>
      <c r="Z224">
        <v>6900.643</v>
      </c>
      <c r="AA224" t="s">
        <v>32</v>
      </c>
      <c r="AB224">
        <v>4</v>
      </c>
      <c r="AC224" t="s">
        <v>33</v>
      </c>
      <c r="AD224" s="5">
        <f t="shared" si="30"/>
        <v>-1.1842556240256364E-4</v>
      </c>
      <c r="AE224" s="5">
        <f t="shared" si="31"/>
        <v>7.0312368016488436E-2</v>
      </c>
      <c r="AF224" s="5">
        <f t="shared" si="32"/>
        <v>1.6733009245367901E-6</v>
      </c>
      <c r="AG224" s="5">
        <f t="shared" si="33"/>
        <v>0.16654247072340375</v>
      </c>
      <c r="AH224" s="5">
        <f t="shared" si="34"/>
        <v>1.0549848818649652</v>
      </c>
      <c r="AI224" s="5">
        <f t="shared" si="35"/>
        <v>10.896528006220283</v>
      </c>
      <c r="AJ224" s="5">
        <f t="shared" si="36"/>
        <v>1.2012900790954515</v>
      </c>
      <c r="AK224" s="5">
        <f t="shared" si="37"/>
        <v>5.2094955852774343E-2</v>
      </c>
      <c r="AL224" s="5">
        <f t="shared" si="38"/>
        <v>1.0485683851635632</v>
      </c>
      <c r="AM224" s="10">
        <f t="shared" si="39"/>
        <v>0.10163179528386437</v>
      </c>
    </row>
    <row r="225" spans="1:39" x14ac:dyDescent="0.3">
      <c r="A225">
        <v>45</v>
      </c>
      <c r="B225" t="s">
        <v>113</v>
      </c>
      <c r="C225" t="s">
        <v>45</v>
      </c>
      <c r="D225" s="1">
        <v>38869</v>
      </c>
      <c r="E225">
        <v>79</v>
      </c>
      <c r="F225" t="s">
        <v>114</v>
      </c>
      <c r="G225" s="4">
        <v>-1546.7629999999999</v>
      </c>
      <c r="H225" s="4">
        <v>1141.7439999999999</v>
      </c>
      <c r="I225" s="4">
        <v>3782.3020000000001</v>
      </c>
      <c r="J225" s="4">
        <v>-141.71299999999999</v>
      </c>
      <c r="K225" s="4">
        <v>2897.4720000000002</v>
      </c>
      <c r="L225" s="4">
        <v>300.91699999999997</v>
      </c>
      <c r="M225" s="4">
        <v>5520.5060000000003</v>
      </c>
      <c r="N225" s="4">
        <v>-2623.0340000000001</v>
      </c>
      <c r="O225" s="4">
        <v>914.61300000000006</v>
      </c>
      <c r="P225" s="4">
        <v>4029.2379999999998</v>
      </c>
      <c r="Q225" s="4">
        <v>810.46400000000006</v>
      </c>
      <c r="R225" s="4">
        <v>181.27199999999999</v>
      </c>
      <c r="S225" s="4">
        <v>9530.2090000000007</v>
      </c>
      <c r="T225" s="4">
        <v>6330.97</v>
      </c>
      <c r="U225" s="4">
        <v>6926.71</v>
      </c>
      <c r="V225" s="4">
        <v>11557.494000000001</v>
      </c>
      <c r="W225" s="4">
        <v>10657.866</v>
      </c>
      <c r="X225" s="4">
        <v>6454.9780000000001</v>
      </c>
      <c r="Y225">
        <v>-2.04589191694181E-2</v>
      </c>
      <c r="Z225">
        <v>8899.2620000000006</v>
      </c>
      <c r="AA225" t="s">
        <v>32</v>
      </c>
      <c r="AB225">
        <v>4</v>
      </c>
      <c r="AC225" t="s">
        <v>33</v>
      </c>
      <c r="AD225" s="5">
        <f t="shared" si="30"/>
        <v>-0.16736052036647073</v>
      </c>
      <c r="AE225" s="5">
        <f t="shared" si="31"/>
        <v>0.30186484315636347</v>
      </c>
      <c r="AF225" s="5">
        <f t="shared" si="32"/>
        <v>2.2857317227174601E-2</v>
      </c>
      <c r="AG225" s="5">
        <f t="shared" si="33"/>
        <v>-0.37868396395980197</v>
      </c>
      <c r="AH225" s="5">
        <f t="shared" si="34"/>
        <v>1.0940993244321171</v>
      </c>
      <c r="AI225" s="5">
        <f t="shared" si="35"/>
        <v>-3.5171166359495271E-2</v>
      </c>
      <c r="AJ225" s="5">
        <f t="shared" si="36"/>
        <v>0.52485623600445319</v>
      </c>
      <c r="AK225" s="5">
        <f t="shared" si="37"/>
        <v>-2.0458919169418093E-2</v>
      </c>
      <c r="AL225" s="5">
        <f t="shared" si="38"/>
        <v>0.45766636076304262</v>
      </c>
      <c r="AM225" s="10">
        <f t="shared" si="39"/>
        <v>-1.4419569094415092</v>
      </c>
    </row>
    <row r="226" spans="1:39" x14ac:dyDescent="0.3">
      <c r="A226">
        <v>47</v>
      </c>
      <c r="B226" t="s">
        <v>115</v>
      </c>
      <c r="C226" t="s">
        <v>101</v>
      </c>
      <c r="D226" s="1">
        <v>38296</v>
      </c>
      <c r="E226">
        <v>6</v>
      </c>
      <c r="F226" t="s">
        <v>116</v>
      </c>
      <c r="G226" s="4">
        <v>-11775.634</v>
      </c>
      <c r="H226" s="4">
        <v>-7838.3140000000003</v>
      </c>
      <c r="I226" s="4">
        <v>4434.0990000000002</v>
      </c>
      <c r="J226" s="4">
        <v>-8969.4480000000003</v>
      </c>
      <c r="K226" s="4">
        <v>3641.9760000000001</v>
      </c>
      <c r="L226" s="4">
        <v>300</v>
      </c>
      <c r="M226" s="4">
        <v>10919.084000000001</v>
      </c>
      <c r="N226" s="4">
        <v>-7277.1080000000002</v>
      </c>
      <c r="O226" s="4">
        <v>-9737.8889999999992</v>
      </c>
      <c r="P226" s="4">
        <v>2935.5329999999999</v>
      </c>
      <c r="Q226" s="4">
        <v>2144.7579999999998</v>
      </c>
      <c r="R226" s="4">
        <v>40.784999999999997</v>
      </c>
      <c r="S226" s="4">
        <v>14411.772000000001</v>
      </c>
      <c r="T226" s="4">
        <v>13063.842000000001</v>
      </c>
      <c r="U226" s="4">
        <v>6628.8490000000002</v>
      </c>
      <c r="V226" s="4">
        <v>17408.991999999998</v>
      </c>
      <c r="W226" s="4">
        <v>16709.116000000002</v>
      </c>
      <c r="X226" s="4">
        <v>16485.425999999999</v>
      </c>
      <c r="Y226">
        <v>-1.3530928219967</v>
      </c>
      <c r="Z226">
        <v>14308.09575</v>
      </c>
      <c r="AA226" t="s">
        <v>32</v>
      </c>
      <c r="AB226">
        <v>4</v>
      </c>
      <c r="AC226" t="s">
        <v>33</v>
      </c>
      <c r="AD226" s="5">
        <f t="shared" si="30"/>
        <v>-0.97975804066596495</v>
      </c>
      <c r="AE226" s="5">
        <f t="shared" si="31"/>
        <v>-1.7677354520050184</v>
      </c>
      <c r="AF226" s="5">
        <f t="shared" si="32"/>
        <v>2.968814454883519E-3</v>
      </c>
      <c r="AG226" s="5">
        <f t="shared" si="33"/>
        <v>-1.097793598858565</v>
      </c>
      <c r="AH226" s="5">
        <f t="shared" si="34"/>
        <v>0.50741956309636937</v>
      </c>
      <c r="AI226" s="5">
        <f t="shared" si="35"/>
        <v>-3.0554751045210531</v>
      </c>
      <c r="AJ226" s="5">
        <f t="shared" si="36"/>
        <v>0.33354226416794669</v>
      </c>
      <c r="AK226" s="5">
        <f t="shared" si="37"/>
        <v>-1.3530928219966996</v>
      </c>
      <c r="AL226" s="5">
        <f t="shared" si="38"/>
        <v>0.2787829185319296</v>
      </c>
      <c r="AM226" s="10">
        <f t="shared" si="39"/>
        <v>-0.60932158764168409</v>
      </c>
    </row>
    <row r="227" spans="1:39" x14ac:dyDescent="0.3">
      <c r="A227">
        <v>48</v>
      </c>
      <c r="B227" t="s">
        <v>117</v>
      </c>
      <c r="C227" t="s">
        <v>42</v>
      </c>
      <c r="D227" s="1">
        <v>41857</v>
      </c>
      <c r="E227">
        <v>50</v>
      </c>
      <c r="F227" t="s">
        <v>118</v>
      </c>
      <c r="G227" s="4">
        <v>67.031999999999996</v>
      </c>
      <c r="H227" s="4">
        <v>492.02499999999998</v>
      </c>
      <c r="I227" s="4">
        <v>4671.7809999999999</v>
      </c>
      <c r="J227" s="4">
        <v>623.73</v>
      </c>
      <c r="K227" s="4">
        <v>5342.3540000000003</v>
      </c>
      <c r="L227" s="4">
        <v>1079.307</v>
      </c>
      <c r="M227" s="4">
        <v>4954.2309999999998</v>
      </c>
      <c r="N227" s="4">
        <v>388.12299999999999</v>
      </c>
      <c r="O227" s="4">
        <v>338.95</v>
      </c>
      <c r="P227" s="4">
        <v>1044.723</v>
      </c>
      <c r="Q227" s="4">
        <v>523.75099999999998</v>
      </c>
      <c r="R227" s="4">
        <v>99.376000000000005</v>
      </c>
      <c r="S227" s="4">
        <v>4965.59</v>
      </c>
      <c r="T227" s="4">
        <v>5477.982</v>
      </c>
      <c r="U227" s="4">
        <v>6409.8810000000003</v>
      </c>
      <c r="V227" s="4">
        <v>5790.28</v>
      </c>
      <c r="W227" s="4">
        <v>5385.58</v>
      </c>
      <c r="X227" s="4">
        <v>3662.36</v>
      </c>
      <c r="Y227">
        <v>9.7307578721040205E-2</v>
      </c>
      <c r="Z227">
        <v>5312.0252499999997</v>
      </c>
      <c r="AA227" t="s">
        <v>32</v>
      </c>
      <c r="AB227">
        <v>4</v>
      </c>
      <c r="AC227" t="s">
        <v>33</v>
      </c>
      <c r="AD227" s="5">
        <f t="shared" si="30"/>
        <v>1.0988707444106679E-2</v>
      </c>
      <c r="AE227" s="5">
        <f t="shared" si="31"/>
        <v>0.10531850701049557</v>
      </c>
      <c r="AF227" s="5">
        <f t="shared" si="32"/>
        <v>1.9031036507432514E-2</v>
      </c>
      <c r="AG227" s="5">
        <f t="shared" si="33"/>
        <v>6.0550734093191429E-2</v>
      </c>
      <c r="AH227" s="5">
        <f t="shared" si="34"/>
        <v>1.1701172073949859</v>
      </c>
      <c r="AI227" s="5">
        <f t="shared" si="35"/>
        <v>0.59702906894937702</v>
      </c>
      <c r="AJ227" s="5">
        <f t="shared" si="36"/>
        <v>1.0783417244775224</v>
      </c>
      <c r="AK227" s="5">
        <f t="shared" si="37"/>
        <v>9.7307578721040219E-2</v>
      </c>
      <c r="AL227" s="5">
        <f t="shared" si="38"/>
        <v>0.97524124759811193</v>
      </c>
      <c r="AM227" s="10">
        <f t="shared" si="39"/>
        <v>12.03685687269242</v>
      </c>
    </row>
    <row r="228" spans="1:39" x14ac:dyDescent="0.3">
      <c r="A228">
        <v>50</v>
      </c>
      <c r="B228" t="s">
        <v>119</v>
      </c>
      <c r="C228" t="s">
        <v>35</v>
      </c>
      <c r="D228" s="1">
        <v>37551</v>
      </c>
      <c r="E228">
        <v>2</v>
      </c>
      <c r="F228" t="s">
        <v>120</v>
      </c>
      <c r="G228" s="4">
        <v>-50.609000000000002</v>
      </c>
      <c r="H228" s="4">
        <v>-48.052</v>
      </c>
      <c r="I228" s="4">
        <v>13.518000000000001</v>
      </c>
      <c r="J228" s="4">
        <v>121.61799999999999</v>
      </c>
      <c r="K228" s="4">
        <v>4520.2920000000004</v>
      </c>
      <c r="L228" s="4">
        <v>918.11400000000003</v>
      </c>
      <c r="M228" s="4">
        <v>3235.9670000000001</v>
      </c>
      <c r="N228" s="4">
        <v>1284.325</v>
      </c>
      <c r="O228" s="4">
        <v>-50.609000000000002</v>
      </c>
      <c r="P228" s="4">
        <v>1848.7070000000001</v>
      </c>
      <c r="Q228" s="4">
        <v>2949.1329999999998</v>
      </c>
      <c r="R228" s="4">
        <v>0.15</v>
      </c>
      <c r="S228" s="4">
        <v>6182.14</v>
      </c>
      <c r="T228" s="4">
        <v>6185.1</v>
      </c>
      <c r="U228" s="4">
        <v>6370.2020000000002</v>
      </c>
      <c r="V228" s="4">
        <v>6258.143</v>
      </c>
      <c r="W228" s="4">
        <v>10619.295</v>
      </c>
      <c r="X228" s="4">
        <v>10008.678</v>
      </c>
      <c r="Y228">
        <v>1.90917022725496E-2</v>
      </c>
      <c r="Z228">
        <v>8314.0794999999998</v>
      </c>
      <c r="AA228" t="s">
        <v>32</v>
      </c>
      <c r="AB228">
        <v>4</v>
      </c>
      <c r="AC228" t="s">
        <v>33</v>
      </c>
      <c r="AD228" s="5">
        <f t="shared" si="30"/>
        <v>-8.0151437104386998E-3</v>
      </c>
      <c r="AE228" s="5">
        <f t="shared" si="31"/>
        <v>-3.554667850273709</v>
      </c>
      <c r="AF228" s="5">
        <f t="shared" si="32"/>
        <v>2.4257635495065993E-5</v>
      </c>
      <c r="AG228" s="5">
        <f t="shared" si="33"/>
        <v>0.20161448569448817</v>
      </c>
      <c r="AH228" s="5">
        <f t="shared" si="34"/>
        <v>1.0299270828280869</v>
      </c>
      <c r="AI228" s="5">
        <f t="shared" si="35"/>
        <v>6.5785438146769598E-2</v>
      </c>
      <c r="AJ228" s="5">
        <f t="shared" si="36"/>
        <v>1.3968906357821327</v>
      </c>
      <c r="AK228" s="5">
        <f t="shared" si="37"/>
        <v>1.9091702272549596E-2</v>
      </c>
      <c r="AL228" s="5">
        <f t="shared" si="38"/>
        <v>0.73083571809671632</v>
      </c>
      <c r="AM228" s="10">
        <f t="shared" si="39"/>
        <v>1.0525373250540168E-2</v>
      </c>
    </row>
    <row r="229" spans="1:39" x14ac:dyDescent="0.3">
      <c r="A229">
        <v>53</v>
      </c>
      <c r="B229" t="s">
        <v>121</v>
      </c>
      <c r="C229" t="s">
        <v>101</v>
      </c>
      <c r="D229" s="1">
        <v>41185</v>
      </c>
      <c r="E229">
        <v>14</v>
      </c>
      <c r="F229" t="s">
        <v>122</v>
      </c>
      <c r="G229" s="4">
        <v>-6622.64</v>
      </c>
      <c r="H229" s="4">
        <v>-4551.3860000000004</v>
      </c>
      <c r="I229" s="4">
        <v>11688.686</v>
      </c>
      <c r="J229" s="4">
        <v>-6464.6139999999996</v>
      </c>
      <c r="K229" s="4">
        <v>6083.5389999999998</v>
      </c>
      <c r="L229" s="4">
        <v>670</v>
      </c>
      <c r="M229" s="4">
        <v>10804.166999999999</v>
      </c>
      <c r="N229" s="4">
        <v>-4720.6279999999997</v>
      </c>
      <c r="O229" s="4">
        <v>-4725.4009999999998</v>
      </c>
      <c r="P229" s="4">
        <v>29.277000000000001</v>
      </c>
      <c r="Q229" s="4">
        <v>102.283</v>
      </c>
      <c r="R229" s="4">
        <v>174.01499999999999</v>
      </c>
      <c r="S229" s="4">
        <v>11084.253000000001</v>
      </c>
      <c r="T229" s="4">
        <v>10906.45</v>
      </c>
      <c r="U229" s="4">
        <v>6132.5519999999997</v>
      </c>
      <c r="V229" s="4">
        <v>11445.107</v>
      </c>
      <c r="W229" s="4">
        <v>10137.721</v>
      </c>
      <c r="X229" s="4">
        <v>5094.6270000000004</v>
      </c>
      <c r="Y229">
        <v>-1.05414744139145</v>
      </c>
      <c r="Z229">
        <v>8202.5017499999994</v>
      </c>
      <c r="AA229" t="s">
        <v>32</v>
      </c>
      <c r="AB229">
        <v>4</v>
      </c>
      <c r="AC229" t="s">
        <v>33</v>
      </c>
      <c r="AD229" s="5">
        <f t="shared" si="30"/>
        <v>-0.75352923844978448</v>
      </c>
      <c r="AE229" s="5">
        <f t="shared" si="31"/>
        <v>-0.38938388797508983</v>
      </c>
      <c r="AF229" s="5">
        <f t="shared" si="32"/>
        <v>1.5826233476937956E-2</v>
      </c>
      <c r="AG229" s="5">
        <f t="shared" si="33"/>
        <v>-0.76976567014841457</v>
      </c>
      <c r="AH229" s="5">
        <f t="shared" si="34"/>
        <v>0.56228672024352555</v>
      </c>
      <c r="AI229" s="5">
        <f t="shared" si="35"/>
        <v>-220.80862110188883</v>
      </c>
      <c r="AJ229" s="5">
        <f t="shared" si="36"/>
        <v>0.5630733956629882</v>
      </c>
      <c r="AK229" s="5">
        <f t="shared" si="37"/>
        <v>-1.0541474413914469</v>
      </c>
      <c r="AL229" s="5">
        <f t="shared" si="38"/>
        <v>0.55779277400070593</v>
      </c>
      <c r="AM229" s="10">
        <f t="shared" si="39"/>
        <v>-2.4760870799393642</v>
      </c>
    </row>
    <row r="230" spans="1:39" x14ac:dyDescent="0.3">
      <c r="A230">
        <v>54</v>
      </c>
      <c r="B230" t="s">
        <v>123</v>
      </c>
      <c r="C230" t="s">
        <v>42</v>
      </c>
      <c r="D230" s="1">
        <v>36817</v>
      </c>
      <c r="E230">
        <v>0</v>
      </c>
      <c r="F230" t="s">
        <v>124</v>
      </c>
      <c r="G230" s="4">
        <v>-436.56700000000001</v>
      </c>
      <c r="H230" s="4">
        <v>-230.37299999999999</v>
      </c>
      <c r="I230" s="4">
        <v>7.266</v>
      </c>
      <c r="J230" s="4">
        <v>-6477.9059999999999</v>
      </c>
      <c r="K230" s="4">
        <v>6122.8360000000002</v>
      </c>
      <c r="L230" s="4">
        <v>6094.259</v>
      </c>
      <c r="M230" s="4">
        <v>12568.134</v>
      </c>
      <c r="N230" s="4">
        <v>-6445.2979999999998</v>
      </c>
      <c r="O230" s="4">
        <v>-308.798</v>
      </c>
      <c r="P230" s="4">
        <v>0</v>
      </c>
      <c r="Q230" s="4">
        <v>0</v>
      </c>
      <c r="R230" s="4">
        <v>78.432000000000002</v>
      </c>
      <c r="S230" s="4">
        <v>12374.165999999999</v>
      </c>
      <c r="T230" s="4">
        <v>12568.134</v>
      </c>
      <c r="U230" s="4">
        <v>6127.576</v>
      </c>
      <c r="V230" s="4">
        <v>6369.7749999999996</v>
      </c>
      <c r="W230" s="4">
        <v>7122.0810000000001</v>
      </c>
      <c r="X230" s="4">
        <v>12961.796</v>
      </c>
      <c r="Y230">
        <v>-1.05717268949418</v>
      </c>
      <c r="Z230">
        <v>8145.3069999999998</v>
      </c>
      <c r="AA230" t="s">
        <v>32</v>
      </c>
      <c r="AB230">
        <v>4</v>
      </c>
      <c r="AC230" t="s">
        <v>33</v>
      </c>
      <c r="AD230" s="5">
        <f t="shared" si="30"/>
        <v>-6.9865525902249218E-2</v>
      </c>
      <c r="AE230" s="5">
        <f t="shared" si="31"/>
        <v>-31.705615194054499</v>
      </c>
      <c r="AF230" s="5">
        <f t="shared" si="32"/>
        <v>6.2890751855281994E-3</v>
      </c>
      <c r="AG230" s="5">
        <f t="shared" si="33"/>
        <v>-1.0518511724701578</v>
      </c>
      <c r="AH230" s="5">
        <f t="shared" si="34"/>
        <v>0.4875485891541258</v>
      </c>
      <c r="AI230" s="5" t="e">
        <f t="shared" si="35"/>
        <v>#DIV/0!</v>
      </c>
      <c r="AJ230" s="5">
        <f t="shared" si="36"/>
        <v>0.48717144486206149</v>
      </c>
      <c r="AK230" s="5">
        <f t="shared" si="37"/>
        <v>-1.0571726894941817</v>
      </c>
      <c r="AL230" s="5">
        <f t="shared" si="38"/>
        <v>0.48717144486206149</v>
      </c>
      <c r="AM230" s="10">
        <f t="shared" si="39"/>
        <v>-1.1273334452495448E-3</v>
      </c>
    </row>
    <row r="231" spans="1:39" x14ac:dyDescent="0.3">
      <c r="A231">
        <v>58</v>
      </c>
      <c r="B231" t="s">
        <v>130</v>
      </c>
      <c r="C231" t="s">
        <v>58</v>
      </c>
      <c r="D231" s="1">
        <v>21094</v>
      </c>
      <c r="E231">
        <v>0</v>
      </c>
      <c r="F231" t="s">
        <v>131</v>
      </c>
      <c r="G231" s="4">
        <v>-29.033999999999999</v>
      </c>
      <c r="H231" s="4">
        <v>-28.597000000000001</v>
      </c>
      <c r="I231" s="4">
        <v>47.021999999999998</v>
      </c>
      <c r="J231" s="4">
        <v>-1599.1880000000001</v>
      </c>
      <c r="K231" s="4">
        <v>1184.2380000000001</v>
      </c>
      <c r="L231" s="4">
        <v>38.423999999999999</v>
      </c>
      <c r="M231" s="4">
        <v>3681.3870000000002</v>
      </c>
      <c r="N231" s="4">
        <v>-2497.1489999999999</v>
      </c>
      <c r="O231" s="4">
        <v>-29.033999999999999</v>
      </c>
      <c r="P231" s="4">
        <v>4776.8109999999997</v>
      </c>
      <c r="Q231" s="4">
        <v>3027.7869999999998</v>
      </c>
      <c r="R231" s="4">
        <v>0.48699999999999999</v>
      </c>
      <c r="S231" s="4">
        <v>6851.2449999999999</v>
      </c>
      <c r="T231" s="4">
        <v>6709.174</v>
      </c>
      <c r="U231" s="4">
        <v>5968.9380000000001</v>
      </c>
      <c r="V231" s="4">
        <v>6132.3620000000001</v>
      </c>
      <c r="W231" s="4">
        <v>7236.4859999999999</v>
      </c>
      <c r="X231" s="4">
        <v>13414.008</v>
      </c>
      <c r="Y231">
        <v>-0.26791834661375302</v>
      </c>
      <c r="Z231">
        <v>8187.9485000000004</v>
      </c>
      <c r="AA231" t="s">
        <v>32</v>
      </c>
      <c r="AB231">
        <v>4</v>
      </c>
      <c r="AC231" t="s">
        <v>33</v>
      </c>
      <c r="AD231" s="5">
        <f t="shared" si="30"/>
        <v>-4.7984927239222231E-3</v>
      </c>
      <c r="AE231" s="5">
        <f t="shared" si="31"/>
        <v>-0.60816213687210252</v>
      </c>
      <c r="AF231" s="5">
        <f t="shared" si="32"/>
        <v>7.1826689131065932E-5</v>
      </c>
      <c r="AG231" s="5">
        <f t="shared" si="33"/>
        <v>-0.41835733592809976</v>
      </c>
      <c r="AH231" s="5">
        <f t="shared" si="34"/>
        <v>0.88966808730851221</v>
      </c>
      <c r="AI231" s="5">
        <f t="shared" si="35"/>
        <v>-0.33478151009114665</v>
      </c>
      <c r="AJ231" s="5">
        <f t="shared" si="36"/>
        <v>0.3216825614910902</v>
      </c>
      <c r="AK231" s="5">
        <f t="shared" si="37"/>
        <v>-0.26791834661375274</v>
      </c>
      <c r="AL231" s="5">
        <f t="shared" si="38"/>
        <v>0.17651025297599973</v>
      </c>
      <c r="AM231" s="10">
        <f t="shared" si="39"/>
        <v>-1.8830274044520371E-2</v>
      </c>
    </row>
    <row r="232" spans="1:39" x14ac:dyDescent="0.3">
      <c r="A232">
        <v>61</v>
      </c>
      <c r="B232" t="s">
        <v>134</v>
      </c>
      <c r="C232" t="s">
        <v>42</v>
      </c>
      <c r="D232" s="1">
        <v>29734</v>
      </c>
      <c r="E232">
        <v>1</v>
      </c>
      <c r="F232" t="s">
        <v>135</v>
      </c>
      <c r="G232" s="4">
        <v>-87.524000000000001</v>
      </c>
      <c r="H232" s="4">
        <v>7.4740000000000002</v>
      </c>
      <c r="I232" s="4">
        <v>71.260999999999996</v>
      </c>
      <c r="J232" s="4">
        <v>-72.725999999999999</v>
      </c>
      <c r="K232" s="4">
        <v>2858.6970000000001</v>
      </c>
      <c r="L232" s="4">
        <v>2180.578</v>
      </c>
      <c r="M232" s="4">
        <v>4491.5950000000003</v>
      </c>
      <c r="N232" s="4">
        <v>-1632.8979999999999</v>
      </c>
      <c r="O232" s="4">
        <v>-13.303000000000001</v>
      </c>
      <c r="P232" s="4">
        <v>2819.25</v>
      </c>
      <c r="Q232" s="4">
        <v>1248.123</v>
      </c>
      <c r="R232" s="4">
        <v>20.847999999999999</v>
      </c>
      <c r="S232" s="4">
        <v>5731.1530000000002</v>
      </c>
      <c r="T232" s="4">
        <v>5739.7179999999998</v>
      </c>
      <c r="U232" s="4">
        <v>5681.8609999999999</v>
      </c>
      <c r="V232" s="4">
        <v>5760.25</v>
      </c>
      <c r="W232" s="4">
        <v>5895.9129999999996</v>
      </c>
      <c r="X232" s="4">
        <v>5995.6210000000001</v>
      </c>
      <c r="Y232">
        <v>-1.2799679541615001E-2</v>
      </c>
      <c r="Z232">
        <v>5833.4112500000001</v>
      </c>
      <c r="AA232" t="s">
        <v>32</v>
      </c>
      <c r="AB232">
        <v>4</v>
      </c>
      <c r="AC232" t="s">
        <v>33</v>
      </c>
      <c r="AD232" s="5">
        <f t="shared" si="30"/>
        <v>-1.5298575586270749E-2</v>
      </c>
      <c r="AE232" s="5">
        <f t="shared" si="31"/>
        <v>0.10488205329703486</v>
      </c>
      <c r="AF232" s="5">
        <f t="shared" si="32"/>
        <v>3.634946291349628E-3</v>
      </c>
      <c r="AG232" s="5">
        <f t="shared" si="33"/>
        <v>-0.2873878822449194</v>
      </c>
      <c r="AH232" s="5">
        <f t="shared" si="34"/>
        <v>0.98991988805024911</v>
      </c>
      <c r="AI232" s="5">
        <f t="shared" si="35"/>
        <v>-2.5796222399574353E-2</v>
      </c>
      <c r="AJ232" s="5">
        <f t="shared" si="36"/>
        <v>0.63645475604991097</v>
      </c>
      <c r="AK232" s="5">
        <f t="shared" si="37"/>
        <v>-1.2799679541614975E-2</v>
      </c>
      <c r="AL232" s="5">
        <f t="shared" si="38"/>
        <v>0.49805530515610702</v>
      </c>
      <c r="AM232" s="10">
        <f t="shared" si="39"/>
        <v>-4.3640815286686611E-2</v>
      </c>
    </row>
    <row r="233" spans="1:39" x14ac:dyDescent="0.3">
      <c r="A233">
        <v>70</v>
      </c>
      <c r="B233" t="s">
        <v>142</v>
      </c>
      <c r="C233" t="s">
        <v>143</v>
      </c>
      <c r="D233" s="1">
        <v>31848</v>
      </c>
      <c r="E233">
        <v>28</v>
      </c>
      <c r="F233" t="s">
        <v>144</v>
      </c>
      <c r="G233" s="4">
        <v>-1937.3520000000001</v>
      </c>
      <c r="H233" s="4">
        <v>-794.90599999999995</v>
      </c>
      <c r="I233" s="4">
        <v>1800.471</v>
      </c>
      <c r="J233" s="4">
        <v>-4625.9859999999999</v>
      </c>
      <c r="K233" s="4">
        <v>2454.0630000000001</v>
      </c>
      <c r="L233" s="4">
        <v>535.29100000000005</v>
      </c>
      <c r="M233" s="4">
        <v>8324.3060000000005</v>
      </c>
      <c r="N233" s="4">
        <v>-5870.2430000000004</v>
      </c>
      <c r="O233" s="4">
        <v>-1207.373</v>
      </c>
      <c r="P233" s="4">
        <v>2190.0300000000002</v>
      </c>
      <c r="Q233" s="4">
        <v>639.04499999999996</v>
      </c>
      <c r="R233" s="4">
        <v>180.107</v>
      </c>
      <c r="S233" s="4">
        <v>9535.0630000000001</v>
      </c>
      <c r="T233" s="4">
        <v>8963.3510000000006</v>
      </c>
      <c r="U233" s="4">
        <v>4713.2529999999997</v>
      </c>
      <c r="V233" s="4">
        <v>7388.0290000000005</v>
      </c>
      <c r="W233" s="4">
        <v>8769.5660000000007</v>
      </c>
      <c r="X233" s="4">
        <v>8460.2129999999997</v>
      </c>
      <c r="Y233">
        <v>-0.98148476222260905</v>
      </c>
      <c r="Z233">
        <v>7332.7652500000004</v>
      </c>
      <c r="AA233" t="s">
        <v>32</v>
      </c>
      <c r="AB233">
        <v>4</v>
      </c>
      <c r="AC233" t="s">
        <v>33</v>
      </c>
      <c r="AD233" s="5">
        <f t="shared" si="30"/>
        <v>-0.32018954685958068</v>
      </c>
      <c r="AE233" s="5">
        <f t="shared" si="31"/>
        <v>-0.4414989188940005</v>
      </c>
      <c r="AF233" s="5">
        <f t="shared" si="32"/>
        <v>1.947269641602788E-2</v>
      </c>
      <c r="AG233" s="5">
        <f t="shared" si="33"/>
        <v>-1.2454758953105214</v>
      </c>
      <c r="AH233" s="5">
        <f t="shared" si="34"/>
        <v>0.5258360405611695</v>
      </c>
      <c r="AI233" s="5">
        <f t="shared" si="35"/>
        <v>-2.1122934389026633</v>
      </c>
      <c r="AJ233" s="5">
        <f t="shared" si="36"/>
        <v>0.29480691843860618</v>
      </c>
      <c r="AK233" s="5">
        <f t="shared" si="37"/>
        <v>-0.98148476222260939</v>
      </c>
      <c r="AL233" s="5">
        <f t="shared" si="38"/>
        <v>0.27378856412071778</v>
      </c>
      <c r="AM233" s="10">
        <f t="shared" si="39"/>
        <v>-0.3067114938853468</v>
      </c>
    </row>
    <row r="234" spans="1:39" x14ac:dyDescent="0.3">
      <c r="A234">
        <v>75</v>
      </c>
      <c r="B234" t="s">
        <v>151</v>
      </c>
      <c r="C234" t="s">
        <v>58</v>
      </c>
      <c r="D234" s="1">
        <v>32637</v>
      </c>
      <c r="E234">
        <v>9</v>
      </c>
      <c r="F234" t="s">
        <v>152</v>
      </c>
      <c r="G234" s="4">
        <v>-2730.7359999999999</v>
      </c>
      <c r="H234" s="4">
        <v>-1940.693</v>
      </c>
      <c r="I234" s="4">
        <v>6546.6890000000003</v>
      </c>
      <c r="J234" s="4">
        <v>-2388.4650000000001</v>
      </c>
      <c r="K234" s="4">
        <v>2507.9450000000002</v>
      </c>
      <c r="L234" s="4">
        <v>206.85400000000001</v>
      </c>
      <c r="M234" s="4">
        <v>6543.2839999999997</v>
      </c>
      <c r="N234" s="4">
        <v>-4035.3389999999999</v>
      </c>
      <c r="O234" s="4">
        <v>-2061.4989999999998</v>
      </c>
      <c r="P234" s="4">
        <v>1911.971</v>
      </c>
      <c r="Q234" s="4">
        <v>0</v>
      </c>
      <c r="R234" s="4">
        <v>121.83</v>
      </c>
      <c r="S234" s="4">
        <v>8523.8050000000003</v>
      </c>
      <c r="T234" s="4">
        <v>6543.2839999999997</v>
      </c>
      <c r="U234" s="4">
        <v>4429.7619999999997</v>
      </c>
      <c r="V234" s="4">
        <v>9129.2119999999995</v>
      </c>
      <c r="W234" s="4">
        <v>6741.3680000000004</v>
      </c>
      <c r="X234" s="4">
        <v>4821.4579999999996</v>
      </c>
      <c r="Y234">
        <v>-0.53918585242277095</v>
      </c>
      <c r="Z234">
        <v>6280.45</v>
      </c>
      <c r="AA234" t="s">
        <v>32</v>
      </c>
      <c r="AB234">
        <v>4</v>
      </c>
      <c r="AC234" t="s">
        <v>33</v>
      </c>
      <c r="AD234" s="5">
        <f t="shared" si="30"/>
        <v>-0.40279389871239524</v>
      </c>
      <c r="AE234" s="5">
        <f t="shared" si="31"/>
        <v>-0.29643885634402367</v>
      </c>
      <c r="AF234" s="5">
        <f t="shared" si="32"/>
        <v>1.6171670586136448E-2</v>
      </c>
      <c r="AG234" s="5">
        <f t="shared" si="33"/>
        <v>-0.91096067915161139</v>
      </c>
      <c r="AH234" s="5">
        <f t="shared" si="34"/>
        <v>0.67699369307522028</v>
      </c>
      <c r="AI234" s="5">
        <f t="shared" si="35"/>
        <v>-1.2492161230478915</v>
      </c>
      <c r="AJ234" s="5">
        <f t="shared" si="36"/>
        <v>0.38328536557483983</v>
      </c>
      <c r="AK234" s="5">
        <f t="shared" si="37"/>
        <v>-0.53918585242277128</v>
      </c>
      <c r="AL234" s="5">
        <f t="shared" si="38"/>
        <v>0.38328536557483983</v>
      </c>
      <c r="AM234" s="10">
        <f t="shared" si="39"/>
        <v>-1.622339287975558</v>
      </c>
    </row>
    <row r="235" spans="1:39" x14ac:dyDescent="0.3">
      <c r="A235">
        <v>87</v>
      </c>
      <c r="B235" t="s">
        <v>168</v>
      </c>
      <c r="C235" t="s">
        <v>35</v>
      </c>
      <c r="D235" s="1">
        <v>20888</v>
      </c>
      <c r="E235">
        <v>4</v>
      </c>
      <c r="F235" t="s">
        <v>169</v>
      </c>
      <c r="G235" s="4">
        <v>-321.27600000000001</v>
      </c>
      <c r="H235" s="4">
        <v>-20.693000000000001</v>
      </c>
      <c r="I235" s="4">
        <v>3972.3409999999999</v>
      </c>
      <c r="J235" s="4">
        <v>-1256.154</v>
      </c>
      <c r="K235" s="4">
        <v>3029.2570000000001</v>
      </c>
      <c r="L235" s="4">
        <v>185.54</v>
      </c>
      <c r="M235" s="4">
        <v>3151.6109999999999</v>
      </c>
      <c r="N235" s="4">
        <v>-122.354</v>
      </c>
      <c r="O235" s="4">
        <v>177.59899999999999</v>
      </c>
      <c r="P235" s="4">
        <v>704.81100000000004</v>
      </c>
      <c r="Q235" s="4">
        <v>1369.537</v>
      </c>
      <c r="R235" s="4">
        <v>21.361999999999998</v>
      </c>
      <c r="S235" s="4">
        <v>7378.3029999999999</v>
      </c>
      <c r="T235" s="4">
        <v>4521.1480000000001</v>
      </c>
      <c r="U235" s="4">
        <v>3828.0439999999999</v>
      </c>
      <c r="V235" s="4">
        <v>7419.8540000000003</v>
      </c>
      <c r="W235" s="4">
        <v>14563.944</v>
      </c>
      <c r="X235" s="4">
        <v>18520.968000000001</v>
      </c>
      <c r="Y235">
        <v>-0.32814513103820098</v>
      </c>
      <c r="Z235">
        <v>11083.202499999999</v>
      </c>
      <c r="AA235" t="s">
        <v>32</v>
      </c>
      <c r="AB235">
        <v>4</v>
      </c>
      <c r="AC235" t="s">
        <v>33</v>
      </c>
      <c r="AD235" s="5">
        <f t="shared" si="30"/>
        <v>-5.7126407085128256E-2</v>
      </c>
      <c r="AE235" s="5">
        <f t="shared" si="31"/>
        <v>-5.2092708053009555E-3</v>
      </c>
      <c r="AF235" s="5">
        <f t="shared" si="32"/>
        <v>3.590417742801747E-3</v>
      </c>
      <c r="AG235" s="5">
        <f t="shared" si="33"/>
        <v>-3.1962537525691975E-2</v>
      </c>
      <c r="AH235" s="5">
        <f t="shared" si="34"/>
        <v>0.84669734324114132</v>
      </c>
      <c r="AI235" s="5">
        <f t="shared" si="35"/>
        <v>-1.7822565198329765</v>
      </c>
      <c r="AJ235" s="5">
        <f t="shared" si="36"/>
        <v>0.96117731534761119</v>
      </c>
      <c r="AK235" s="5">
        <f t="shared" si="37"/>
        <v>-0.32814513103820125</v>
      </c>
      <c r="AL235" s="5">
        <f t="shared" si="38"/>
        <v>0.67001942869377418</v>
      </c>
      <c r="AM235" s="10">
        <f t="shared" si="39"/>
        <v>-32.465967602203442</v>
      </c>
    </row>
    <row r="236" spans="1:39" x14ac:dyDescent="0.3">
      <c r="A236">
        <v>91</v>
      </c>
      <c r="B236" t="s">
        <v>176</v>
      </c>
      <c r="C236" t="s">
        <v>35</v>
      </c>
      <c r="D236" s="1">
        <v>40906</v>
      </c>
      <c r="E236">
        <v>0</v>
      </c>
      <c r="F236" t="s">
        <v>177</v>
      </c>
      <c r="G236" s="4">
        <v>-14.548999999999999</v>
      </c>
      <c r="H236" s="4">
        <v>-0.19500000000000001</v>
      </c>
      <c r="I236" s="4">
        <v>300.72199999999998</v>
      </c>
      <c r="J236" s="4">
        <v>-1724.1980000000001</v>
      </c>
      <c r="K236" s="4">
        <v>1647.192</v>
      </c>
      <c r="L236" s="4">
        <v>0</v>
      </c>
      <c r="M236" s="4">
        <v>2062.9650000000001</v>
      </c>
      <c r="N236" s="4">
        <v>-415.77300000000002</v>
      </c>
      <c r="O236" s="4">
        <v>-14.548999999999999</v>
      </c>
      <c r="P236" s="4">
        <v>2068.6039999999998</v>
      </c>
      <c r="Q236" s="4">
        <v>3377.029</v>
      </c>
      <c r="R236" s="4">
        <v>13.119</v>
      </c>
      <c r="S236" s="4">
        <v>5949.7820000000002</v>
      </c>
      <c r="T236" s="4">
        <v>5439.9939999999997</v>
      </c>
      <c r="U236" s="4">
        <v>3715.7959999999998</v>
      </c>
      <c r="V236" s="4">
        <v>4240.1329999999998</v>
      </c>
      <c r="W236" s="4">
        <v>6935.1030000000001</v>
      </c>
      <c r="X236" s="4">
        <v>7453.9620000000004</v>
      </c>
      <c r="Y236">
        <v>-0.46401847679474301</v>
      </c>
      <c r="Z236">
        <v>5586.2484999999997</v>
      </c>
      <c r="AA236" t="s">
        <v>32</v>
      </c>
      <c r="AB236">
        <v>4</v>
      </c>
      <c r="AC236" t="s">
        <v>33</v>
      </c>
      <c r="AD236" s="5">
        <f t="shared" si="30"/>
        <v>-3.6573981492293356E-3</v>
      </c>
      <c r="AE236" s="5">
        <f t="shared" si="31"/>
        <v>-6.4843942245662112E-4</v>
      </c>
      <c r="AF236" s="5">
        <f t="shared" si="32"/>
        <v>2.3036449531579901E-3</v>
      </c>
      <c r="AG236" s="5">
        <f t="shared" si="33"/>
        <v>-0.11189338704277631</v>
      </c>
      <c r="AH236" s="5">
        <f t="shared" si="34"/>
        <v>0.6830514886597302</v>
      </c>
      <c r="AI236" s="5">
        <f t="shared" si="35"/>
        <v>-0.83350800829931693</v>
      </c>
      <c r="AJ236" s="5">
        <f t="shared" si="36"/>
        <v>0.79845852934974659</v>
      </c>
      <c r="AK236" s="5">
        <f t="shared" si="37"/>
        <v>-0.46401847679474334</v>
      </c>
      <c r="AL236" s="5">
        <f t="shared" si="38"/>
        <v>0.30279298102167024</v>
      </c>
      <c r="AM236" s="10">
        <f t="shared" si="39"/>
        <v>-0.72328409973711605</v>
      </c>
    </row>
    <row r="237" spans="1:39" x14ac:dyDescent="0.3">
      <c r="A237">
        <v>92</v>
      </c>
      <c r="B237" t="s">
        <v>178</v>
      </c>
      <c r="C237" t="s">
        <v>42</v>
      </c>
      <c r="D237" s="1">
        <v>39706</v>
      </c>
      <c r="E237">
        <v>1</v>
      </c>
      <c r="F237" t="s">
        <v>179</v>
      </c>
      <c r="G237" s="4">
        <v>21.806999999999999</v>
      </c>
      <c r="H237" s="4">
        <v>115.953</v>
      </c>
      <c r="I237" s="4">
        <v>0.61699999999999999</v>
      </c>
      <c r="J237" s="4">
        <v>988.08199999999999</v>
      </c>
      <c r="K237" s="4">
        <v>1956.6379999999999</v>
      </c>
      <c r="L237" s="4">
        <v>445</v>
      </c>
      <c r="M237" s="4">
        <v>2564.7159999999999</v>
      </c>
      <c r="N237" s="4">
        <v>-608.07799999999997</v>
      </c>
      <c r="O237" s="4">
        <v>42.831000000000003</v>
      </c>
      <c r="P237" s="4">
        <v>1733.2159999999999</v>
      </c>
      <c r="Q237" s="4">
        <v>17.292000000000002</v>
      </c>
      <c r="R237" s="4">
        <v>0.57399999999999995</v>
      </c>
      <c r="S237" s="4">
        <v>3506.9409999999998</v>
      </c>
      <c r="T237" s="4">
        <v>2582.0079999999998</v>
      </c>
      <c r="U237" s="4">
        <v>3715.701</v>
      </c>
      <c r="V237" s="4">
        <v>4618.8280000000004</v>
      </c>
      <c r="W237" s="4">
        <v>4949.7640000000001</v>
      </c>
      <c r="X237" s="4">
        <v>10501.936</v>
      </c>
      <c r="Y237">
        <v>0.26592075088926698</v>
      </c>
      <c r="Z237">
        <v>5946.5572499999998</v>
      </c>
      <c r="AA237" t="s">
        <v>32</v>
      </c>
      <c r="AB237">
        <v>4</v>
      </c>
      <c r="AC237" t="s">
        <v>33</v>
      </c>
      <c r="AD237" s="5">
        <f t="shared" si="30"/>
        <v>5.2329291793213502E-3</v>
      </c>
      <c r="AE237" s="5">
        <f t="shared" si="31"/>
        <v>187.93030794165315</v>
      </c>
      <c r="AF237" s="5">
        <f t="shared" si="32"/>
        <v>1.8853828468591214E-4</v>
      </c>
      <c r="AG237" s="5">
        <f t="shared" si="33"/>
        <v>-0.16365095038594332</v>
      </c>
      <c r="AH237" s="5">
        <f t="shared" si="34"/>
        <v>1.4390741624348182</v>
      </c>
      <c r="AI237" s="5">
        <f t="shared" si="35"/>
        <v>0.57008589812233446</v>
      </c>
      <c r="AJ237" s="5">
        <f t="shared" si="36"/>
        <v>0.76290630229623868</v>
      </c>
      <c r="AK237" s="5">
        <f t="shared" si="37"/>
        <v>0.26592075088926692</v>
      </c>
      <c r="AL237" s="5">
        <f t="shared" si="38"/>
        <v>0.75779703238719631</v>
      </c>
      <c r="AM237" s="10">
        <f t="shared" si="39"/>
        <v>-1.0146724597831199E-3</v>
      </c>
    </row>
    <row r="238" spans="1:39" x14ac:dyDescent="0.3">
      <c r="A238">
        <v>93</v>
      </c>
      <c r="B238" t="s">
        <v>180</v>
      </c>
      <c r="C238" t="s">
        <v>58</v>
      </c>
      <c r="D238" s="1">
        <v>41205</v>
      </c>
      <c r="E238">
        <v>52</v>
      </c>
      <c r="F238" t="s">
        <v>181</v>
      </c>
      <c r="G238" s="4">
        <v>-66899.635999999999</v>
      </c>
      <c r="H238" s="4">
        <v>-64298.069000000003</v>
      </c>
      <c r="I238" s="4">
        <v>8062.8059999999996</v>
      </c>
      <c r="J238" s="4">
        <v>-77474.103000000003</v>
      </c>
      <c r="K238" s="4">
        <v>3552.056</v>
      </c>
      <c r="L238" s="4">
        <v>0</v>
      </c>
      <c r="M238" s="4">
        <v>6425.2780000000002</v>
      </c>
      <c r="N238" s="4">
        <v>-2873.2220000000002</v>
      </c>
      <c r="O238" s="4">
        <v>-66330.903999999995</v>
      </c>
      <c r="P238" s="4">
        <v>124.15900000000001</v>
      </c>
      <c r="Q238" s="4">
        <v>74348.323999999993</v>
      </c>
      <c r="R238" s="4">
        <v>2801.9720000000002</v>
      </c>
      <c r="S238" s="4">
        <v>16060.837</v>
      </c>
      <c r="T238" s="4">
        <v>80773.601999999999</v>
      </c>
      <c r="U238" s="4">
        <v>3676.2150000000001</v>
      </c>
      <c r="V238" s="4">
        <v>6393.54</v>
      </c>
      <c r="W238" s="4">
        <v>4916.1790000000001</v>
      </c>
      <c r="X238" s="4">
        <v>11413.91</v>
      </c>
      <c r="Y238">
        <v>-21.074421109755601</v>
      </c>
      <c r="Z238">
        <v>6599.9610000000002</v>
      </c>
      <c r="AA238" t="s">
        <v>32</v>
      </c>
      <c r="AB238">
        <v>4</v>
      </c>
      <c r="AC238" t="s">
        <v>33</v>
      </c>
      <c r="AD238" s="5">
        <f t="shared" si="30"/>
        <v>-13.287242043128158</v>
      </c>
      <c r="AE238" s="5">
        <f t="shared" si="31"/>
        <v>-7.9746516287257823</v>
      </c>
      <c r="AF238" s="5">
        <f t="shared" si="32"/>
        <v>5.787139428772857E-2</v>
      </c>
      <c r="AG238" s="5">
        <f t="shared" si="33"/>
        <v>-0.78157071879637074</v>
      </c>
      <c r="AH238" s="5">
        <f t="shared" si="34"/>
        <v>4.5512579716328612E-2</v>
      </c>
      <c r="AI238" s="5">
        <f t="shared" si="35"/>
        <v>-623.9910356881096</v>
      </c>
      <c r="AJ238" s="5">
        <f t="shared" si="36"/>
        <v>0.55282526296916645</v>
      </c>
      <c r="AK238" s="5">
        <f t="shared" si="37"/>
        <v>-21.074421109755551</v>
      </c>
      <c r="AL238" s="5">
        <f t="shared" si="38"/>
        <v>4.3975456238784551E-2</v>
      </c>
      <c r="AM238" s="10">
        <f t="shared" si="39"/>
        <v>-2.8061897061904717</v>
      </c>
    </row>
    <row r="239" spans="1:39" x14ac:dyDescent="0.3">
      <c r="A239">
        <v>42</v>
      </c>
      <c r="B239" t="s">
        <v>107</v>
      </c>
      <c r="C239" t="s">
        <v>58</v>
      </c>
      <c r="D239" s="1">
        <v>43252</v>
      </c>
      <c r="E239">
        <v>18</v>
      </c>
      <c r="F239" t="s">
        <v>108</v>
      </c>
      <c r="G239" s="4">
        <v>166.60900000000001</v>
      </c>
      <c r="H239" s="4">
        <v>375.35300000000001</v>
      </c>
      <c r="I239" s="4">
        <v>9005.41</v>
      </c>
      <c r="J239" s="4">
        <v>502.94</v>
      </c>
      <c r="K239" s="4">
        <v>6254.3270000000002</v>
      </c>
      <c r="L239" s="4">
        <v>720</v>
      </c>
      <c r="M239" s="4">
        <v>4162.4340000000002</v>
      </c>
      <c r="N239" s="4">
        <v>2091.893</v>
      </c>
      <c r="O239" s="4">
        <v>234.78299999999999</v>
      </c>
      <c r="P239" s="4">
        <v>967.30899999999997</v>
      </c>
      <c r="Q239" s="4">
        <v>2437.386</v>
      </c>
      <c r="R239" s="4">
        <v>70.817999999999998</v>
      </c>
      <c r="S239" s="4">
        <v>3728.8020000000001</v>
      </c>
      <c r="T239" s="4">
        <v>6599.82</v>
      </c>
      <c r="U239" s="4">
        <v>7260.2179999999998</v>
      </c>
      <c r="V239" s="4">
        <v>4852.3050000000003</v>
      </c>
      <c r="W239" s="4">
        <v>1414.3209999999999</v>
      </c>
      <c r="X239" s="4">
        <v>950.83600000000001</v>
      </c>
      <c r="Y239">
        <v>6.9273401983246205E-2</v>
      </c>
      <c r="Z239">
        <v>3619.42</v>
      </c>
      <c r="AA239" t="s">
        <v>32</v>
      </c>
      <c r="AB239">
        <v>3</v>
      </c>
      <c r="AC239" t="s">
        <v>33</v>
      </c>
      <c r="AD239" s="5">
        <f t="shared" si="30"/>
        <v>2.7510205759774409E-2</v>
      </c>
      <c r="AE239" s="5">
        <f t="shared" si="31"/>
        <v>4.1680834076405188E-2</v>
      </c>
      <c r="AF239" s="5">
        <f t="shared" si="32"/>
        <v>1.3712961903340058E-2</v>
      </c>
      <c r="AG239" s="5">
        <f t="shared" si="33"/>
        <v>0.2881308798165565</v>
      </c>
      <c r="AH239" s="5">
        <f t="shared" si="34"/>
        <v>1.1000630320220854</v>
      </c>
      <c r="AI239" s="5">
        <f t="shared" si="35"/>
        <v>0.51993726926969563</v>
      </c>
      <c r="AJ239" s="5">
        <f t="shared" si="36"/>
        <v>1.5025648454726248</v>
      </c>
      <c r="AK239" s="5">
        <f t="shared" si="37"/>
        <v>6.9273401983246233E-2</v>
      </c>
      <c r="AL239" s="5">
        <f t="shared" si="38"/>
        <v>0.94765114806161388</v>
      </c>
      <c r="AM239" s="10">
        <f t="shared" si="39"/>
        <v>4.3049094767275378</v>
      </c>
    </row>
    <row r="240" spans="1:39" x14ac:dyDescent="0.3">
      <c r="A240">
        <v>59</v>
      </c>
      <c r="B240" t="s">
        <v>132</v>
      </c>
      <c r="C240" t="s">
        <v>58</v>
      </c>
      <c r="D240" s="1">
        <v>38533</v>
      </c>
      <c r="E240">
        <v>15</v>
      </c>
      <c r="F240" t="s">
        <v>133</v>
      </c>
      <c r="G240" s="4">
        <v>-3134.0680000000002</v>
      </c>
      <c r="H240" s="4">
        <v>-3702.7779999999998</v>
      </c>
      <c r="I240" s="4">
        <v>3600.82</v>
      </c>
      <c r="J240" s="4">
        <v>-2571.203</v>
      </c>
      <c r="K240" s="4">
        <v>5336.6790000000001</v>
      </c>
      <c r="L240" s="4">
        <v>2838.2530000000002</v>
      </c>
      <c r="M240" s="4">
        <v>6547.4679999999998</v>
      </c>
      <c r="N240" s="4">
        <v>-1210.789</v>
      </c>
      <c r="O240" s="4">
        <v>-3128.828</v>
      </c>
      <c r="P240" s="4">
        <v>456.80099999999999</v>
      </c>
      <c r="Q240" s="4">
        <v>1742.7829999999999</v>
      </c>
      <c r="R240" s="4">
        <v>81.986000000000004</v>
      </c>
      <c r="S240" s="4">
        <v>3962.509</v>
      </c>
      <c r="T240" s="4">
        <v>8290.2510000000002</v>
      </c>
      <c r="U240" s="4">
        <v>5873.7860000000001</v>
      </c>
      <c r="V240" s="4">
        <v>4917.777</v>
      </c>
      <c r="W240" s="4">
        <v>5002.8670000000002</v>
      </c>
      <c r="X240" s="4">
        <v>5251.9690000000001</v>
      </c>
      <c r="Y240">
        <v>-0.43774202873580997</v>
      </c>
      <c r="Z240">
        <v>5261.5997500000003</v>
      </c>
      <c r="AA240" t="s">
        <v>32</v>
      </c>
      <c r="AB240">
        <v>3</v>
      </c>
      <c r="AC240" t="s">
        <v>33</v>
      </c>
      <c r="AD240" s="5">
        <f t="shared" si="30"/>
        <v>-0.58083671475577725</v>
      </c>
      <c r="AE240" s="5">
        <f t="shared" si="31"/>
        <v>-1.0283152170894407</v>
      </c>
      <c r="AF240" s="5">
        <f t="shared" si="32"/>
        <v>1.3382454238881689E-2</v>
      </c>
      <c r="AG240" s="5">
        <f t="shared" si="33"/>
        <v>-0.20613433992998723</v>
      </c>
      <c r="AH240" s="5">
        <f t="shared" si="34"/>
        <v>0.70851726926000191</v>
      </c>
      <c r="AI240" s="5">
        <f t="shared" si="35"/>
        <v>-5.6287157865241104</v>
      </c>
      <c r="AJ240" s="5">
        <f t="shared" si="36"/>
        <v>0.81507523213553701</v>
      </c>
      <c r="AK240" s="5">
        <f t="shared" si="37"/>
        <v>-0.43774202873581025</v>
      </c>
      <c r="AL240" s="5">
        <f t="shared" si="38"/>
        <v>0.64372948418570197</v>
      </c>
      <c r="AM240" s="10">
        <f t="shared" si="39"/>
        <v>-2.9739450886983612</v>
      </c>
    </row>
    <row r="241" spans="1:39" x14ac:dyDescent="0.3">
      <c r="A241">
        <v>62</v>
      </c>
      <c r="B241" t="s">
        <v>136</v>
      </c>
      <c r="C241" t="s">
        <v>58</v>
      </c>
      <c r="D241" s="1">
        <v>39843</v>
      </c>
      <c r="E241">
        <v>0</v>
      </c>
      <c r="F241" t="s">
        <v>137</v>
      </c>
      <c r="G241" s="4">
        <v>-63.843000000000004</v>
      </c>
      <c r="H241" s="4">
        <v>-28.87</v>
      </c>
      <c r="I241" s="4">
        <v>51.244</v>
      </c>
      <c r="J241" s="4">
        <v>-12468.088</v>
      </c>
      <c r="K241" s="4">
        <v>4737.6679999999997</v>
      </c>
      <c r="L241" s="4">
        <v>1826.8150000000001</v>
      </c>
      <c r="M241" s="4">
        <v>16121.753000000001</v>
      </c>
      <c r="N241" s="4">
        <v>-11384.084999999999</v>
      </c>
      <c r="O241" s="4">
        <v>-49.051000000000002</v>
      </c>
      <c r="P241" s="4">
        <v>636.00699999999995</v>
      </c>
      <c r="Q241" s="4">
        <v>0</v>
      </c>
      <c r="R241" s="4">
        <v>20.199000000000002</v>
      </c>
      <c r="S241" s="4">
        <v>16024.531000000001</v>
      </c>
      <c r="T241" s="4">
        <v>16121.753000000001</v>
      </c>
      <c r="U241" s="4">
        <v>5390.8069999999998</v>
      </c>
      <c r="V241" s="4">
        <v>5357.4279999999999</v>
      </c>
      <c r="W241" s="4">
        <v>5184.6239999999998</v>
      </c>
      <c r="X241" s="4">
        <v>5135.6329999999998</v>
      </c>
      <c r="Y241">
        <v>-2.3128425855349701</v>
      </c>
      <c r="Z241">
        <v>5267.1229999999996</v>
      </c>
      <c r="AA241" t="s">
        <v>32</v>
      </c>
      <c r="AB241">
        <v>3</v>
      </c>
      <c r="AC241" t="s">
        <v>33</v>
      </c>
      <c r="AD241" s="5">
        <f t="shared" si="30"/>
        <v>-1.1879717925780372E-2</v>
      </c>
      <c r="AE241" s="5">
        <f t="shared" si="31"/>
        <v>-0.56338303020841463</v>
      </c>
      <c r="AF241" s="5">
        <f t="shared" si="32"/>
        <v>1.2566926864703866E-3</v>
      </c>
      <c r="AG241" s="5">
        <f t="shared" si="33"/>
        <v>-2.1117589629901423</v>
      </c>
      <c r="AH241" s="5">
        <f t="shared" si="34"/>
        <v>0.3343809448017222</v>
      </c>
      <c r="AI241" s="5">
        <f t="shared" si="35"/>
        <v>-19.603696185733806</v>
      </c>
      <c r="AJ241" s="5">
        <f t="shared" si="36"/>
        <v>0.29386804276185097</v>
      </c>
      <c r="AK241" s="5">
        <f t="shared" si="37"/>
        <v>-2.3128425855349675</v>
      </c>
      <c r="AL241" s="5">
        <f t="shared" si="38"/>
        <v>0.29386804276185097</v>
      </c>
      <c r="AM241" s="10">
        <f t="shared" si="39"/>
        <v>-4.5013718713449525E-3</v>
      </c>
    </row>
    <row r="242" spans="1:39" x14ac:dyDescent="0.3">
      <c r="A242">
        <v>80</v>
      </c>
      <c r="B242" t="s">
        <v>159</v>
      </c>
      <c r="C242" t="s">
        <v>58</v>
      </c>
      <c r="D242" s="1">
        <v>35962</v>
      </c>
      <c r="E242">
        <v>38</v>
      </c>
      <c r="F242" t="s">
        <v>160</v>
      </c>
      <c r="G242" s="4">
        <v>-171.64</v>
      </c>
      <c r="H242" s="4">
        <v>-106.586</v>
      </c>
      <c r="I242" s="4">
        <v>2325.2800000000002</v>
      </c>
      <c r="J242" s="4">
        <v>377.28500000000003</v>
      </c>
      <c r="K242" s="4">
        <v>3986.77</v>
      </c>
      <c r="L242" s="4">
        <v>1115.3620000000001</v>
      </c>
      <c r="M242" s="4">
        <v>2010.8430000000001</v>
      </c>
      <c r="N242" s="4">
        <v>1975.9269999999999</v>
      </c>
      <c r="O242" s="4">
        <v>-152.012</v>
      </c>
      <c r="P242" s="4">
        <v>65.033000000000001</v>
      </c>
      <c r="Q242" s="4">
        <v>1279.2860000000001</v>
      </c>
      <c r="R242" s="4">
        <v>95.384</v>
      </c>
      <c r="S242" s="4">
        <v>3222.6970000000001</v>
      </c>
      <c r="T242" s="4">
        <v>3290.1289999999999</v>
      </c>
      <c r="U242" s="4">
        <v>4072.4569999999999</v>
      </c>
      <c r="V242" s="4">
        <v>4116.8710000000001</v>
      </c>
      <c r="W242" s="4">
        <v>4243.5640000000003</v>
      </c>
      <c r="X242" s="4">
        <v>2794.277</v>
      </c>
      <c r="Y242">
        <v>9.2643089908622703E-2</v>
      </c>
      <c r="Z242">
        <v>3806.79225</v>
      </c>
      <c r="AA242" t="s">
        <v>32</v>
      </c>
      <c r="AB242">
        <v>3</v>
      </c>
      <c r="AC242" t="s">
        <v>33</v>
      </c>
      <c r="AD242" s="5">
        <f t="shared" si="30"/>
        <v>-4.1917969337655056E-2</v>
      </c>
      <c r="AE242" s="5">
        <f t="shared" si="31"/>
        <v>-4.5837920594509043E-2</v>
      </c>
      <c r="AF242" s="5">
        <f t="shared" si="32"/>
        <v>2.9291124927949864E-2</v>
      </c>
      <c r="AG242" s="5">
        <f t="shared" si="33"/>
        <v>0.48519284549843006</v>
      </c>
      <c r="AH242" s="5">
        <f t="shared" si="34"/>
        <v>1.2377803423513181</v>
      </c>
      <c r="AI242" s="5">
        <f t="shared" si="35"/>
        <v>5.8014392692940513</v>
      </c>
      <c r="AJ242" s="5">
        <f t="shared" si="36"/>
        <v>1.982636138176874</v>
      </c>
      <c r="AK242" s="5">
        <f t="shared" si="37"/>
        <v>9.2643089908622744E-2</v>
      </c>
      <c r="AL242" s="5">
        <f t="shared" si="38"/>
        <v>1.2117366826650262</v>
      </c>
      <c r="AM242" s="10">
        <f t="shared" si="39"/>
        <v>1.1768046086722841</v>
      </c>
    </row>
    <row r="243" spans="1:39" x14ac:dyDescent="0.3">
      <c r="A243">
        <v>82</v>
      </c>
      <c r="B243" t="s">
        <v>164</v>
      </c>
      <c r="C243" t="s">
        <v>42</v>
      </c>
      <c r="D243" s="1">
        <v>36378</v>
      </c>
      <c r="E243">
        <v>0</v>
      </c>
      <c r="F243" t="s">
        <v>165</v>
      </c>
      <c r="G243" s="4">
        <v>-876.36699999999996</v>
      </c>
      <c r="H243" s="4">
        <v>-346.26</v>
      </c>
      <c r="I243" s="4">
        <v>3.45</v>
      </c>
      <c r="J243" s="4">
        <v>-8.5000000000000006E-2</v>
      </c>
      <c r="K243" s="4">
        <v>3203.0129999999999</v>
      </c>
      <c r="L243" s="4">
        <v>3184.8319999999999</v>
      </c>
      <c r="M243" s="4">
        <v>542.95899999999995</v>
      </c>
      <c r="N243" s="4">
        <v>2660.0540000000001</v>
      </c>
      <c r="O243" s="4">
        <v>-346.36700000000002</v>
      </c>
      <c r="P243" s="4">
        <v>848.21600000000001</v>
      </c>
      <c r="Q243" s="4">
        <v>3444.8670000000002</v>
      </c>
      <c r="R243" s="4">
        <v>0.107</v>
      </c>
      <c r="S243" s="4">
        <v>3988.75</v>
      </c>
      <c r="T243" s="4">
        <v>3987.826</v>
      </c>
      <c r="U243" s="4">
        <v>4051.2289999999998</v>
      </c>
      <c r="V243" s="4">
        <v>4930.8599999999997</v>
      </c>
      <c r="W243" s="4">
        <v>4702.4660000000003</v>
      </c>
      <c r="X243" s="4">
        <v>5405.5249999999996</v>
      </c>
      <c r="Y243" s="2">
        <v>-2.09812874068585E-5</v>
      </c>
      <c r="Z243">
        <v>4772.5200000000004</v>
      </c>
      <c r="AA243" t="s">
        <v>32</v>
      </c>
      <c r="AB243">
        <v>3</v>
      </c>
      <c r="AC243" t="s">
        <v>33</v>
      </c>
      <c r="AD243" s="5">
        <f t="shared" si="30"/>
        <v>-0.19513656566974563</v>
      </c>
      <c r="AE243" s="5">
        <f t="shared" si="31"/>
        <v>-100.36521739130434</v>
      </c>
      <c r="AF243" s="5">
        <f t="shared" si="32"/>
        <v>2.6828554006129947E-5</v>
      </c>
      <c r="AG243" s="5">
        <f t="shared" si="33"/>
        <v>0.65660420578545431</v>
      </c>
      <c r="AH243" s="5">
        <f t="shared" si="34"/>
        <v>1.0158991390296366</v>
      </c>
      <c r="AI243" s="5">
        <f t="shared" si="35"/>
        <v>-1.0021032378545089E-4</v>
      </c>
      <c r="AJ243" s="5">
        <f t="shared" si="36"/>
        <v>5.8991802327615899</v>
      </c>
      <c r="AK243" s="5">
        <f t="shared" si="37"/>
        <v>-2.0981287406858513E-5</v>
      </c>
      <c r="AL243" s="5">
        <f t="shared" si="38"/>
        <v>0.80319778245088924</v>
      </c>
      <c r="AM243" s="10">
        <f t="shared" si="39"/>
        <v>1.2969661518149633E-3</v>
      </c>
    </row>
    <row r="244" spans="1:39" x14ac:dyDescent="0.3">
      <c r="A244">
        <v>89</v>
      </c>
      <c r="B244" t="s">
        <v>172</v>
      </c>
      <c r="C244" t="s">
        <v>101</v>
      </c>
      <c r="D244" s="1">
        <v>37755</v>
      </c>
      <c r="E244">
        <v>18</v>
      </c>
      <c r="F244" t="s">
        <v>173</v>
      </c>
      <c r="G244" s="4">
        <v>31.978999999999999</v>
      </c>
      <c r="H244" s="4">
        <v>159.29</v>
      </c>
      <c r="I244" s="4">
        <v>5998.2579999999998</v>
      </c>
      <c r="J244" s="4">
        <v>317.72000000000003</v>
      </c>
      <c r="K244" s="4">
        <v>3434.8679999999999</v>
      </c>
      <c r="L244" s="4">
        <v>32.076000000000001</v>
      </c>
      <c r="M244" s="4">
        <v>2769.1669999999999</v>
      </c>
      <c r="N244" s="4">
        <v>665.70100000000002</v>
      </c>
      <c r="O244" s="4">
        <v>118.51900000000001</v>
      </c>
      <c r="P244" s="4">
        <v>348.12900000000002</v>
      </c>
      <c r="Q244" s="4">
        <v>440.83800000000002</v>
      </c>
      <c r="R244" s="4">
        <v>12.256</v>
      </c>
      <c r="S244" s="4">
        <v>2962.4270000000001</v>
      </c>
      <c r="T244" s="4">
        <v>3210.0050000000001</v>
      </c>
      <c r="U244" s="4">
        <v>3803.3960000000002</v>
      </c>
      <c r="V244" s="4">
        <v>3509.5680000000002</v>
      </c>
      <c r="W244" s="4">
        <v>3082.2930000000001</v>
      </c>
      <c r="X244" s="4">
        <v>2620.819</v>
      </c>
      <c r="Y244">
        <v>8.3535871626304506E-2</v>
      </c>
      <c r="Z244">
        <v>3254.0189999999998</v>
      </c>
      <c r="AA244" t="s">
        <v>32</v>
      </c>
      <c r="AB244">
        <v>3</v>
      </c>
      <c r="AC244" t="s">
        <v>33</v>
      </c>
      <c r="AD244" s="5">
        <f t="shared" si="30"/>
        <v>8.7458382127957972E-3</v>
      </c>
      <c r="AE244" s="5">
        <f t="shared" si="31"/>
        <v>2.6556043437944817E-2</v>
      </c>
      <c r="AF244" s="5">
        <f t="shared" si="32"/>
        <v>3.9712061631460658E-3</v>
      </c>
      <c r="AG244" s="5">
        <f t="shared" si="33"/>
        <v>0.17502805387606235</v>
      </c>
      <c r="AH244" s="5">
        <f t="shared" si="34"/>
        <v>1.1848567214069761</v>
      </c>
      <c r="AI244" s="5">
        <f t="shared" si="35"/>
        <v>0.91265019576076689</v>
      </c>
      <c r="AJ244" s="5">
        <f t="shared" si="36"/>
        <v>1.2403975635994506</v>
      </c>
      <c r="AK244" s="5">
        <f t="shared" si="37"/>
        <v>8.3535871626304492E-2</v>
      </c>
      <c r="AL244" s="5">
        <f t="shared" si="38"/>
        <v>1.0700506697030066</v>
      </c>
      <c r="AM244" s="10">
        <f t="shared" si="39"/>
        <v>9.0104386203415636</v>
      </c>
    </row>
    <row r="245" spans="1:39" x14ac:dyDescent="0.3">
      <c r="A245">
        <v>95</v>
      </c>
      <c r="B245" t="s">
        <v>182</v>
      </c>
      <c r="C245" t="s">
        <v>58</v>
      </c>
      <c r="D245" s="1">
        <v>40351</v>
      </c>
      <c r="E245">
        <v>2</v>
      </c>
      <c r="F245" t="s">
        <v>183</v>
      </c>
      <c r="G245" s="4">
        <v>-18.634</v>
      </c>
      <c r="H245" s="4">
        <v>51.597999999999999</v>
      </c>
      <c r="I245" s="4">
        <v>976.19100000000003</v>
      </c>
      <c r="J245" s="4">
        <v>115.36499999999999</v>
      </c>
      <c r="K245" s="4">
        <v>3127.884</v>
      </c>
      <c r="L245" s="4">
        <v>727.19200000000001</v>
      </c>
      <c r="M245" s="4">
        <v>2077.1439999999998</v>
      </c>
      <c r="N245" s="4">
        <v>1050.74</v>
      </c>
      <c r="O245" s="4">
        <v>29.2</v>
      </c>
      <c r="P245" s="4">
        <v>403.86700000000002</v>
      </c>
      <c r="Q245" s="4">
        <v>1259.1510000000001</v>
      </c>
      <c r="R245" s="4">
        <v>20.896000000000001</v>
      </c>
      <c r="S245" s="4">
        <v>4477.4160000000002</v>
      </c>
      <c r="T245" s="4">
        <v>3336.2950000000001</v>
      </c>
      <c r="U245" s="4">
        <v>3531.7510000000002</v>
      </c>
      <c r="V245" s="4">
        <v>4680.5649999999996</v>
      </c>
      <c r="W245" s="4">
        <v>4984.67</v>
      </c>
      <c r="X245" s="4">
        <v>5220.6890000000003</v>
      </c>
      <c r="Y245">
        <v>3.2665100116061399E-2</v>
      </c>
      <c r="Z245">
        <v>4604.4187499999998</v>
      </c>
      <c r="AA245" t="s">
        <v>32</v>
      </c>
      <c r="AB245">
        <v>3</v>
      </c>
      <c r="AC245" t="s">
        <v>33</v>
      </c>
      <c r="AD245" s="5">
        <f t="shared" si="30"/>
        <v>-4.5380621008738586E-3</v>
      </c>
      <c r="AE245" s="5">
        <f t="shared" si="31"/>
        <v>5.2856459442875418E-2</v>
      </c>
      <c r="AF245" s="5">
        <f t="shared" si="32"/>
        <v>5.3485469324370972E-3</v>
      </c>
      <c r="AG245" s="5">
        <f t="shared" si="33"/>
        <v>0.29751248035322986</v>
      </c>
      <c r="AH245" s="5">
        <f t="shared" si="34"/>
        <v>1.058584747451889</v>
      </c>
      <c r="AI245" s="5">
        <f t="shared" si="35"/>
        <v>0.28565096925472988</v>
      </c>
      <c r="AJ245" s="5">
        <f t="shared" si="36"/>
        <v>1.5058580435444053</v>
      </c>
      <c r="AK245" s="5">
        <f t="shared" si="37"/>
        <v>3.2665100116061406E-2</v>
      </c>
      <c r="AL245" s="5">
        <f t="shared" si="38"/>
        <v>0.93753220263795611</v>
      </c>
      <c r="AM245" s="10">
        <f t="shared" si="39"/>
        <v>0.92905095456535391</v>
      </c>
    </row>
    <row r="246" spans="1:39" x14ac:dyDescent="0.3">
      <c r="A246">
        <v>96</v>
      </c>
      <c r="B246" t="s">
        <v>184</v>
      </c>
      <c r="C246" t="s">
        <v>58</v>
      </c>
      <c r="D246" s="1">
        <v>38145</v>
      </c>
      <c r="E246">
        <v>0</v>
      </c>
      <c r="F246" t="s">
        <v>185</v>
      </c>
      <c r="G246" s="4">
        <v>90.822000000000003</v>
      </c>
      <c r="H246" s="4">
        <v>98.040999999999997</v>
      </c>
      <c r="I246" s="4">
        <v>174.30699999999999</v>
      </c>
      <c r="J246" s="4">
        <v>486.012</v>
      </c>
      <c r="K246" s="4">
        <v>169.66399999999999</v>
      </c>
      <c r="L246" s="4">
        <v>137.52500000000001</v>
      </c>
      <c r="M246" s="4">
        <v>1887.85</v>
      </c>
      <c r="N246" s="4">
        <v>-1718.1859999999999</v>
      </c>
      <c r="O246" s="4">
        <v>90.921000000000006</v>
      </c>
      <c r="P246" s="4">
        <v>3337.5630000000001</v>
      </c>
      <c r="Q246" s="4">
        <v>1133.499</v>
      </c>
      <c r="R246" s="4">
        <v>0</v>
      </c>
      <c r="S246" s="4">
        <v>3103.192</v>
      </c>
      <c r="T246" s="4">
        <v>3021.3490000000002</v>
      </c>
      <c r="U246" s="4">
        <v>3507.3609999999999</v>
      </c>
      <c r="V246" s="4">
        <v>3506.172</v>
      </c>
      <c r="W246" s="4">
        <v>5075.3819999999996</v>
      </c>
      <c r="X246" s="4">
        <v>5699.9430000000002</v>
      </c>
      <c r="Y246">
        <v>0.13856914073002499</v>
      </c>
      <c r="Z246">
        <v>4447.2145</v>
      </c>
      <c r="AA246" t="s">
        <v>32</v>
      </c>
      <c r="AB246">
        <v>3</v>
      </c>
      <c r="AC246" t="s">
        <v>33</v>
      </c>
      <c r="AD246" s="5">
        <f t="shared" si="30"/>
        <v>2.5899072550168371E-2</v>
      </c>
      <c r="AE246" s="5">
        <f t="shared" si="31"/>
        <v>0.56246163378407066</v>
      </c>
      <c r="AF246" s="5">
        <f t="shared" si="32"/>
        <v>0</v>
      </c>
      <c r="AG246" s="5">
        <f t="shared" si="33"/>
        <v>-0.48987999809543414</v>
      </c>
      <c r="AH246" s="5">
        <f t="shared" si="34"/>
        <v>1.1608592718020989</v>
      </c>
      <c r="AI246" s="5">
        <f t="shared" si="35"/>
        <v>0.14561882427387887</v>
      </c>
      <c r="AJ246" s="5">
        <f t="shared" si="36"/>
        <v>8.987154699790767E-2</v>
      </c>
      <c r="AK246" s="5">
        <f t="shared" si="37"/>
        <v>0.13856914073002466</v>
      </c>
      <c r="AL246" s="5">
        <f t="shared" si="38"/>
        <v>5.6155048622320687E-2</v>
      </c>
      <c r="AM246" s="10">
        <f t="shared" si="39"/>
        <v>-0.10144827160738128</v>
      </c>
    </row>
    <row r="247" spans="1:39" x14ac:dyDescent="0.3">
      <c r="A247">
        <v>99</v>
      </c>
      <c r="B247" t="s">
        <v>186</v>
      </c>
      <c r="C247" t="s">
        <v>143</v>
      </c>
      <c r="D247" s="1">
        <v>41830</v>
      </c>
      <c r="E247">
        <v>2</v>
      </c>
      <c r="F247" t="s">
        <v>187</v>
      </c>
      <c r="G247" s="4">
        <v>58.045999999999999</v>
      </c>
      <c r="H247" s="4">
        <v>155.47</v>
      </c>
      <c r="I247" s="4">
        <v>1121.463</v>
      </c>
      <c r="J247" s="4">
        <v>-45.384999999999998</v>
      </c>
      <c r="K247" s="4">
        <v>3330.8380000000002</v>
      </c>
      <c r="L247" s="4">
        <v>2339.654</v>
      </c>
      <c r="M247" s="4">
        <v>3478.3240000000001</v>
      </c>
      <c r="N247" s="4">
        <v>-147.48599999999999</v>
      </c>
      <c r="O247" s="4">
        <v>62.841000000000001</v>
      </c>
      <c r="P247" s="4">
        <v>77.515000000000001</v>
      </c>
      <c r="Q247" s="4">
        <v>0</v>
      </c>
      <c r="R247" s="4">
        <v>56.64</v>
      </c>
      <c r="S247" s="4">
        <v>3409.1570000000002</v>
      </c>
      <c r="T247" s="4">
        <v>3478.3240000000001</v>
      </c>
      <c r="U247" s="4">
        <v>3434.797</v>
      </c>
      <c r="V247" s="4">
        <v>3308.4760000000001</v>
      </c>
      <c r="W247" s="4">
        <v>3060.1149999999998</v>
      </c>
      <c r="X247" s="4">
        <v>2649.1260000000002</v>
      </c>
      <c r="Y247">
        <v>-1.3213299068329199E-2</v>
      </c>
      <c r="Z247">
        <v>3113.1284999999998</v>
      </c>
      <c r="AA247" t="s">
        <v>32</v>
      </c>
      <c r="AB247">
        <v>3</v>
      </c>
      <c r="AC247" t="s">
        <v>33</v>
      </c>
      <c r="AD247" s="5">
        <f t="shared" si="30"/>
        <v>1.7215972125108978E-2</v>
      </c>
      <c r="AE247" s="5">
        <f t="shared" si="31"/>
        <v>0.13863141271713825</v>
      </c>
      <c r="AF247" s="5">
        <f t="shared" si="32"/>
        <v>1.6447232304524689E-2</v>
      </c>
      <c r="AG247" s="5">
        <f t="shared" si="33"/>
        <v>-4.2938782117254673E-2</v>
      </c>
      <c r="AH247" s="5">
        <f t="shared" si="34"/>
        <v>0.98748621462520458</v>
      </c>
      <c r="AI247" s="5">
        <f t="shared" si="35"/>
        <v>-0.58549958072631103</v>
      </c>
      <c r="AJ247" s="5">
        <f t="shared" si="36"/>
        <v>0.9575985445864158</v>
      </c>
      <c r="AK247" s="5">
        <f t="shared" si="37"/>
        <v>-1.3213299068329219E-2</v>
      </c>
      <c r="AL247" s="5">
        <f t="shared" si="38"/>
        <v>0.9575985445864158</v>
      </c>
      <c r="AM247" s="10">
        <f t="shared" si="39"/>
        <v>-7.6038607054228882</v>
      </c>
    </row>
    <row r="248" spans="1:39" x14ac:dyDescent="0.3">
      <c r="A248">
        <v>101</v>
      </c>
      <c r="B248" t="s">
        <v>188</v>
      </c>
      <c r="C248" t="s">
        <v>42</v>
      </c>
      <c r="D248" s="1">
        <v>36588</v>
      </c>
      <c r="E248">
        <v>26</v>
      </c>
      <c r="F248" t="s">
        <v>189</v>
      </c>
      <c r="G248" s="4">
        <v>8.81</v>
      </c>
      <c r="H248" s="4">
        <v>112.26900000000001</v>
      </c>
      <c r="I248" s="4">
        <v>2987.125</v>
      </c>
      <c r="J248" s="4">
        <v>624.846</v>
      </c>
      <c r="K248" s="4">
        <v>2551.703</v>
      </c>
      <c r="L248" s="4">
        <v>1034.713</v>
      </c>
      <c r="M248" s="4">
        <v>2161.3110000000001</v>
      </c>
      <c r="N248" s="4">
        <v>390.392</v>
      </c>
      <c r="O248" s="4">
        <v>81.513000000000005</v>
      </c>
      <c r="P248" s="4">
        <v>811.41300000000001</v>
      </c>
      <c r="Q248" s="4">
        <v>294.76799999999997</v>
      </c>
      <c r="R248" s="4">
        <v>25.777999999999999</v>
      </c>
      <c r="S248" s="4">
        <v>1883.05</v>
      </c>
      <c r="T248" s="4">
        <v>2456.0790000000002</v>
      </c>
      <c r="U248" s="4">
        <v>3384.7629999999999</v>
      </c>
      <c r="V248" s="4">
        <v>2803.913</v>
      </c>
      <c r="W248" s="4">
        <v>3222.2510000000002</v>
      </c>
      <c r="X248" s="4">
        <v>2456.7040000000002</v>
      </c>
      <c r="Y248">
        <v>0.184605539590217</v>
      </c>
      <c r="Z248">
        <v>2966.9077499999999</v>
      </c>
      <c r="AA248" t="s">
        <v>32</v>
      </c>
      <c r="AB248">
        <v>3</v>
      </c>
      <c r="AC248" t="s">
        <v>33</v>
      </c>
      <c r="AD248" s="5">
        <f t="shared" si="30"/>
        <v>2.8471356393516161E-3</v>
      </c>
      <c r="AE248" s="5">
        <f t="shared" si="31"/>
        <v>3.758429928442901E-2</v>
      </c>
      <c r="AF248" s="5">
        <f t="shared" si="32"/>
        <v>1.188164721537433E-2</v>
      </c>
      <c r="AG248" s="5">
        <f t="shared" si="33"/>
        <v>0.11533806059685715</v>
      </c>
      <c r="AH248" s="5">
        <f t="shared" si="34"/>
        <v>1.3781165019529094</v>
      </c>
      <c r="AI248" s="5">
        <f t="shared" si="35"/>
        <v>0.77007146792077519</v>
      </c>
      <c r="AJ248" s="5">
        <f t="shared" si="36"/>
        <v>1.1806274062363074</v>
      </c>
      <c r="AK248" s="5">
        <f t="shared" si="37"/>
        <v>0.18460553959021653</v>
      </c>
      <c r="AL248" s="5">
        <f t="shared" si="38"/>
        <v>1.0389336010771639</v>
      </c>
      <c r="AM248" s="10">
        <f t="shared" si="39"/>
        <v>7.6516040287710814</v>
      </c>
    </row>
    <row r="249" spans="1:39" x14ac:dyDescent="0.3">
      <c r="A249">
        <v>108</v>
      </c>
      <c r="B249" t="s">
        <v>196</v>
      </c>
      <c r="C249" t="s">
        <v>58</v>
      </c>
      <c r="D249" s="1">
        <v>39020</v>
      </c>
      <c r="E249">
        <v>40</v>
      </c>
      <c r="F249" t="s">
        <v>197</v>
      </c>
      <c r="G249" s="4">
        <v>-142.596</v>
      </c>
      <c r="H249" s="4">
        <v>44.368000000000002</v>
      </c>
      <c r="I249" s="4">
        <v>3245.7440000000001</v>
      </c>
      <c r="J249" s="4">
        <v>474.548</v>
      </c>
      <c r="K249" s="4">
        <v>2848.9789999999998</v>
      </c>
      <c r="L249" s="4">
        <v>90.087000000000003</v>
      </c>
      <c r="M249" s="4">
        <v>2263.3240000000001</v>
      </c>
      <c r="N249" s="4">
        <v>585.65499999999997</v>
      </c>
      <c r="O249" s="4">
        <v>-120.666</v>
      </c>
      <c r="P249" s="4">
        <v>239.44399999999999</v>
      </c>
      <c r="Q249" s="4">
        <v>198.566</v>
      </c>
      <c r="R249" s="4">
        <v>133.07499999999999</v>
      </c>
      <c r="S249" s="4">
        <v>2050.5700000000002</v>
      </c>
      <c r="T249" s="4">
        <v>2461.89</v>
      </c>
      <c r="U249" s="4">
        <v>3127.038</v>
      </c>
      <c r="V249" s="4">
        <v>2852.2130000000002</v>
      </c>
      <c r="W249" s="4">
        <v>2669.5949999999998</v>
      </c>
      <c r="X249" s="4">
        <v>2728.5819999999999</v>
      </c>
      <c r="Y249">
        <v>0.151756390552337</v>
      </c>
      <c r="Z249">
        <v>2844.357</v>
      </c>
      <c r="AA249" t="s">
        <v>32</v>
      </c>
      <c r="AB249">
        <v>3</v>
      </c>
      <c r="AC249" t="s">
        <v>33</v>
      </c>
      <c r="AD249" s="5">
        <f t="shared" si="30"/>
        <v>-4.7696943981779656E-2</v>
      </c>
      <c r="AE249" s="5">
        <f t="shared" si="31"/>
        <v>1.3669593165696371E-2</v>
      </c>
      <c r="AF249" s="5">
        <f t="shared" si="32"/>
        <v>5.8981132242723479E-2</v>
      </c>
      <c r="AG249" s="5">
        <f t="shared" si="33"/>
        <v>0.18728745861099225</v>
      </c>
      <c r="AH249" s="5">
        <f t="shared" si="34"/>
        <v>1.2701777902343323</v>
      </c>
      <c r="AI249" s="5">
        <f t="shared" si="35"/>
        <v>1.981874676333506</v>
      </c>
      <c r="AJ249" s="5">
        <f t="shared" si="36"/>
        <v>1.2587587990053566</v>
      </c>
      <c r="AK249" s="5">
        <f t="shared" si="37"/>
        <v>0.15175639055233739</v>
      </c>
      <c r="AL249" s="5">
        <f t="shared" si="38"/>
        <v>1.1572324514905215</v>
      </c>
      <c r="AM249" s="10">
        <f t="shared" si="39"/>
        <v>5.542075112480898</v>
      </c>
    </row>
    <row r="250" spans="1:39" x14ac:dyDescent="0.3">
      <c r="A250">
        <v>112</v>
      </c>
      <c r="B250" t="s">
        <v>198</v>
      </c>
      <c r="C250" t="s">
        <v>58</v>
      </c>
      <c r="D250" s="1">
        <v>39461</v>
      </c>
      <c r="E250">
        <v>0</v>
      </c>
      <c r="F250" t="s">
        <v>199</v>
      </c>
      <c r="G250" s="4">
        <v>-45.237000000000002</v>
      </c>
      <c r="H250" s="4">
        <v>-29.318999999999999</v>
      </c>
      <c r="I250" s="4">
        <v>122.965</v>
      </c>
      <c r="J250" s="4">
        <v>-3014.3409999999999</v>
      </c>
      <c r="K250" s="4">
        <v>2276.48</v>
      </c>
      <c r="L250" s="4">
        <v>2108.8739999999998</v>
      </c>
      <c r="M250" s="4">
        <v>44.024000000000001</v>
      </c>
      <c r="N250" s="4">
        <v>2232.4560000000001</v>
      </c>
      <c r="O250" s="4">
        <v>-30.117000000000001</v>
      </c>
      <c r="P250" s="4">
        <v>718.548</v>
      </c>
      <c r="Q250" s="4">
        <v>5165.3490000000002</v>
      </c>
      <c r="R250" s="4">
        <v>0.79800000000000004</v>
      </c>
      <c r="S250" s="4">
        <v>5257.8519999999999</v>
      </c>
      <c r="T250" s="4">
        <v>5209.3729999999996</v>
      </c>
      <c r="U250" s="4">
        <v>2995.0320000000002</v>
      </c>
      <c r="V250" s="4">
        <v>3088.7489999999998</v>
      </c>
      <c r="W250" s="4">
        <v>3401.0659999999998</v>
      </c>
      <c r="X250" s="4">
        <v>5340.4139999999998</v>
      </c>
      <c r="Y250">
        <v>-1.0064470095811999</v>
      </c>
      <c r="Z250">
        <v>3706.3152500000001</v>
      </c>
      <c r="AA250" t="s">
        <v>32</v>
      </c>
      <c r="AB250">
        <v>3</v>
      </c>
      <c r="AC250" t="s">
        <v>33</v>
      </c>
      <c r="AD250" s="5">
        <f t="shared" si="30"/>
        <v>-1.4871343988220483E-2</v>
      </c>
      <c r="AE250" s="5">
        <f t="shared" si="31"/>
        <v>-0.23843370064652541</v>
      </c>
      <c r="AF250" s="5">
        <f t="shared" si="32"/>
        <v>1.5247594276419972E-4</v>
      </c>
      <c r="AG250" s="5">
        <f t="shared" si="33"/>
        <v>0.74538635981184842</v>
      </c>
      <c r="AH250" s="5">
        <f t="shared" si="34"/>
        <v>0.57493137849794984</v>
      </c>
      <c r="AI250" s="5">
        <f t="shared" si="35"/>
        <v>-4.195044729092559</v>
      </c>
      <c r="AJ250" s="5">
        <f t="shared" si="36"/>
        <v>51.709976376521894</v>
      </c>
      <c r="AK250" s="5">
        <f t="shared" si="37"/>
        <v>-1.0064470095811997</v>
      </c>
      <c r="AL250" s="5">
        <f t="shared" si="38"/>
        <v>0.4369969284211363</v>
      </c>
      <c r="AM250" s="10">
        <f t="shared" si="39"/>
        <v>5.5080592853789724E-2</v>
      </c>
    </row>
    <row r="251" spans="1:39" x14ac:dyDescent="0.3">
      <c r="A251">
        <v>114</v>
      </c>
      <c r="B251" t="s">
        <v>200</v>
      </c>
      <c r="C251" t="s">
        <v>45</v>
      </c>
      <c r="D251" s="1">
        <v>40522</v>
      </c>
      <c r="E251">
        <v>23</v>
      </c>
      <c r="F251" t="s">
        <v>201</v>
      </c>
      <c r="G251" s="4">
        <v>-2123.0830000000001</v>
      </c>
      <c r="H251" s="4">
        <v>-1904.7940000000001</v>
      </c>
      <c r="I251" s="4">
        <v>1902.133</v>
      </c>
      <c r="J251" s="4">
        <v>-1536.5740000000001</v>
      </c>
      <c r="K251" s="4">
        <v>2352.6469999999999</v>
      </c>
      <c r="L251" s="4">
        <v>1138.423</v>
      </c>
      <c r="M251" s="4">
        <v>2822.299</v>
      </c>
      <c r="N251" s="4">
        <v>-469.65199999999999</v>
      </c>
      <c r="O251" s="4">
        <v>-1948.7560000000001</v>
      </c>
      <c r="P251" s="4">
        <v>563.59699999999998</v>
      </c>
      <c r="Q251" s="4">
        <v>1393.2670000000001</v>
      </c>
      <c r="R251" s="4">
        <v>43.968000000000004</v>
      </c>
      <c r="S251" s="4">
        <v>3391.8209999999999</v>
      </c>
      <c r="T251" s="4">
        <v>4215.5659999999998</v>
      </c>
      <c r="U251" s="4">
        <v>2961.1750000000002</v>
      </c>
      <c r="V251" s="4">
        <v>4199.2619999999997</v>
      </c>
      <c r="W251" s="4">
        <v>4167.7349999999997</v>
      </c>
      <c r="X251" s="4">
        <v>5193.7690000000002</v>
      </c>
      <c r="Y251">
        <v>-0.51890685285401905</v>
      </c>
      <c r="Z251">
        <v>4130.4852499999997</v>
      </c>
      <c r="AA251" t="s">
        <v>32</v>
      </c>
      <c r="AB251">
        <v>3</v>
      </c>
      <c r="AC251" t="s">
        <v>33</v>
      </c>
      <c r="AD251" s="5">
        <f t="shared" si="30"/>
        <v>-0.59300375102804481</v>
      </c>
      <c r="AE251" s="5">
        <f t="shared" si="31"/>
        <v>-1.0013989558038265</v>
      </c>
      <c r="AF251" s="5">
        <f t="shared" si="32"/>
        <v>1.15592909891399E-2</v>
      </c>
      <c r="AG251" s="5">
        <f t="shared" si="33"/>
        <v>-0.15860325715298823</v>
      </c>
      <c r="AH251" s="5">
        <f t="shared" si="34"/>
        <v>0.7024382965419117</v>
      </c>
      <c r="AI251" s="5">
        <f t="shared" si="35"/>
        <v>-2.7263700835880962</v>
      </c>
      <c r="AJ251" s="5">
        <f t="shared" si="36"/>
        <v>0.83359240108861599</v>
      </c>
      <c r="AK251" s="5">
        <f t="shared" si="37"/>
        <v>-0.51890685285401905</v>
      </c>
      <c r="AL251" s="5">
        <f t="shared" si="38"/>
        <v>0.55808567580249013</v>
      </c>
      <c r="AM251" s="10">
        <f t="shared" si="39"/>
        <v>-4.050090279611287</v>
      </c>
    </row>
    <row r="252" spans="1:39" x14ac:dyDescent="0.3">
      <c r="A252">
        <v>122</v>
      </c>
      <c r="B252" t="s">
        <v>208</v>
      </c>
      <c r="C252" t="s">
        <v>101</v>
      </c>
      <c r="D252" s="1">
        <v>37971</v>
      </c>
      <c r="E252">
        <v>0</v>
      </c>
      <c r="F252" t="s">
        <v>209</v>
      </c>
      <c r="G252" s="4">
        <v>-8.2579999999999991</v>
      </c>
      <c r="H252" s="4">
        <v>-8.2579999999999991</v>
      </c>
      <c r="I252" s="4">
        <v>1.2E-2</v>
      </c>
      <c r="J252" s="4">
        <v>-184.506</v>
      </c>
      <c r="K252" s="4">
        <v>2641.3850000000002</v>
      </c>
      <c r="L252" s="4">
        <v>2635.2139999999999</v>
      </c>
      <c r="M252" s="4">
        <v>337.9</v>
      </c>
      <c r="N252" s="4">
        <v>2303.4850000000001</v>
      </c>
      <c r="O252" s="4">
        <v>-8.2579999999999991</v>
      </c>
      <c r="P252" s="4">
        <v>0</v>
      </c>
      <c r="Q252" s="4">
        <v>2490.127</v>
      </c>
      <c r="R252" s="4">
        <v>0</v>
      </c>
      <c r="S252" s="4">
        <v>2824.1729999999998</v>
      </c>
      <c r="T252" s="4">
        <v>2828.027</v>
      </c>
      <c r="U252" s="4">
        <v>2643.5459999999998</v>
      </c>
      <c r="V252" s="4">
        <v>2647.95</v>
      </c>
      <c r="W252" s="4">
        <v>2664.7159999999999</v>
      </c>
      <c r="X252" s="4">
        <v>2670.6039999999998</v>
      </c>
      <c r="Y252">
        <v>-6.9794889137544794E-2</v>
      </c>
      <c r="Z252">
        <v>2656.7040000000002</v>
      </c>
      <c r="AA252" t="s">
        <v>32</v>
      </c>
      <c r="AB252">
        <v>3</v>
      </c>
      <c r="AC252" t="s">
        <v>33</v>
      </c>
      <c r="AD252" s="5">
        <f t="shared" si="30"/>
        <v>-3.1212345242252852E-3</v>
      </c>
      <c r="AE252" s="5">
        <f t="shared" si="31"/>
        <v>-688.16666666666663</v>
      </c>
      <c r="AF252" s="5">
        <f t="shared" si="32"/>
        <v>0</v>
      </c>
      <c r="AG252" s="5">
        <f t="shared" si="33"/>
        <v>0.87136179964335791</v>
      </c>
      <c r="AH252" s="5">
        <f t="shared" si="34"/>
        <v>0.93476688871782332</v>
      </c>
      <c r="AI252" s="5" t="e">
        <f t="shared" si="35"/>
        <v>#DIV/0!</v>
      </c>
      <c r="AJ252" s="5">
        <f t="shared" si="36"/>
        <v>7.8170612607280274</v>
      </c>
      <c r="AK252" s="5">
        <f t="shared" si="37"/>
        <v>-6.9794889137544808E-2</v>
      </c>
      <c r="AL252" s="5">
        <f t="shared" si="38"/>
        <v>0.93400275174176206</v>
      </c>
      <c r="AM252" s="10">
        <f t="shared" si="39"/>
        <v>5.2094977827075059E-6</v>
      </c>
    </row>
    <row r="253" spans="1:39" x14ac:dyDescent="0.3">
      <c r="A253">
        <v>128</v>
      </c>
      <c r="B253" t="s">
        <v>214</v>
      </c>
      <c r="C253" t="s">
        <v>58</v>
      </c>
      <c r="D253" s="1">
        <v>42075</v>
      </c>
      <c r="E253">
        <v>2</v>
      </c>
      <c r="F253" t="s">
        <v>215</v>
      </c>
      <c r="G253" s="4">
        <v>-1361.752</v>
      </c>
      <c r="H253" s="4">
        <v>114.64</v>
      </c>
      <c r="I253" s="4">
        <v>3.7090000000000001</v>
      </c>
      <c r="J253" s="4">
        <v>-20299.883000000002</v>
      </c>
      <c r="K253" s="4">
        <v>764.37400000000002</v>
      </c>
      <c r="L253" s="4">
        <v>0</v>
      </c>
      <c r="M253" s="4">
        <v>9207.7829999999994</v>
      </c>
      <c r="N253" s="4">
        <v>-8443.4089999999997</v>
      </c>
      <c r="O253" s="4">
        <v>-1267.835</v>
      </c>
      <c r="P253" s="4">
        <v>1783.624</v>
      </c>
      <c r="Q253" s="4">
        <v>9844.0400000000009</v>
      </c>
      <c r="R253" s="4">
        <v>1382.4839999999999</v>
      </c>
      <c r="S253" s="4">
        <v>19036.420999999998</v>
      </c>
      <c r="T253" s="4">
        <v>19051.823</v>
      </c>
      <c r="U253" s="4">
        <v>2547.998</v>
      </c>
      <c r="V253" s="4">
        <v>2513.8209999999999</v>
      </c>
      <c r="W253" s="4">
        <v>2930.9580000000001</v>
      </c>
      <c r="X253" s="4">
        <v>5894.7879999999996</v>
      </c>
      <c r="Y253">
        <v>-7.9669933021925496</v>
      </c>
      <c r="Z253">
        <v>3471.8912500000001</v>
      </c>
      <c r="AA253" t="s">
        <v>32</v>
      </c>
      <c r="AB253">
        <v>3</v>
      </c>
      <c r="AC253" t="s">
        <v>33</v>
      </c>
      <c r="AD253" s="5">
        <f t="shared" si="30"/>
        <v>-0.53804847624934837</v>
      </c>
      <c r="AE253" s="5">
        <f t="shared" si="31"/>
        <v>30.908600700997575</v>
      </c>
      <c r="AF253" s="5">
        <f t="shared" si="32"/>
        <v>7.2593737847300069E-2</v>
      </c>
      <c r="AG253" s="5">
        <f t="shared" si="33"/>
        <v>-3.3137423969720539</v>
      </c>
      <c r="AH253" s="5">
        <f t="shared" si="34"/>
        <v>0.13374037749563389</v>
      </c>
      <c r="AI253" s="5">
        <f t="shared" si="35"/>
        <v>-11.381256924105081</v>
      </c>
      <c r="AJ253" s="5">
        <f t="shared" si="36"/>
        <v>8.301390247793633E-2</v>
      </c>
      <c r="AK253" s="5">
        <f t="shared" si="37"/>
        <v>-7.9669933021925452</v>
      </c>
      <c r="AL253" s="5">
        <f t="shared" si="38"/>
        <v>4.0120780042938675E-2</v>
      </c>
      <c r="AM253" s="10">
        <f t="shared" si="39"/>
        <v>-4.3927754772983286E-4</v>
      </c>
    </row>
    <row r="254" spans="1:39" x14ac:dyDescent="0.3">
      <c r="A254">
        <v>144</v>
      </c>
      <c r="B254" t="s">
        <v>228</v>
      </c>
      <c r="C254" t="s">
        <v>101</v>
      </c>
      <c r="D254" s="1">
        <v>36238</v>
      </c>
      <c r="E254">
        <v>3</v>
      </c>
      <c r="F254" t="s">
        <v>229</v>
      </c>
      <c r="G254" s="4">
        <v>-75.355999999999995</v>
      </c>
      <c r="H254" s="4">
        <v>-63.795999999999999</v>
      </c>
      <c r="I254" s="4">
        <v>135.34700000000001</v>
      </c>
      <c r="J254" s="4">
        <v>-29.413</v>
      </c>
      <c r="K254" s="4">
        <v>2095.4760000000001</v>
      </c>
      <c r="L254" s="4">
        <v>735.39400000000001</v>
      </c>
      <c r="M254" s="4">
        <v>2206.0030000000002</v>
      </c>
      <c r="N254" s="4">
        <v>-110.527</v>
      </c>
      <c r="O254" s="4">
        <v>-64.207999999999998</v>
      </c>
      <c r="P254" s="4">
        <v>211.797</v>
      </c>
      <c r="Q254" s="4">
        <v>69.572999999999993</v>
      </c>
      <c r="R254" s="4">
        <v>0.41199999999999998</v>
      </c>
      <c r="S254" s="4">
        <v>2248.1019999999999</v>
      </c>
      <c r="T254" s="4">
        <v>2275.576</v>
      </c>
      <c r="U254" s="4">
        <v>2308.183</v>
      </c>
      <c r="V254" s="4">
        <v>2433.4189999999999</v>
      </c>
      <c r="W254" s="4">
        <v>2436.489</v>
      </c>
      <c r="X254" s="4">
        <v>2469.5239999999999</v>
      </c>
      <c r="Y254">
        <v>-1.27429237629772E-2</v>
      </c>
      <c r="Z254">
        <v>2411.9037499999999</v>
      </c>
      <c r="AA254" t="s">
        <v>32</v>
      </c>
      <c r="AB254">
        <v>3</v>
      </c>
      <c r="AC254" t="s">
        <v>33</v>
      </c>
      <c r="AD254" s="5">
        <f t="shared" si="30"/>
        <v>-3.178503805254005E-2</v>
      </c>
      <c r="AE254" s="5">
        <f t="shared" si="31"/>
        <v>-0.47135141525116919</v>
      </c>
      <c r="AF254" s="5">
        <f t="shared" si="32"/>
        <v>1.8215266427009172E-4</v>
      </c>
      <c r="AG254" s="5">
        <f t="shared" si="33"/>
        <v>-4.7884851417760207E-2</v>
      </c>
      <c r="AH254" s="5">
        <f t="shared" si="34"/>
        <v>1.0143291193086936</v>
      </c>
      <c r="AI254" s="5">
        <f t="shared" si="35"/>
        <v>-0.13887354400676119</v>
      </c>
      <c r="AJ254" s="5">
        <f t="shared" si="36"/>
        <v>0.94989716695761517</v>
      </c>
      <c r="AK254" s="5">
        <f t="shared" si="37"/>
        <v>-1.2742923762977199E-2</v>
      </c>
      <c r="AL254" s="5">
        <f t="shared" si="38"/>
        <v>0.92085520325403325</v>
      </c>
      <c r="AM254" s="10">
        <f t="shared" si="39"/>
        <v>-1.2245605146253857</v>
      </c>
    </row>
    <row r="255" spans="1:39" x14ac:dyDescent="0.3">
      <c r="A255">
        <v>147</v>
      </c>
      <c r="B255" t="s">
        <v>230</v>
      </c>
      <c r="C255" t="s">
        <v>45</v>
      </c>
      <c r="D255" s="1">
        <v>32939</v>
      </c>
      <c r="E255">
        <v>0</v>
      </c>
      <c r="F255" t="s">
        <v>231</v>
      </c>
      <c r="G255" s="4">
        <v>-822.53200000000004</v>
      </c>
      <c r="H255" s="4">
        <v>-802.64800000000002</v>
      </c>
      <c r="I255" s="4">
        <v>83.847999999999999</v>
      </c>
      <c r="J255" s="4">
        <v>-984.13199999999995</v>
      </c>
      <c r="K255" s="4">
        <v>2246.2080000000001</v>
      </c>
      <c r="L255" s="4">
        <v>2068.3310000000001</v>
      </c>
      <c r="M255" s="4">
        <v>1499.0989999999999</v>
      </c>
      <c r="N255" s="4">
        <v>747.10900000000004</v>
      </c>
      <c r="O255" s="4">
        <v>-822.03700000000003</v>
      </c>
      <c r="P255" s="4">
        <v>4.0519999999999996</v>
      </c>
      <c r="Q255" s="4">
        <v>0</v>
      </c>
      <c r="R255" s="4">
        <v>18.216000000000001</v>
      </c>
      <c r="S255" s="4">
        <v>1496.992</v>
      </c>
      <c r="T255" s="4">
        <v>1499.0989999999999</v>
      </c>
      <c r="U255" s="4">
        <v>2250.453</v>
      </c>
      <c r="V255" s="4">
        <v>2231.902</v>
      </c>
      <c r="W255" s="4">
        <v>2208.8440000000001</v>
      </c>
      <c r="X255" s="4">
        <v>2222.2950000000001</v>
      </c>
      <c r="Y255">
        <v>-0.43730395613683098</v>
      </c>
      <c r="Z255">
        <v>2228.3735000000001</v>
      </c>
      <c r="AA255" t="s">
        <v>32</v>
      </c>
      <c r="AB255">
        <v>3</v>
      </c>
      <c r="AC255" t="s">
        <v>33</v>
      </c>
      <c r="AD255" s="5">
        <f t="shared" si="30"/>
        <v>-0.36700886029776764</v>
      </c>
      <c r="AE255" s="5">
        <f t="shared" si="31"/>
        <v>-9.5726552809846392</v>
      </c>
      <c r="AF255" s="5">
        <f t="shared" si="32"/>
        <v>1.2159844277093053E-2</v>
      </c>
      <c r="AG255" s="5">
        <f t="shared" si="33"/>
        <v>0.33198160548120759</v>
      </c>
      <c r="AH255" s="5">
        <f t="shared" si="34"/>
        <v>1.5012037230363038</v>
      </c>
      <c r="AI255" s="5">
        <f t="shared" si="35"/>
        <v>-242.87561697926949</v>
      </c>
      <c r="AJ255" s="5">
        <f t="shared" si="36"/>
        <v>1.4983720221279584</v>
      </c>
      <c r="AK255" s="5">
        <f t="shared" si="37"/>
        <v>-0.4373039561368311</v>
      </c>
      <c r="AL255" s="5">
        <f t="shared" si="38"/>
        <v>1.4983720221279584</v>
      </c>
      <c r="AM255" s="10">
        <f t="shared" si="39"/>
        <v>0.11222994235111609</v>
      </c>
    </row>
    <row r="256" spans="1:39" x14ac:dyDescent="0.3">
      <c r="A256">
        <v>155</v>
      </c>
      <c r="B256" t="s">
        <v>234</v>
      </c>
      <c r="C256" t="s">
        <v>58</v>
      </c>
      <c r="D256" s="1">
        <v>39855</v>
      </c>
      <c r="E256">
        <v>9</v>
      </c>
      <c r="F256" t="s">
        <v>235</v>
      </c>
      <c r="G256" s="4">
        <v>-4.8319999999999999</v>
      </c>
      <c r="H256" s="4">
        <v>40.781999999999996</v>
      </c>
      <c r="I256" s="4">
        <v>1788.2529999999999</v>
      </c>
      <c r="J256" s="4">
        <v>77.272000000000006</v>
      </c>
      <c r="K256" s="4">
        <v>1989.173</v>
      </c>
      <c r="L256" s="4">
        <v>1027.5419999999999</v>
      </c>
      <c r="M256" s="4">
        <v>1669.0909999999999</v>
      </c>
      <c r="N256" s="4">
        <v>320.08199999999999</v>
      </c>
      <c r="O256" s="4">
        <v>-3.387</v>
      </c>
      <c r="P256" s="4">
        <v>22.247</v>
      </c>
      <c r="Q256" s="4">
        <v>249.80500000000001</v>
      </c>
      <c r="R256" s="4">
        <v>24.649000000000001</v>
      </c>
      <c r="S256" s="4">
        <v>1941.5450000000001</v>
      </c>
      <c r="T256" s="4">
        <v>1918.896</v>
      </c>
      <c r="U256" s="4">
        <v>2012.54</v>
      </c>
      <c r="V256" s="4">
        <v>2040.019</v>
      </c>
      <c r="W256" s="4">
        <v>3308.9479999999999</v>
      </c>
      <c r="X256" s="4">
        <v>2017.4490000000001</v>
      </c>
      <c r="Y256">
        <v>3.8395261709084E-2</v>
      </c>
      <c r="Z256">
        <v>2344.739</v>
      </c>
      <c r="AA256" t="s">
        <v>32</v>
      </c>
      <c r="AB256">
        <v>3</v>
      </c>
      <c r="AC256" t="s">
        <v>33</v>
      </c>
      <c r="AD256" s="5">
        <f t="shared" si="30"/>
        <v>-2.3846660838250594E-3</v>
      </c>
      <c r="AE256" s="5">
        <f t="shared" si="31"/>
        <v>2.2805497879774282E-2</v>
      </c>
      <c r="AF256" s="5">
        <f t="shared" si="32"/>
        <v>1.2770043629730388E-2</v>
      </c>
      <c r="AG256" s="5">
        <f t="shared" si="33"/>
        <v>0.15904379540282429</v>
      </c>
      <c r="AH256" s="5">
        <f t="shared" si="34"/>
        <v>1.0488009772285731</v>
      </c>
      <c r="AI256" s="5">
        <f t="shared" si="35"/>
        <v>3.4733671955769321</v>
      </c>
      <c r="AJ256" s="5">
        <f t="shared" si="36"/>
        <v>1.1917702509929058</v>
      </c>
      <c r="AK256" s="5">
        <f t="shared" si="37"/>
        <v>3.8395261709084048E-2</v>
      </c>
      <c r="AL256" s="5">
        <f t="shared" si="38"/>
        <v>1.036623662772761</v>
      </c>
      <c r="AM256" s="10">
        <f t="shared" si="39"/>
        <v>5.5868589923832017</v>
      </c>
    </row>
    <row r="257" spans="1:39" x14ac:dyDescent="0.3">
      <c r="A257">
        <v>162</v>
      </c>
      <c r="B257" t="s">
        <v>240</v>
      </c>
      <c r="C257" t="s">
        <v>35</v>
      </c>
      <c r="D257" s="1">
        <v>33024</v>
      </c>
      <c r="E257">
        <v>8</v>
      </c>
      <c r="F257" t="s">
        <v>241</v>
      </c>
      <c r="G257" s="4">
        <v>-548.53200000000004</v>
      </c>
      <c r="H257" s="4">
        <v>-532.01</v>
      </c>
      <c r="I257" s="4">
        <v>1618.85</v>
      </c>
      <c r="J257" s="4">
        <v>-455.84500000000003</v>
      </c>
      <c r="K257" s="4">
        <v>1298.7339999999999</v>
      </c>
      <c r="L257" s="4">
        <v>231.95599999999999</v>
      </c>
      <c r="M257" s="4">
        <v>1742.88</v>
      </c>
      <c r="N257" s="4">
        <v>-444.14600000000002</v>
      </c>
      <c r="O257" s="4">
        <v>-537.18200000000002</v>
      </c>
      <c r="P257" s="4">
        <v>546.59299999999996</v>
      </c>
      <c r="Q257" s="4">
        <v>404.37700000000001</v>
      </c>
      <c r="R257" s="4">
        <v>5.2119999999999997</v>
      </c>
      <c r="S257" s="4">
        <v>2516.1260000000002</v>
      </c>
      <c r="T257" s="4">
        <v>2147.2570000000001</v>
      </c>
      <c r="U257" s="4">
        <v>1845.327</v>
      </c>
      <c r="V257" s="4">
        <v>2753.2809999999999</v>
      </c>
      <c r="W257" s="4">
        <v>2880.8850000000002</v>
      </c>
      <c r="X257" s="4">
        <v>3024.567</v>
      </c>
      <c r="Y257">
        <v>-0.24702667874040801</v>
      </c>
      <c r="Z257">
        <v>2626.0149999999999</v>
      </c>
      <c r="AA257" t="s">
        <v>32</v>
      </c>
      <c r="AB257">
        <v>3</v>
      </c>
      <c r="AC257" t="s">
        <v>33</v>
      </c>
      <c r="AD257" s="5">
        <f t="shared" si="30"/>
        <v>-0.23856436556453606</v>
      </c>
      <c r="AE257" s="5">
        <f t="shared" si="31"/>
        <v>-0.32863452450813851</v>
      </c>
      <c r="AF257" s="5">
        <f t="shared" si="32"/>
        <v>2.2352871295366473E-3</v>
      </c>
      <c r="AG257" s="5">
        <f t="shared" si="33"/>
        <v>-0.24068688097014784</v>
      </c>
      <c r="AH257" s="5">
        <f t="shared" si="34"/>
        <v>0.85938804716901607</v>
      </c>
      <c r="AI257" s="5">
        <f t="shared" si="35"/>
        <v>-0.8339751881198626</v>
      </c>
      <c r="AJ257" s="5">
        <f t="shared" si="36"/>
        <v>0.74516547323969518</v>
      </c>
      <c r="AK257" s="5">
        <f t="shared" si="37"/>
        <v>-0.24702667874040754</v>
      </c>
      <c r="AL257" s="5">
        <f t="shared" si="38"/>
        <v>0.60483398121417231</v>
      </c>
      <c r="AM257" s="10">
        <f t="shared" si="39"/>
        <v>-3.644860023505784</v>
      </c>
    </row>
    <row r="258" spans="1:39" x14ac:dyDescent="0.3">
      <c r="A258">
        <v>167</v>
      </c>
      <c r="B258" t="s">
        <v>242</v>
      </c>
      <c r="C258" t="s">
        <v>58</v>
      </c>
      <c r="D258" s="1">
        <v>40878</v>
      </c>
      <c r="E258">
        <v>6</v>
      </c>
      <c r="F258" t="s">
        <v>243</v>
      </c>
      <c r="G258" s="4">
        <v>-1194.086</v>
      </c>
      <c r="H258" s="4">
        <v>-1453.1769999999999</v>
      </c>
      <c r="I258" s="4">
        <v>1827.56</v>
      </c>
      <c r="J258" s="4">
        <v>-994.24699999999996</v>
      </c>
      <c r="K258" s="4">
        <v>1697.652</v>
      </c>
      <c r="L258" s="4">
        <v>256.54899999999998</v>
      </c>
      <c r="M258" s="4">
        <v>2708.3919999999998</v>
      </c>
      <c r="N258" s="4">
        <v>-1010.74</v>
      </c>
      <c r="O258" s="4">
        <v>-1169.8969999999999</v>
      </c>
      <c r="P258" s="4">
        <v>51.134999999999998</v>
      </c>
      <c r="Q258" s="4">
        <v>0</v>
      </c>
      <c r="R258" s="4">
        <v>42.463000000000001</v>
      </c>
      <c r="S258" s="4">
        <v>3132.48</v>
      </c>
      <c r="T258" s="4">
        <v>2708.3919999999998</v>
      </c>
      <c r="U258" s="4">
        <v>1760.1759999999999</v>
      </c>
      <c r="V258" s="4">
        <v>3372.77</v>
      </c>
      <c r="W258" s="4">
        <v>4494.0910000000003</v>
      </c>
      <c r="X258" s="4">
        <v>5196.1629999999996</v>
      </c>
      <c r="Y258">
        <v>-0.56485658252356596</v>
      </c>
      <c r="Z258">
        <v>3705.8</v>
      </c>
      <c r="AA258" t="s">
        <v>32</v>
      </c>
      <c r="AB258">
        <v>3</v>
      </c>
      <c r="AC258" t="s">
        <v>33</v>
      </c>
      <c r="AD258" s="5">
        <f t="shared" si="30"/>
        <v>-0.46526341792802811</v>
      </c>
      <c r="AE258" s="5">
        <f t="shared" si="31"/>
        <v>-0.79514598699905881</v>
      </c>
      <c r="AF258" s="5">
        <f t="shared" si="32"/>
        <v>1.4539952253704585E-2</v>
      </c>
      <c r="AG258" s="5">
        <f t="shared" si="33"/>
        <v>-0.57422666824226676</v>
      </c>
      <c r="AH258" s="5">
        <f t="shared" si="34"/>
        <v>0.64989706069136222</v>
      </c>
      <c r="AI258" s="5">
        <f t="shared" si="35"/>
        <v>-19.443570939669502</v>
      </c>
      <c r="AJ258" s="5">
        <f t="shared" si="36"/>
        <v>0.62681177613875694</v>
      </c>
      <c r="AK258" s="5">
        <f t="shared" si="37"/>
        <v>-0.56485658252356585</v>
      </c>
      <c r="AL258" s="5">
        <f t="shared" si="38"/>
        <v>0.62681177613875694</v>
      </c>
      <c r="AM258" s="10">
        <f t="shared" si="39"/>
        <v>-1.8081405702752438</v>
      </c>
    </row>
    <row r="259" spans="1:39" x14ac:dyDescent="0.3">
      <c r="A259">
        <v>169</v>
      </c>
      <c r="B259" t="s">
        <v>247</v>
      </c>
      <c r="C259" t="s">
        <v>58</v>
      </c>
      <c r="D259" s="1">
        <v>41340</v>
      </c>
      <c r="E259">
        <v>0</v>
      </c>
      <c r="F259" t="s">
        <v>248</v>
      </c>
      <c r="G259" s="4">
        <v>-859.38699999999994</v>
      </c>
      <c r="H259" s="4">
        <v>-788.87</v>
      </c>
      <c r="I259" s="4">
        <v>571.64400000000001</v>
      </c>
      <c r="J259" s="4">
        <v>150.393</v>
      </c>
      <c r="K259" s="4">
        <v>1589.5319999999999</v>
      </c>
      <c r="L259" s="4">
        <v>525</v>
      </c>
      <c r="M259" s="4">
        <v>788.41099999999994</v>
      </c>
      <c r="N259" s="4">
        <v>801.12099999999998</v>
      </c>
      <c r="O259" s="4">
        <v>-793.92100000000005</v>
      </c>
      <c r="P259" s="4">
        <v>129.50899999999999</v>
      </c>
      <c r="Q259" s="4">
        <v>774.96100000000001</v>
      </c>
      <c r="R259" s="4">
        <v>5.0510000000000002</v>
      </c>
      <c r="S259" s="4">
        <v>1575.21</v>
      </c>
      <c r="T259" s="4">
        <v>1563.3720000000001</v>
      </c>
      <c r="U259" s="4">
        <v>1719.0409999999999</v>
      </c>
      <c r="V259" s="4">
        <v>2594.9290000000001</v>
      </c>
      <c r="W259" s="4">
        <v>2593.0219999999999</v>
      </c>
      <c r="X259" s="4">
        <v>2586.71</v>
      </c>
      <c r="Y259">
        <v>8.7486569546625106E-2</v>
      </c>
      <c r="Z259">
        <v>2373.4254999999998</v>
      </c>
      <c r="AA259" t="s">
        <v>32</v>
      </c>
      <c r="AB259">
        <v>3</v>
      </c>
      <c r="AC259" t="s">
        <v>33</v>
      </c>
      <c r="AD259" s="5">
        <f t="shared" ref="AD259:AD322" si="40">G259/((U259+V259)/2)</f>
        <v>-0.39842048043913142</v>
      </c>
      <c r="AE259" s="5">
        <f t="shared" ref="AE259:AE322" si="41">H259/I259</f>
        <v>-1.3800022391558382</v>
      </c>
      <c r="AF259" s="5">
        <f t="shared" ref="AF259:AF322" si="42">R259/((S259+T259)/2)</f>
        <v>3.2186509704063807E-3</v>
      </c>
      <c r="AG259" s="5">
        <f t="shared" ref="AG259:AG322" si="43">N259/U259</f>
        <v>0.46602786088289927</v>
      </c>
      <c r="AH259" s="5">
        <f t="shared" ref="AH259:AH322" si="44">U259/T259</f>
        <v>1.0995725905286777</v>
      </c>
      <c r="AI259" s="5">
        <f t="shared" ref="AI259:AI322" si="45">J259/P259</f>
        <v>1.1612552023411502</v>
      </c>
      <c r="AJ259" s="5">
        <f t="shared" ref="AJ259:AJ322" si="46">K259/M259</f>
        <v>2.0161210333189161</v>
      </c>
      <c r="AK259" s="5">
        <f t="shared" ref="AK259:AK322" si="47">J259/U259</f>
        <v>8.7486569546625134E-2</v>
      </c>
      <c r="AL259" s="5">
        <f t="shared" ref="AL259:AL322" si="48">K259/T259</f>
        <v>1.0167330616129748</v>
      </c>
      <c r="AM259" s="10">
        <f t="shared" ref="AM259:AM322" si="49">I259/N259</f>
        <v>0.71355513087286437</v>
      </c>
    </row>
    <row r="260" spans="1:39" x14ac:dyDescent="0.3">
      <c r="A260">
        <v>173</v>
      </c>
      <c r="B260" t="s">
        <v>251</v>
      </c>
      <c r="C260" t="s">
        <v>58</v>
      </c>
      <c r="D260" s="1">
        <v>39483</v>
      </c>
      <c r="E260">
        <v>34</v>
      </c>
      <c r="F260" t="s">
        <v>252</v>
      </c>
      <c r="G260" s="4">
        <v>-1611.8789999999999</v>
      </c>
      <c r="H260" s="4">
        <v>-1470.865</v>
      </c>
      <c r="I260" s="4">
        <v>2866.1950000000002</v>
      </c>
      <c r="J260" s="4">
        <v>-1286.835</v>
      </c>
      <c r="K260" s="4">
        <v>1384.61</v>
      </c>
      <c r="L260" s="4">
        <v>310.03699999999998</v>
      </c>
      <c r="M260" s="4">
        <v>2307.8330000000001</v>
      </c>
      <c r="N260" s="4">
        <v>-923.22299999999996</v>
      </c>
      <c r="O260" s="4">
        <v>-1558.615</v>
      </c>
      <c r="P260" s="4">
        <v>257.58300000000003</v>
      </c>
      <c r="Q260" s="4">
        <v>433.84300000000002</v>
      </c>
      <c r="R260" s="4">
        <v>87.75</v>
      </c>
      <c r="S260" s="4">
        <v>2691.4070000000002</v>
      </c>
      <c r="T260" s="4">
        <v>2741.6759999999999</v>
      </c>
      <c r="U260" s="4">
        <v>1667.4259999999999</v>
      </c>
      <c r="V260" s="4">
        <v>3143.5520000000001</v>
      </c>
      <c r="W260" s="4">
        <v>3713.3440000000001</v>
      </c>
      <c r="X260" s="4">
        <v>2313.35</v>
      </c>
      <c r="Y260">
        <v>-0.77174939097747097</v>
      </c>
      <c r="Z260">
        <v>2709.4180000000001</v>
      </c>
      <c r="AA260" t="s">
        <v>32</v>
      </c>
      <c r="AB260">
        <v>3</v>
      </c>
      <c r="AC260" t="s">
        <v>33</v>
      </c>
      <c r="AD260" s="5">
        <f t="shared" si="40"/>
        <v>-0.67008371270872569</v>
      </c>
      <c r="AE260" s="5">
        <f t="shared" si="41"/>
        <v>-0.51317687735830952</v>
      </c>
      <c r="AF260" s="5">
        <f t="shared" si="42"/>
        <v>3.2302101771682849E-2</v>
      </c>
      <c r="AG260" s="5">
        <f t="shared" si="43"/>
        <v>-0.55368154268915082</v>
      </c>
      <c r="AH260" s="5">
        <f t="shared" si="44"/>
        <v>0.60817762565671507</v>
      </c>
      <c r="AI260" s="5">
        <f t="shared" si="45"/>
        <v>-4.9958071767158545</v>
      </c>
      <c r="AJ260" s="5">
        <f t="shared" si="46"/>
        <v>0.59996108903893819</v>
      </c>
      <c r="AK260" s="5">
        <f t="shared" si="47"/>
        <v>-0.77174939097747075</v>
      </c>
      <c r="AL260" s="5">
        <f t="shared" si="48"/>
        <v>0.5050232047842268</v>
      </c>
      <c r="AM260" s="10">
        <f t="shared" si="49"/>
        <v>-3.1045532877755431</v>
      </c>
    </row>
    <row r="261" spans="1:39" x14ac:dyDescent="0.3">
      <c r="A261">
        <v>178</v>
      </c>
      <c r="B261" t="s">
        <v>255</v>
      </c>
      <c r="C261" t="s">
        <v>101</v>
      </c>
      <c r="D261" s="1">
        <v>38993</v>
      </c>
      <c r="E261">
        <v>0</v>
      </c>
      <c r="F261" t="s">
        <v>256</v>
      </c>
      <c r="G261" s="4">
        <v>369.93900000000002</v>
      </c>
      <c r="H261" s="4">
        <v>370.27499999999998</v>
      </c>
      <c r="I261" s="4">
        <v>3468.7689999999998</v>
      </c>
      <c r="J261" s="4">
        <v>-1378.557</v>
      </c>
      <c r="K261" s="4">
        <v>1603.502</v>
      </c>
      <c r="L261" s="4">
        <v>1191.9870000000001</v>
      </c>
      <c r="M261" s="4">
        <v>2740.2469999999998</v>
      </c>
      <c r="N261" s="4">
        <v>-1136.7449999999999</v>
      </c>
      <c r="O261" s="4">
        <v>369.93900000000002</v>
      </c>
      <c r="P261" s="4">
        <v>3.2429999999999999</v>
      </c>
      <c r="Q261" s="4">
        <v>0</v>
      </c>
      <c r="R261" s="4">
        <v>0.33600000000000002</v>
      </c>
      <c r="S261" s="4">
        <v>10992.291999999999</v>
      </c>
      <c r="T261" s="4">
        <v>2740.2469999999998</v>
      </c>
      <c r="U261" s="4">
        <v>1606.7449999999999</v>
      </c>
      <c r="V261" s="4">
        <v>5444.4549999999999</v>
      </c>
      <c r="W261" s="4">
        <v>5424.75</v>
      </c>
      <c r="X261" s="4">
        <v>6304.2470000000003</v>
      </c>
      <c r="Y261">
        <v>-0.85798119801213002</v>
      </c>
      <c r="Z261">
        <v>4695.04925</v>
      </c>
      <c r="AA261" t="s">
        <v>32</v>
      </c>
      <c r="AB261">
        <v>3</v>
      </c>
      <c r="AC261" t="s">
        <v>33</v>
      </c>
      <c r="AD261" s="5">
        <f t="shared" si="40"/>
        <v>0.10492937372362152</v>
      </c>
      <c r="AE261" s="5">
        <f t="shared" si="41"/>
        <v>0.10674536125063387</v>
      </c>
      <c r="AF261" s="5">
        <f t="shared" si="42"/>
        <v>4.8934869218285134E-5</v>
      </c>
      <c r="AG261" s="5">
        <f t="shared" si="43"/>
        <v>-0.70748314138211099</v>
      </c>
      <c r="AH261" s="5">
        <f t="shared" si="44"/>
        <v>0.58635042753445221</v>
      </c>
      <c r="AI261" s="5">
        <f t="shared" si="45"/>
        <v>-425.08695652173913</v>
      </c>
      <c r="AJ261" s="5">
        <f t="shared" si="46"/>
        <v>0.58516695757718196</v>
      </c>
      <c r="AK261" s="5">
        <f t="shared" si="47"/>
        <v>-0.85798119801213013</v>
      </c>
      <c r="AL261" s="5">
        <f t="shared" si="48"/>
        <v>0.58516695757718196</v>
      </c>
      <c r="AM261" s="10">
        <f t="shared" si="49"/>
        <v>-3.0514926390703283</v>
      </c>
    </row>
    <row r="262" spans="1:39" x14ac:dyDescent="0.3">
      <c r="A262">
        <v>181</v>
      </c>
      <c r="B262" t="s">
        <v>259</v>
      </c>
      <c r="C262" t="s">
        <v>58</v>
      </c>
      <c r="D262" s="1">
        <v>39533</v>
      </c>
      <c r="E262">
        <v>0</v>
      </c>
      <c r="F262" t="s">
        <v>260</v>
      </c>
      <c r="G262" s="4">
        <v>35.307000000000002</v>
      </c>
      <c r="H262" s="4">
        <v>47.15</v>
      </c>
      <c r="I262" s="4">
        <v>271.5</v>
      </c>
      <c r="J262" s="4">
        <v>55.280999999999999</v>
      </c>
      <c r="K262" s="4">
        <v>1572.03</v>
      </c>
      <c r="L262" s="4">
        <v>1560.9649999999999</v>
      </c>
      <c r="M262" s="4">
        <v>366.76799999999997</v>
      </c>
      <c r="N262" s="4">
        <v>1205.2619999999999</v>
      </c>
      <c r="O262" s="4">
        <v>35.307000000000002</v>
      </c>
      <c r="P262" s="4">
        <v>0</v>
      </c>
      <c r="Q262" s="4">
        <v>1150.037</v>
      </c>
      <c r="R262" s="4">
        <v>9.1010000000000009</v>
      </c>
      <c r="S262" s="4">
        <v>1777.087</v>
      </c>
      <c r="T262" s="4">
        <v>1516.8050000000001</v>
      </c>
      <c r="U262" s="4">
        <v>1572.086</v>
      </c>
      <c r="V262" s="4">
        <v>1797.06</v>
      </c>
      <c r="W262" s="4">
        <v>2393.6480000000001</v>
      </c>
      <c r="X262" s="4">
        <v>2662.2739999999999</v>
      </c>
      <c r="Y262">
        <v>3.5164106798228602E-2</v>
      </c>
      <c r="Z262">
        <v>2106.2669999999998</v>
      </c>
      <c r="AA262" t="s">
        <v>32</v>
      </c>
      <c r="AB262">
        <v>3</v>
      </c>
      <c r="AC262" t="s">
        <v>33</v>
      </c>
      <c r="AD262" s="5">
        <f t="shared" si="40"/>
        <v>2.0959020475811975E-2</v>
      </c>
      <c r="AE262" s="5">
        <f t="shared" si="41"/>
        <v>0.1736648250460405</v>
      </c>
      <c r="AF262" s="5">
        <f t="shared" si="42"/>
        <v>5.5259856728757358E-3</v>
      </c>
      <c r="AG262" s="5">
        <f t="shared" si="43"/>
        <v>0.7666641646831025</v>
      </c>
      <c r="AH262" s="5">
        <f t="shared" si="44"/>
        <v>1.0364456868219711</v>
      </c>
      <c r="AI262" s="5" t="e">
        <f t="shared" si="45"/>
        <v>#DIV/0!</v>
      </c>
      <c r="AJ262" s="5">
        <f t="shared" si="46"/>
        <v>4.2861700039261876</v>
      </c>
      <c r="AK262" s="5">
        <f t="shared" si="47"/>
        <v>3.5164106798228595E-2</v>
      </c>
      <c r="AL262" s="5">
        <f t="shared" si="48"/>
        <v>1.0364087671124502</v>
      </c>
      <c r="AM262" s="10">
        <f t="shared" si="49"/>
        <v>0.22526222514274905</v>
      </c>
    </row>
    <row r="263" spans="1:39" x14ac:dyDescent="0.3">
      <c r="A263">
        <v>184</v>
      </c>
      <c r="B263" t="s">
        <v>261</v>
      </c>
      <c r="C263" t="s">
        <v>42</v>
      </c>
      <c r="D263" s="1">
        <v>34765</v>
      </c>
      <c r="E263">
        <v>7</v>
      </c>
      <c r="F263" t="s">
        <v>262</v>
      </c>
      <c r="G263" s="4">
        <v>-789.404</v>
      </c>
      <c r="H263" s="4">
        <v>19.664999999999999</v>
      </c>
      <c r="I263" s="4">
        <v>36.856999999999999</v>
      </c>
      <c r="J263" s="4">
        <v>-655.51099999999997</v>
      </c>
      <c r="K263" s="4">
        <v>1081.2429999999999</v>
      </c>
      <c r="L263" s="4">
        <v>0</v>
      </c>
      <c r="M263" s="4">
        <v>1924.124</v>
      </c>
      <c r="N263" s="4">
        <v>-842.88099999999997</v>
      </c>
      <c r="O263" s="4">
        <v>16.114000000000001</v>
      </c>
      <c r="P263" s="4">
        <v>456.76799999999997</v>
      </c>
      <c r="Q263" s="4">
        <v>255.42500000000001</v>
      </c>
      <c r="R263" s="4">
        <v>3.5760000000000001</v>
      </c>
      <c r="S263" s="4">
        <v>2299.3760000000002</v>
      </c>
      <c r="T263" s="4">
        <v>2179.549</v>
      </c>
      <c r="U263" s="4">
        <v>1552.587</v>
      </c>
      <c r="V263" s="4">
        <v>2532.2959999999998</v>
      </c>
      <c r="W263" s="4">
        <v>2814.337</v>
      </c>
      <c r="X263" s="4">
        <v>2160.9470000000001</v>
      </c>
      <c r="Y263">
        <v>-0.42220564773503799</v>
      </c>
      <c r="Z263">
        <v>2265.0417499999999</v>
      </c>
      <c r="AA263" t="s">
        <v>32</v>
      </c>
      <c r="AB263">
        <v>3</v>
      </c>
      <c r="AC263" t="s">
        <v>33</v>
      </c>
      <c r="AD263" s="5">
        <f t="shared" si="40"/>
        <v>-0.38650017638204082</v>
      </c>
      <c r="AE263" s="5">
        <f t="shared" si="41"/>
        <v>0.53354857964565749</v>
      </c>
      <c r="AF263" s="5">
        <f t="shared" si="42"/>
        <v>1.5968117349587233E-3</v>
      </c>
      <c r="AG263" s="5">
        <f t="shared" si="43"/>
        <v>-0.54288809580397102</v>
      </c>
      <c r="AH263" s="5">
        <f t="shared" si="44"/>
        <v>0.7123432416522868</v>
      </c>
      <c r="AI263" s="5">
        <f t="shared" si="45"/>
        <v>-1.4351071003222642</v>
      </c>
      <c r="AJ263" s="5">
        <f t="shared" si="46"/>
        <v>0.56194039469389701</v>
      </c>
      <c r="AK263" s="5">
        <f t="shared" si="47"/>
        <v>-0.42220564773503833</v>
      </c>
      <c r="AL263" s="5">
        <f t="shared" si="48"/>
        <v>0.49608565808798055</v>
      </c>
      <c r="AM263" s="10">
        <f t="shared" si="49"/>
        <v>-4.3727406359853886E-2</v>
      </c>
    </row>
    <row r="264" spans="1:39" x14ac:dyDescent="0.3">
      <c r="A264">
        <v>195</v>
      </c>
      <c r="B264" t="s">
        <v>273</v>
      </c>
      <c r="C264" t="s">
        <v>101</v>
      </c>
      <c r="D264" s="1">
        <v>41374</v>
      </c>
      <c r="E264">
        <v>24</v>
      </c>
      <c r="F264" t="s">
        <v>274</v>
      </c>
      <c r="G264" s="4">
        <v>-1589.454</v>
      </c>
      <c r="H264" s="4">
        <v>-1451.165</v>
      </c>
      <c r="I264" s="4">
        <v>2139.681</v>
      </c>
      <c r="J264" s="4">
        <v>-1535.3420000000001</v>
      </c>
      <c r="K264" s="4">
        <v>898.70600000000002</v>
      </c>
      <c r="L264" s="4">
        <v>242.03899999999999</v>
      </c>
      <c r="M264" s="4">
        <v>2539.9409999999998</v>
      </c>
      <c r="N264" s="4">
        <v>-1641.2349999999999</v>
      </c>
      <c r="O264" s="4">
        <v>-1516.3130000000001</v>
      </c>
      <c r="P264" s="4">
        <v>438.70299999999997</v>
      </c>
      <c r="Q264" s="4">
        <v>207.81100000000001</v>
      </c>
      <c r="R264" s="4">
        <v>64.605000000000004</v>
      </c>
      <c r="S264" s="4">
        <v>3217.663</v>
      </c>
      <c r="T264" s="4">
        <v>2747.752</v>
      </c>
      <c r="U264" s="4">
        <v>1340.5920000000001</v>
      </c>
      <c r="V264" s="4">
        <v>3498.703</v>
      </c>
      <c r="W264" s="4">
        <v>3160.1060000000002</v>
      </c>
      <c r="X264" s="4">
        <v>2851.35</v>
      </c>
      <c r="Y264">
        <v>-1.14527164118539</v>
      </c>
      <c r="Z264">
        <v>2712.6877500000001</v>
      </c>
      <c r="AA264" t="s">
        <v>32</v>
      </c>
      <c r="AB264">
        <v>3</v>
      </c>
      <c r="AC264" t="s">
        <v>33</v>
      </c>
      <c r="AD264" s="5">
        <f t="shared" si="40"/>
        <v>-0.65689485761872335</v>
      </c>
      <c r="AE264" s="5">
        <f t="shared" si="41"/>
        <v>-0.67821558447263863</v>
      </c>
      <c r="AF264" s="5">
        <f t="shared" si="42"/>
        <v>2.1659850991087796E-2</v>
      </c>
      <c r="AG264" s="5">
        <f t="shared" si="43"/>
        <v>-1.2242613710957546</v>
      </c>
      <c r="AH264" s="5">
        <f t="shared" si="44"/>
        <v>0.48788682530301136</v>
      </c>
      <c r="AI264" s="5">
        <f t="shared" si="45"/>
        <v>-3.4997298855945824</v>
      </c>
      <c r="AJ264" s="5">
        <f t="shared" si="46"/>
        <v>0.35382947871623793</v>
      </c>
      <c r="AK264" s="5">
        <f t="shared" si="47"/>
        <v>-1.1452716411853867</v>
      </c>
      <c r="AL264" s="5">
        <f t="shared" si="48"/>
        <v>0.32706954630548901</v>
      </c>
      <c r="AM264" s="10">
        <f t="shared" si="49"/>
        <v>-1.303701785545641</v>
      </c>
    </row>
    <row r="265" spans="1:39" x14ac:dyDescent="0.3">
      <c r="A265">
        <v>227</v>
      </c>
      <c r="B265" t="s">
        <v>313</v>
      </c>
      <c r="C265" t="s">
        <v>42</v>
      </c>
      <c r="D265" s="1">
        <v>41886</v>
      </c>
      <c r="E265">
        <v>30</v>
      </c>
      <c r="F265" t="s">
        <v>314</v>
      </c>
      <c r="G265" s="4">
        <v>-3111.9879999999998</v>
      </c>
      <c r="H265" s="4">
        <v>-3009.8780000000002</v>
      </c>
      <c r="I265" s="4">
        <v>253.38900000000001</v>
      </c>
      <c r="J265" s="4">
        <v>-2831.98</v>
      </c>
      <c r="K265" s="4">
        <v>197.441</v>
      </c>
      <c r="L265" s="4">
        <v>124.983</v>
      </c>
      <c r="M265" s="4">
        <v>2820.723</v>
      </c>
      <c r="N265" s="4">
        <v>-2623.2820000000002</v>
      </c>
      <c r="O265" s="4">
        <v>-3042.1030000000001</v>
      </c>
      <c r="P265" s="4">
        <v>806.05399999999997</v>
      </c>
      <c r="Q265" s="4">
        <v>628.351</v>
      </c>
      <c r="R265" s="4">
        <v>32.225999999999999</v>
      </c>
      <c r="S265" s="4">
        <v>4240.2520000000004</v>
      </c>
      <c r="T265" s="4">
        <v>3449.0740000000001</v>
      </c>
      <c r="U265" s="4">
        <v>1012.829</v>
      </c>
      <c r="V265" s="4">
        <v>4938.5259999999998</v>
      </c>
      <c r="W265" s="4">
        <v>3897.8029999999999</v>
      </c>
      <c r="X265" s="4">
        <v>3208.172</v>
      </c>
      <c r="Y265">
        <v>-2.7961087212155298</v>
      </c>
      <c r="Z265">
        <v>3264.3325</v>
      </c>
      <c r="AA265" t="s">
        <v>32</v>
      </c>
      <c r="AB265">
        <v>3</v>
      </c>
      <c r="AC265" t="s">
        <v>33</v>
      </c>
      <c r="AD265" s="5">
        <f t="shared" si="40"/>
        <v>-1.0458082235054034</v>
      </c>
      <c r="AE265" s="5">
        <f t="shared" si="41"/>
        <v>-11.878487227148771</v>
      </c>
      <c r="AF265" s="5">
        <f t="shared" si="42"/>
        <v>8.3820090343418897E-3</v>
      </c>
      <c r="AG265" s="5">
        <f t="shared" si="43"/>
        <v>-2.5900541947357354</v>
      </c>
      <c r="AH265" s="5">
        <f t="shared" si="44"/>
        <v>0.29365244120595846</v>
      </c>
      <c r="AI265" s="5">
        <f t="shared" si="45"/>
        <v>-3.5133874405436858</v>
      </c>
      <c r="AJ265" s="5">
        <f t="shared" si="46"/>
        <v>6.9996593072059896E-2</v>
      </c>
      <c r="AK265" s="5">
        <f t="shared" si="47"/>
        <v>-2.7961087212155262</v>
      </c>
      <c r="AL265" s="5">
        <f t="shared" si="48"/>
        <v>5.7244640155589589E-2</v>
      </c>
      <c r="AM265" s="10">
        <f t="shared" si="49"/>
        <v>-9.6592360257113041E-2</v>
      </c>
    </row>
    <row r="266" spans="1:39" x14ac:dyDescent="0.3">
      <c r="A266">
        <v>238</v>
      </c>
      <c r="B266" t="s">
        <v>325</v>
      </c>
      <c r="C266" t="s">
        <v>45</v>
      </c>
      <c r="D266" s="1">
        <v>41339</v>
      </c>
      <c r="E266">
        <v>25</v>
      </c>
      <c r="F266" t="s">
        <v>326</v>
      </c>
      <c r="G266" s="4">
        <v>-2015.318</v>
      </c>
      <c r="H266" s="4">
        <v>-840.46199999999999</v>
      </c>
      <c r="I266" s="4">
        <v>224.071</v>
      </c>
      <c r="J266" s="4">
        <v>-1965.318</v>
      </c>
      <c r="K266" s="4">
        <v>770.61599999999999</v>
      </c>
      <c r="L266" s="4">
        <v>7.5</v>
      </c>
      <c r="M266" s="4">
        <v>2792.57</v>
      </c>
      <c r="N266" s="4">
        <v>-2021.954</v>
      </c>
      <c r="O266" s="4">
        <v>-853.84699999999998</v>
      </c>
      <c r="P266" s="4">
        <v>50.859000000000002</v>
      </c>
      <c r="Q266" s="4">
        <v>0</v>
      </c>
      <c r="R266" s="4">
        <v>13.385</v>
      </c>
      <c r="S266" s="4">
        <v>2304.5949999999998</v>
      </c>
      <c r="T266" s="4">
        <v>2792.57</v>
      </c>
      <c r="U266" s="4">
        <v>863.00400000000002</v>
      </c>
      <c r="V266" s="4">
        <v>1824.9970000000001</v>
      </c>
      <c r="W266" s="4">
        <v>4734.2860000000001</v>
      </c>
      <c r="X266" s="4">
        <v>4128.0429999999997</v>
      </c>
      <c r="Y266">
        <v>-2.2772988305963802</v>
      </c>
      <c r="Z266">
        <v>2887.5825</v>
      </c>
      <c r="AA266" t="s">
        <v>32</v>
      </c>
      <c r="AB266">
        <v>3</v>
      </c>
      <c r="AC266" t="s">
        <v>33</v>
      </c>
      <c r="AD266" s="5">
        <f t="shared" si="40"/>
        <v>-1.4994920016770825</v>
      </c>
      <c r="AE266" s="5">
        <f t="shared" si="41"/>
        <v>-3.7508736070263442</v>
      </c>
      <c r="AF266" s="5">
        <f t="shared" si="42"/>
        <v>5.2519390680898104E-3</v>
      </c>
      <c r="AG266" s="5">
        <f t="shared" si="43"/>
        <v>-2.3429254093839655</v>
      </c>
      <c r="AH266" s="5">
        <f t="shared" si="44"/>
        <v>0.30903576275617084</v>
      </c>
      <c r="AI266" s="5">
        <f t="shared" si="45"/>
        <v>-38.642482156550464</v>
      </c>
      <c r="AJ266" s="5">
        <f t="shared" si="46"/>
        <v>0.27595225903021231</v>
      </c>
      <c r="AK266" s="5">
        <f t="shared" si="47"/>
        <v>-2.2772988305963819</v>
      </c>
      <c r="AL266" s="5">
        <f t="shared" si="48"/>
        <v>0.27595225903021231</v>
      </c>
      <c r="AM266" s="10">
        <f t="shared" si="49"/>
        <v>-0.11081903940445727</v>
      </c>
    </row>
    <row r="267" spans="1:39" x14ac:dyDescent="0.3">
      <c r="A267">
        <v>259</v>
      </c>
      <c r="B267" t="s">
        <v>345</v>
      </c>
      <c r="C267" t="s">
        <v>58</v>
      </c>
      <c r="D267" s="1">
        <v>38796</v>
      </c>
      <c r="E267">
        <v>17</v>
      </c>
      <c r="F267" t="s">
        <v>346</v>
      </c>
      <c r="G267" s="4">
        <v>-4132.6149999999998</v>
      </c>
      <c r="H267" s="4">
        <v>-3784.491</v>
      </c>
      <c r="I267" s="4">
        <v>1007.83</v>
      </c>
      <c r="J267" s="4">
        <v>-3907.8330000000001</v>
      </c>
      <c r="K267" s="4">
        <v>467.39699999999999</v>
      </c>
      <c r="L267" s="4">
        <v>0</v>
      </c>
      <c r="M267" s="4">
        <v>4059.51</v>
      </c>
      <c r="N267" s="4">
        <v>-3592.1129999999998</v>
      </c>
      <c r="O267" s="4">
        <v>-3896.3850000000002</v>
      </c>
      <c r="P267" s="4">
        <v>241.733</v>
      </c>
      <c r="Q267" s="4">
        <v>475.25700000000001</v>
      </c>
      <c r="R267" s="4">
        <v>111.89400000000001</v>
      </c>
      <c r="S267" s="4">
        <v>3475.7130000000002</v>
      </c>
      <c r="T267" s="4">
        <v>4534.7669999999998</v>
      </c>
      <c r="U267" s="4">
        <v>709.13</v>
      </c>
      <c r="V267" s="4">
        <v>3949.7249999999999</v>
      </c>
      <c r="W267" s="4">
        <v>4028.8530000000001</v>
      </c>
      <c r="X267" s="4">
        <v>3648.7809999999999</v>
      </c>
      <c r="Y267">
        <v>-5.5107427411053003</v>
      </c>
      <c r="Z267">
        <v>3084.1222499999999</v>
      </c>
      <c r="AA267" t="s">
        <v>32</v>
      </c>
      <c r="AB267">
        <v>3</v>
      </c>
      <c r="AC267" t="s">
        <v>33</v>
      </c>
      <c r="AD267" s="5">
        <f t="shared" si="40"/>
        <v>-1.7740904149195458</v>
      </c>
      <c r="AE267" s="5">
        <f t="shared" si="41"/>
        <v>-3.755088655824891</v>
      </c>
      <c r="AF267" s="5">
        <f t="shared" si="42"/>
        <v>2.7936902657518654E-2</v>
      </c>
      <c r="AG267" s="5">
        <f t="shared" si="43"/>
        <v>-5.0655211315273645</v>
      </c>
      <c r="AH267" s="5">
        <f t="shared" si="44"/>
        <v>0.15637628129515807</v>
      </c>
      <c r="AI267" s="5">
        <f t="shared" si="45"/>
        <v>-16.165906185750394</v>
      </c>
      <c r="AJ267" s="5">
        <f t="shared" si="46"/>
        <v>0.11513630955460141</v>
      </c>
      <c r="AK267" s="5">
        <f t="shared" si="47"/>
        <v>-5.5107427411052985</v>
      </c>
      <c r="AL267" s="5">
        <f t="shared" si="48"/>
        <v>0.10306968362431852</v>
      </c>
      <c r="AM267" s="10">
        <f t="shared" si="49"/>
        <v>-0.28056745430892627</v>
      </c>
    </row>
    <row r="268" spans="1:39" x14ac:dyDescent="0.3">
      <c r="A268">
        <v>133</v>
      </c>
      <c r="B268" t="s">
        <v>220</v>
      </c>
      <c r="C268" t="s">
        <v>58</v>
      </c>
      <c r="D268" s="1">
        <v>42580</v>
      </c>
      <c r="E268">
        <v>18</v>
      </c>
      <c r="F268" t="s">
        <v>221</v>
      </c>
      <c r="G268" s="4">
        <v>-1.1399999999999999</v>
      </c>
      <c r="H268" s="4">
        <v>86.228999999999999</v>
      </c>
      <c r="I268" s="4">
        <v>948.31200000000001</v>
      </c>
      <c r="J268" s="4">
        <v>9.3049999999999997</v>
      </c>
      <c r="K268" s="4">
        <v>2302.1759999999999</v>
      </c>
      <c r="L268" s="4">
        <v>1506.2429999999999</v>
      </c>
      <c r="M268" s="4">
        <v>2358.9690000000001</v>
      </c>
      <c r="N268" s="4">
        <v>-56.792999999999999</v>
      </c>
      <c r="O268" s="4">
        <v>81.575999999999993</v>
      </c>
      <c r="P268" s="4">
        <v>144.59</v>
      </c>
      <c r="Q268" s="4">
        <v>51.356000000000002</v>
      </c>
      <c r="R268" s="4">
        <v>0.32200000000000001</v>
      </c>
      <c r="S268" s="4">
        <v>1537.5540000000001</v>
      </c>
      <c r="T268" s="4">
        <v>2410.3249999999998</v>
      </c>
      <c r="U268" s="4">
        <v>2446.7669999999998</v>
      </c>
      <c r="V268" s="4">
        <v>1611.385</v>
      </c>
      <c r="W268" s="4">
        <v>1188.3699999999999</v>
      </c>
      <c r="X268" s="4">
        <v>865.34199999999998</v>
      </c>
      <c r="Y268">
        <v>3.8029775618193301E-3</v>
      </c>
      <c r="Z268">
        <v>1527.9659999999999</v>
      </c>
      <c r="AA268" t="s">
        <v>32</v>
      </c>
      <c r="AB268">
        <v>2</v>
      </c>
      <c r="AC268" t="s">
        <v>33</v>
      </c>
      <c r="AD268" s="5">
        <f t="shared" si="40"/>
        <v>-5.618320851461453E-4</v>
      </c>
      <c r="AE268" s="5">
        <f t="shared" si="41"/>
        <v>9.0928934780958162E-2</v>
      </c>
      <c r="AF268" s="5">
        <f t="shared" si="42"/>
        <v>1.6312556691833768E-4</v>
      </c>
      <c r="AG268" s="5">
        <f t="shared" si="43"/>
        <v>-2.3211445961139741E-2</v>
      </c>
      <c r="AH268" s="5">
        <f t="shared" si="44"/>
        <v>1.0151191229398524</v>
      </c>
      <c r="AI268" s="5">
        <f t="shared" si="45"/>
        <v>6.4354381354173873E-2</v>
      </c>
      <c r="AJ268" s="5">
        <f t="shared" si="46"/>
        <v>0.97592465182882859</v>
      </c>
      <c r="AK268" s="5">
        <f t="shared" si="47"/>
        <v>3.8029775618193314E-3</v>
      </c>
      <c r="AL268" s="5">
        <f t="shared" si="48"/>
        <v>0.95513094707145307</v>
      </c>
      <c r="AM268" s="10">
        <f t="shared" si="49"/>
        <v>-16.697691616924622</v>
      </c>
    </row>
    <row r="269" spans="1:39" x14ac:dyDescent="0.3">
      <c r="A269">
        <v>135</v>
      </c>
      <c r="B269" t="s">
        <v>222</v>
      </c>
      <c r="C269" t="s">
        <v>58</v>
      </c>
      <c r="D269" s="1">
        <v>33262</v>
      </c>
      <c r="E269">
        <v>32</v>
      </c>
      <c r="F269" t="s">
        <v>223</v>
      </c>
      <c r="G269" s="4">
        <v>696.197</v>
      </c>
      <c r="H269" s="4">
        <v>696.197</v>
      </c>
      <c r="I269" s="4">
        <v>2567.143</v>
      </c>
      <c r="J269" s="4">
        <v>1696.1969999999999</v>
      </c>
      <c r="K269" s="4">
        <v>2423.4009999999998</v>
      </c>
      <c r="L269" s="4">
        <v>0</v>
      </c>
      <c r="M269" s="4">
        <v>727.20399999999995</v>
      </c>
      <c r="N269" s="4">
        <v>1696.1969999999999</v>
      </c>
      <c r="O269" s="4">
        <v>696.197</v>
      </c>
      <c r="P269" s="4">
        <v>0</v>
      </c>
      <c r="Q269" s="4">
        <v>0</v>
      </c>
      <c r="R269" s="4">
        <v>0</v>
      </c>
      <c r="S269" s="4">
        <v>1251.5930000000001</v>
      </c>
      <c r="T269" s="4">
        <v>727.20399999999995</v>
      </c>
      <c r="U269" s="4">
        <v>2423.4009999999998</v>
      </c>
      <c r="V269" s="4">
        <v>1373.6179999999999</v>
      </c>
      <c r="W269" s="4">
        <v>1815.2639999999999</v>
      </c>
      <c r="X269" s="4">
        <v>620.51599999999996</v>
      </c>
      <c r="Y269">
        <v>0.69992419743987899</v>
      </c>
      <c r="Z269">
        <v>1558.19975</v>
      </c>
      <c r="AA269" t="s">
        <v>32</v>
      </c>
      <c r="AB269">
        <v>2</v>
      </c>
      <c r="AC269" t="s">
        <v>33</v>
      </c>
      <c r="AD269" s="5">
        <f t="shared" si="40"/>
        <v>0.36670714578989466</v>
      </c>
      <c r="AE269" s="5">
        <f t="shared" si="41"/>
        <v>0.27119525480271256</v>
      </c>
      <c r="AF269" s="5">
        <f t="shared" si="42"/>
        <v>0</v>
      </c>
      <c r="AG269" s="5">
        <f t="shared" si="43"/>
        <v>0.69992419743987888</v>
      </c>
      <c r="AH269" s="5">
        <f t="shared" si="44"/>
        <v>3.3324912954274177</v>
      </c>
      <c r="AI269" s="5" t="e">
        <f t="shared" si="45"/>
        <v>#DIV/0!</v>
      </c>
      <c r="AJ269" s="5">
        <f t="shared" si="46"/>
        <v>3.3324912954274177</v>
      </c>
      <c r="AK269" s="5">
        <f t="shared" si="47"/>
        <v>0.69992419743987888</v>
      </c>
      <c r="AL269" s="5">
        <f t="shared" si="48"/>
        <v>3.3324912954274177</v>
      </c>
      <c r="AM269" s="10">
        <f t="shared" si="49"/>
        <v>1.5134698387038772</v>
      </c>
    </row>
    <row r="270" spans="1:39" x14ac:dyDescent="0.3">
      <c r="A270">
        <v>172</v>
      </c>
      <c r="B270" t="s">
        <v>249</v>
      </c>
      <c r="C270" t="s">
        <v>58</v>
      </c>
      <c r="D270" s="1">
        <v>28901</v>
      </c>
      <c r="E270">
        <v>0</v>
      </c>
      <c r="F270" t="s">
        <v>250</v>
      </c>
      <c r="G270" s="4">
        <v>21.585999999999999</v>
      </c>
      <c r="H270" s="4">
        <v>41.429000000000002</v>
      </c>
      <c r="I270" s="4">
        <v>18</v>
      </c>
      <c r="J270" s="4">
        <v>306.70400000000001</v>
      </c>
      <c r="K270" s="4">
        <v>1662.0540000000001</v>
      </c>
      <c r="L270" s="4">
        <v>1403</v>
      </c>
      <c r="M270" s="4">
        <v>1204.886</v>
      </c>
      <c r="N270" s="4">
        <v>457.16800000000001</v>
      </c>
      <c r="O270" s="4">
        <v>21.585999999999999</v>
      </c>
      <c r="P270" s="4">
        <v>0</v>
      </c>
      <c r="Q270" s="4">
        <v>138.00800000000001</v>
      </c>
      <c r="R270" s="4">
        <v>0.123</v>
      </c>
      <c r="S270" s="4">
        <v>1325.8009999999999</v>
      </c>
      <c r="T270" s="4">
        <v>1342.894</v>
      </c>
      <c r="U270" s="4">
        <v>1669.319</v>
      </c>
      <c r="V270" s="4">
        <v>1702.672</v>
      </c>
      <c r="W270" s="4">
        <v>2702.8910000000001</v>
      </c>
      <c r="X270" s="4">
        <v>2277.7939999999999</v>
      </c>
      <c r="Y270">
        <v>0.18373001205881001</v>
      </c>
      <c r="Z270">
        <v>2088.1689999999999</v>
      </c>
      <c r="AA270" t="s">
        <v>32</v>
      </c>
      <c r="AB270">
        <v>2</v>
      </c>
      <c r="AC270" t="s">
        <v>33</v>
      </c>
      <c r="AD270" s="5">
        <f t="shared" si="40"/>
        <v>1.2803118395037234E-2</v>
      </c>
      <c r="AE270" s="5">
        <f t="shared" si="41"/>
        <v>2.3016111111111113</v>
      </c>
      <c r="AF270" s="5">
        <f t="shared" si="42"/>
        <v>9.2179885674458875E-5</v>
      </c>
      <c r="AG270" s="5">
        <f t="shared" si="43"/>
        <v>0.27386497128469756</v>
      </c>
      <c r="AH270" s="5">
        <f t="shared" si="44"/>
        <v>1.2430757751542563</v>
      </c>
      <c r="AI270" s="5" t="e">
        <f t="shared" si="45"/>
        <v>#DIV/0!</v>
      </c>
      <c r="AJ270" s="5">
        <f t="shared" si="46"/>
        <v>1.3794284272536987</v>
      </c>
      <c r="AK270" s="5">
        <f t="shared" si="47"/>
        <v>0.18373001205880962</v>
      </c>
      <c r="AL270" s="5">
        <f t="shared" si="48"/>
        <v>1.2376658172573562</v>
      </c>
      <c r="AM270" s="10">
        <f t="shared" si="49"/>
        <v>3.9372834494102824E-2</v>
      </c>
    </row>
    <row r="271" spans="1:39" x14ac:dyDescent="0.3">
      <c r="A271">
        <v>189</v>
      </c>
      <c r="B271" t="s">
        <v>269</v>
      </c>
      <c r="C271" t="s">
        <v>58</v>
      </c>
      <c r="D271" s="1">
        <v>32624</v>
      </c>
      <c r="E271">
        <v>0</v>
      </c>
      <c r="F271" t="s">
        <v>270</v>
      </c>
      <c r="G271" s="4">
        <v>0.98699999999999999</v>
      </c>
      <c r="H271" s="4">
        <v>2.3570000000000002</v>
      </c>
      <c r="I271" s="4">
        <v>23</v>
      </c>
      <c r="J271" s="4">
        <v>-37.546999999999997</v>
      </c>
      <c r="K271" s="4">
        <v>857.09400000000005</v>
      </c>
      <c r="L271" s="4">
        <v>0</v>
      </c>
      <c r="M271" s="4">
        <v>1382.5170000000001</v>
      </c>
      <c r="N271" s="4">
        <v>-525.423</v>
      </c>
      <c r="O271" s="4">
        <v>0.98699999999999999</v>
      </c>
      <c r="P271" s="4">
        <v>393.75</v>
      </c>
      <c r="Q271" s="4">
        <v>49.938000000000002</v>
      </c>
      <c r="R271" s="4">
        <v>0</v>
      </c>
      <c r="S271" s="4">
        <v>1413.7349999999999</v>
      </c>
      <c r="T271" s="4">
        <v>1432.4549999999999</v>
      </c>
      <c r="U271" s="4">
        <v>1394.9079999999999</v>
      </c>
      <c r="V271" s="4">
        <v>1375.2</v>
      </c>
      <c r="W271" s="4">
        <v>1249.5889999999999</v>
      </c>
      <c r="X271" s="4">
        <v>1153.154</v>
      </c>
      <c r="Y271">
        <v>-2.69171873700631E-2</v>
      </c>
      <c r="Z271">
        <v>1293.2127499999999</v>
      </c>
      <c r="AA271" t="s">
        <v>32</v>
      </c>
      <c r="AB271">
        <v>2</v>
      </c>
      <c r="AC271" t="s">
        <v>33</v>
      </c>
      <c r="AD271" s="5">
        <f t="shared" si="40"/>
        <v>7.1260759508293538E-4</v>
      </c>
      <c r="AE271" s="5">
        <f t="shared" si="41"/>
        <v>0.10247826086956523</v>
      </c>
      <c r="AF271" s="5">
        <f t="shared" si="42"/>
        <v>0</v>
      </c>
      <c r="AG271" s="5">
        <f t="shared" si="43"/>
        <v>-0.37667215328896247</v>
      </c>
      <c r="AH271" s="5">
        <f t="shared" si="44"/>
        <v>0.97378835635325367</v>
      </c>
      <c r="AI271" s="5">
        <f t="shared" si="45"/>
        <v>-9.5357460317460313E-2</v>
      </c>
      <c r="AJ271" s="5">
        <f t="shared" si="46"/>
        <v>0.61995187039291377</v>
      </c>
      <c r="AK271" s="5">
        <f t="shared" si="47"/>
        <v>-2.6917187370063114E-2</v>
      </c>
      <c r="AL271" s="5">
        <f t="shared" si="48"/>
        <v>0.59833921484444541</v>
      </c>
      <c r="AM271" s="10">
        <f t="shared" si="49"/>
        <v>-4.3774254267513982E-2</v>
      </c>
    </row>
    <row r="272" spans="1:39" x14ac:dyDescent="0.3">
      <c r="A272">
        <v>203</v>
      </c>
      <c r="B272" t="s">
        <v>279</v>
      </c>
      <c r="C272" t="s">
        <v>42</v>
      </c>
      <c r="D272" s="1">
        <v>40644</v>
      </c>
      <c r="E272">
        <v>17</v>
      </c>
      <c r="F272" t="s">
        <v>280</v>
      </c>
      <c r="G272" s="4">
        <v>11.965999999999999</v>
      </c>
      <c r="H272" s="4">
        <v>77.093999999999994</v>
      </c>
      <c r="I272" s="4">
        <v>2200.9780000000001</v>
      </c>
      <c r="J272" s="4">
        <v>189.114</v>
      </c>
      <c r="K272" s="4">
        <v>998.02700000000004</v>
      </c>
      <c r="L272" s="4">
        <v>40</v>
      </c>
      <c r="M272" s="4">
        <v>886.51599999999996</v>
      </c>
      <c r="N272" s="4">
        <v>111.511</v>
      </c>
      <c r="O272" s="4">
        <v>11.965999999999999</v>
      </c>
      <c r="P272" s="4">
        <v>245.92099999999999</v>
      </c>
      <c r="Q272" s="4">
        <v>148.429</v>
      </c>
      <c r="R272" s="4">
        <v>28.408000000000001</v>
      </c>
      <c r="S272" s="4">
        <v>1283.615</v>
      </c>
      <c r="T272" s="4">
        <v>1034.9449999999999</v>
      </c>
      <c r="U272" s="4">
        <v>1249.1679999999999</v>
      </c>
      <c r="V272" s="4">
        <v>1465.2840000000001</v>
      </c>
      <c r="W272" s="4">
        <v>1390.252</v>
      </c>
      <c r="X272" s="4">
        <v>789.10599999999999</v>
      </c>
      <c r="Y272">
        <v>0.15139196649289799</v>
      </c>
      <c r="Z272">
        <v>1223.4525000000001</v>
      </c>
      <c r="AA272" t="s">
        <v>32</v>
      </c>
      <c r="AB272">
        <v>2</v>
      </c>
      <c r="AC272" t="s">
        <v>33</v>
      </c>
      <c r="AD272" s="5">
        <f t="shared" si="40"/>
        <v>8.816512504181322E-3</v>
      </c>
      <c r="AE272" s="5">
        <f t="shared" si="41"/>
        <v>3.502715610969305E-2</v>
      </c>
      <c r="AF272" s="5">
        <f t="shared" si="42"/>
        <v>2.4504865088675731E-2</v>
      </c>
      <c r="AG272" s="5">
        <f t="shared" si="43"/>
        <v>8.9268216925185412E-2</v>
      </c>
      <c r="AH272" s="5">
        <f t="shared" si="44"/>
        <v>1.2069897434163168</v>
      </c>
      <c r="AI272" s="5">
        <f t="shared" si="45"/>
        <v>0.7690030538262288</v>
      </c>
      <c r="AJ272" s="5">
        <f t="shared" si="46"/>
        <v>1.1257856598188867</v>
      </c>
      <c r="AK272" s="5">
        <f t="shared" si="47"/>
        <v>0.15139196649289768</v>
      </c>
      <c r="AL272" s="5">
        <f t="shared" si="48"/>
        <v>0.9643285391977352</v>
      </c>
      <c r="AM272" s="10">
        <f t="shared" si="49"/>
        <v>19.737765780954348</v>
      </c>
    </row>
    <row r="273" spans="1:39" x14ac:dyDescent="0.3">
      <c r="A273">
        <v>207</v>
      </c>
      <c r="B273" t="s">
        <v>285</v>
      </c>
      <c r="C273" t="s">
        <v>101</v>
      </c>
      <c r="D273" s="1">
        <v>40576</v>
      </c>
      <c r="E273">
        <v>5</v>
      </c>
      <c r="F273" t="s">
        <v>286</v>
      </c>
      <c r="G273" s="4">
        <v>-264.70499999999998</v>
      </c>
      <c r="H273" s="4">
        <v>-334.238</v>
      </c>
      <c r="I273" s="4">
        <v>1269.0440000000001</v>
      </c>
      <c r="J273" s="4">
        <v>-121.08</v>
      </c>
      <c r="K273" s="4">
        <v>1130.5</v>
      </c>
      <c r="L273" s="4">
        <v>548.5</v>
      </c>
      <c r="M273" s="4">
        <v>1025.73</v>
      </c>
      <c r="N273" s="4">
        <v>104.77</v>
      </c>
      <c r="O273" s="4">
        <v>-261.34399999999999</v>
      </c>
      <c r="P273" s="4">
        <v>33.548999999999999</v>
      </c>
      <c r="Q273" s="4">
        <v>202.48400000000001</v>
      </c>
      <c r="R273" s="4">
        <v>7.6289999999999996</v>
      </c>
      <c r="S273" s="4">
        <v>897.68399999999997</v>
      </c>
      <c r="T273" s="4">
        <v>1228.2139999999999</v>
      </c>
      <c r="U273" s="4">
        <v>1167.405</v>
      </c>
      <c r="V273" s="4">
        <v>1091.4760000000001</v>
      </c>
      <c r="W273" s="4">
        <v>859.99199999999996</v>
      </c>
      <c r="X273" s="4">
        <v>1729.383</v>
      </c>
      <c r="Y273">
        <v>-0.103717218960001</v>
      </c>
      <c r="Z273">
        <v>1212.0640000000001</v>
      </c>
      <c r="AA273" t="s">
        <v>32</v>
      </c>
      <c r="AB273">
        <v>2</v>
      </c>
      <c r="AC273" t="s">
        <v>33</v>
      </c>
      <c r="AD273" s="5">
        <f t="shared" si="40"/>
        <v>-0.23436825578682538</v>
      </c>
      <c r="AE273" s="5">
        <f t="shared" si="41"/>
        <v>-0.26337778674340684</v>
      </c>
      <c r="AF273" s="5">
        <f t="shared" si="42"/>
        <v>7.177202292866355E-3</v>
      </c>
      <c r="AG273" s="5">
        <f t="shared" si="43"/>
        <v>8.9746060707295239E-2</v>
      </c>
      <c r="AH273" s="5">
        <f t="shared" si="44"/>
        <v>0.9504898983401916</v>
      </c>
      <c r="AI273" s="5">
        <f t="shared" si="45"/>
        <v>-3.6090494500581238</v>
      </c>
      <c r="AJ273" s="5">
        <f t="shared" si="46"/>
        <v>1.1021418891911126</v>
      </c>
      <c r="AK273" s="5">
        <f t="shared" si="47"/>
        <v>-0.10371721896000102</v>
      </c>
      <c r="AL273" s="5">
        <f t="shared" si="48"/>
        <v>0.92044220306884639</v>
      </c>
      <c r="AM273" s="10">
        <f t="shared" si="49"/>
        <v>12.112665839457861</v>
      </c>
    </row>
    <row r="274" spans="1:39" x14ac:dyDescent="0.3">
      <c r="A274">
        <v>212</v>
      </c>
      <c r="B274" t="s">
        <v>291</v>
      </c>
      <c r="C274" t="s">
        <v>101</v>
      </c>
      <c r="D274" s="1">
        <v>42159</v>
      </c>
      <c r="E274">
        <v>2</v>
      </c>
      <c r="F274" t="s">
        <v>292</v>
      </c>
      <c r="G274" s="4">
        <v>-95.537000000000006</v>
      </c>
      <c r="H274" s="4">
        <v>-82.382000000000005</v>
      </c>
      <c r="I274" s="4">
        <v>442.05200000000002</v>
      </c>
      <c r="J274" s="4">
        <v>-81.623999999999995</v>
      </c>
      <c r="K274" s="4">
        <v>1135.4179999999999</v>
      </c>
      <c r="L274" s="4">
        <v>945.53200000000004</v>
      </c>
      <c r="M274" s="4">
        <v>1137.9559999999999</v>
      </c>
      <c r="N274" s="4">
        <v>-2.5379999999999998</v>
      </c>
      <c r="O274" s="4">
        <v>-84.634</v>
      </c>
      <c r="P274" s="4">
        <v>5.806</v>
      </c>
      <c r="Q274" s="4">
        <v>54.898000000000003</v>
      </c>
      <c r="R274" s="4">
        <v>2.1339999999999999</v>
      </c>
      <c r="S274" s="4">
        <v>1030.328</v>
      </c>
      <c r="T274" s="4">
        <v>1192.854</v>
      </c>
      <c r="U274" s="4">
        <v>1142.096</v>
      </c>
      <c r="V274" s="4">
        <v>1067.05</v>
      </c>
      <c r="W274" s="4">
        <v>997.59500000000003</v>
      </c>
      <c r="X274" s="4">
        <v>431.91</v>
      </c>
      <c r="Y274">
        <v>-7.1468598086325497E-2</v>
      </c>
      <c r="Z274">
        <v>909.66274999999996</v>
      </c>
      <c r="AA274" t="s">
        <v>32</v>
      </c>
      <c r="AB274">
        <v>2</v>
      </c>
      <c r="AC274" t="s">
        <v>33</v>
      </c>
      <c r="AD274" s="5">
        <f t="shared" si="40"/>
        <v>-8.6492246325050509E-2</v>
      </c>
      <c r="AE274" s="5">
        <f t="shared" si="41"/>
        <v>-0.18636269036221983</v>
      </c>
      <c r="AF274" s="5">
        <f t="shared" si="42"/>
        <v>1.9197708509694664E-3</v>
      </c>
      <c r="AG274" s="5">
        <f t="shared" si="43"/>
        <v>-2.2222300051834521E-3</v>
      </c>
      <c r="AH274" s="5">
        <f t="shared" si="44"/>
        <v>0.95744827112119335</v>
      </c>
      <c r="AI274" s="5">
        <f t="shared" si="45"/>
        <v>-14.058560110230795</v>
      </c>
      <c r="AJ274" s="5">
        <f t="shared" si="46"/>
        <v>0.99776968529538923</v>
      </c>
      <c r="AK274" s="5">
        <f t="shared" si="47"/>
        <v>-7.1468598086325483E-2</v>
      </c>
      <c r="AL274" s="5">
        <f t="shared" si="48"/>
        <v>0.95184993301778742</v>
      </c>
      <c r="AM274" s="10">
        <f t="shared" si="49"/>
        <v>-174.17336485421595</v>
      </c>
    </row>
    <row r="275" spans="1:39" x14ac:dyDescent="0.3">
      <c r="A275">
        <v>213</v>
      </c>
      <c r="B275" t="s">
        <v>293</v>
      </c>
      <c r="C275" t="s">
        <v>101</v>
      </c>
      <c r="D275" s="1">
        <v>29781</v>
      </c>
      <c r="E275">
        <v>6</v>
      </c>
      <c r="F275" t="s">
        <v>294</v>
      </c>
      <c r="G275" s="4">
        <v>-1213.864</v>
      </c>
      <c r="H275" s="4">
        <v>-1021.662</v>
      </c>
      <c r="I275" s="4">
        <v>289.67899999999997</v>
      </c>
      <c r="J275" s="4">
        <v>-1151.8340000000001</v>
      </c>
      <c r="K275" s="4">
        <v>1126.375</v>
      </c>
      <c r="L275" s="4">
        <v>0</v>
      </c>
      <c r="M275" s="4">
        <v>1330.7950000000001</v>
      </c>
      <c r="N275" s="4">
        <v>-204.42</v>
      </c>
      <c r="O275" s="4">
        <v>-1210.2809999999999</v>
      </c>
      <c r="P275" s="4">
        <v>11.202</v>
      </c>
      <c r="Q275" s="4">
        <v>610.24800000000005</v>
      </c>
      <c r="R275" s="4">
        <v>5.45</v>
      </c>
      <c r="S275" s="4">
        <v>1607.8009999999999</v>
      </c>
      <c r="T275" s="4">
        <v>1941.0429999999999</v>
      </c>
      <c r="U275" s="4">
        <v>1137.577</v>
      </c>
      <c r="V275" s="4">
        <v>1856.8869999999999</v>
      </c>
      <c r="W275" s="4">
        <v>1981.7529999999999</v>
      </c>
      <c r="X275" s="4">
        <v>1988.03</v>
      </c>
      <c r="Y275">
        <v>-1.0125327780009601</v>
      </c>
      <c r="Z275">
        <v>1741.0617500000001</v>
      </c>
      <c r="AA275" t="s">
        <v>32</v>
      </c>
      <c r="AB275">
        <v>2</v>
      </c>
      <c r="AC275" t="s">
        <v>33</v>
      </c>
      <c r="AD275" s="5">
        <f t="shared" si="40"/>
        <v>-0.81073874990649419</v>
      </c>
      <c r="AE275" s="5">
        <f t="shared" si="41"/>
        <v>-3.5268763010090485</v>
      </c>
      <c r="AF275" s="5">
        <f t="shared" si="42"/>
        <v>3.0714226942632587E-3</v>
      </c>
      <c r="AG275" s="5">
        <f t="shared" si="43"/>
        <v>-0.17969772595613306</v>
      </c>
      <c r="AH275" s="5">
        <f t="shared" si="44"/>
        <v>0.58606481154719403</v>
      </c>
      <c r="AI275" s="5">
        <f t="shared" si="45"/>
        <v>-102.82396000714159</v>
      </c>
      <c r="AJ275" s="5">
        <f t="shared" si="46"/>
        <v>0.84639256985486111</v>
      </c>
      <c r="AK275" s="5">
        <f t="shared" si="47"/>
        <v>-1.0125327780009616</v>
      </c>
      <c r="AL275" s="5">
        <f t="shared" si="48"/>
        <v>0.58029368746596555</v>
      </c>
      <c r="AM275" s="10">
        <f t="shared" si="49"/>
        <v>-1.4170775853634674</v>
      </c>
    </row>
    <row r="276" spans="1:39" x14ac:dyDescent="0.3">
      <c r="A276">
        <v>218</v>
      </c>
      <c r="B276" t="s">
        <v>301</v>
      </c>
      <c r="C276" t="s">
        <v>101</v>
      </c>
      <c r="D276" s="1">
        <v>38331</v>
      </c>
      <c r="E276">
        <v>0</v>
      </c>
      <c r="F276" t="s">
        <v>302</v>
      </c>
      <c r="G276" s="4">
        <v>-26.367000000000001</v>
      </c>
      <c r="H276" s="4">
        <v>-26.186</v>
      </c>
      <c r="I276" s="4">
        <v>73.471999999999994</v>
      </c>
      <c r="J276" s="4">
        <v>13.73</v>
      </c>
      <c r="K276" s="4">
        <v>1031.348</v>
      </c>
      <c r="L276" s="4">
        <v>1000</v>
      </c>
      <c r="M276" s="4">
        <v>523.274</v>
      </c>
      <c r="N276" s="4">
        <v>508.07400000000001</v>
      </c>
      <c r="O276" s="4">
        <v>-26.367000000000001</v>
      </c>
      <c r="P276" s="4">
        <v>50</v>
      </c>
      <c r="Q276" s="4">
        <v>544.34400000000005</v>
      </c>
      <c r="R276" s="4">
        <v>0.18099999999999999</v>
      </c>
      <c r="S276" s="4">
        <v>2041.405</v>
      </c>
      <c r="T276" s="4">
        <v>1067.6179999999999</v>
      </c>
      <c r="U276" s="4">
        <v>1081.348</v>
      </c>
      <c r="V276" s="4">
        <v>2081.5</v>
      </c>
      <c r="W276" s="4">
        <v>1488.278</v>
      </c>
      <c r="X276" s="4">
        <v>1500.5840000000001</v>
      </c>
      <c r="Y276">
        <v>1.2697115082286201E-2</v>
      </c>
      <c r="Z276">
        <v>1537.9275</v>
      </c>
      <c r="AA276" t="s">
        <v>32</v>
      </c>
      <c r="AB276">
        <v>2</v>
      </c>
      <c r="AC276" t="s">
        <v>33</v>
      </c>
      <c r="AD276" s="5">
        <f t="shared" si="40"/>
        <v>-1.6672947925414058E-2</v>
      </c>
      <c r="AE276" s="5">
        <f t="shared" si="41"/>
        <v>-0.35640788327526135</v>
      </c>
      <c r="AF276" s="5">
        <f t="shared" si="42"/>
        <v>1.1643529172991E-4</v>
      </c>
      <c r="AG276" s="5">
        <f t="shared" si="43"/>
        <v>0.46985244343171673</v>
      </c>
      <c r="AH276" s="5">
        <f t="shared" si="44"/>
        <v>1.012860405126178</v>
      </c>
      <c r="AI276" s="5">
        <f t="shared" si="45"/>
        <v>0.27460000000000001</v>
      </c>
      <c r="AJ276" s="5">
        <f t="shared" si="46"/>
        <v>1.9709521206862943</v>
      </c>
      <c r="AK276" s="5">
        <f t="shared" si="47"/>
        <v>1.2697115082286185E-2</v>
      </c>
      <c r="AL276" s="5">
        <f t="shared" si="48"/>
        <v>0.96602717451373055</v>
      </c>
      <c r="AM276" s="10">
        <f t="shared" si="49"/>
        <v>0.14460885619024</v>
      </c>
    </row>
    <row r="277" spans="1:39" x14ac:dyDescent="0.3">
      <c r="A277">
        <v>219</v>
      </c>
      <c r="B277" t="s">
        <v>303</v>
      </c>
      <c r="C277" t="s">
        <v>101</v>
      </c>
      <c r="D277" s="1">
        <v>39065</v>
      </c>
      <c r="E277">
        <v>4</v>
      </c>
      <c r="F277" t="s">
        <v>304</v>
      </c>
      <c r="G277" s="4">
        <v>5.8179999999999996</v>
      </c>
      <c r="H277" s="4">
        <v>36.149000000000001</v>
      </c>
      <c r="I277" s="4">
        <v>55.984999999999999</v>
      </c>
      <c r="J277" s="4">
        <v>366.529</v>
      </c>
      <c r="K277" s="4">
        <v>1048.895</v>
      </c>
      <c r="L277" s="4">
        <v>456.762</v>
      </c>
      <c r="M277" s="4">
        <v>673.61300000000006</v>
      </c>
      <c r="N277" s="4">
        <v>375.28199999999998</v>
      </c>
      <c r="O277" s="4">
        <v>30.61</v>
      </c>
      <c r="P277" s="4">
        <v>26.771999999999998</v>
      </c>
      <c r="Q277" s="4">
        <v>30.085999999999999</v>
      </c>
      <c r="R277" s="4">
        <v>1.347</v>
      </c>
      <c r="S277" s="4">
        <v>2019.509</v>
      </c>
      <c r="T277" s="4">
        <v>703.69899999999996</v>
      </c>
      <c r="U277" s="4">
        <v>1077.8989999999999</v>
      </c>
      <c r="V277" s="4">
        <v>2390.8290000000002</v>
      </c>
      <c r="W277" s="4">
        <v>2691.2849999999999</v>
      </c>
      <c r="X277" s="4">
        <v>1661.8620000000001</v>
      </c>
      <c r="Y277">
        <v>0.34004020784878702</v>
      </c>
      <c r="Z277">
        <v>1955.46875</v>
      </c>
      <c r="AA277" t="s">
        <v>32</v>
      </c>
      <c r="AB277">
        <v>2</v>
      </c>
      <c r="AC277" t="s">
        <v>33</v>
      </c>
      <c r="AD277" s="5">
        <f t="shared" si="40"/>
        <v>3.3545437981876928E-3</v>
      </c>
      <c r="AE277" s="5">
        <f t="shared" si="41"/>
        <v>0.64569081003840312</v>
      </c>
      <c r="AF277" s="5">
        <f t="shared" si="42"/>
        <v>9.892744145875011E-4</v>
      </c>
      <c r="AG277" s="5">
        <f t="shared" si="43"/>
        <v>0.34816063471623965</v>
      </c>
      <c r="AH277" s="5">
        <f t="shared" si="44"/>
        <v>1.5317614491423179</v>
      </c>
      <c r="AI277" s="5">
        <f t="shared" si="45"/>
        <v>13.690759001942329</v>
      </c>
      <c r="AJ277" s="5">
        <f t="shared" si="46"/>
        <v>1.5571181078749963</v>
      </c>
      <c r="AK277" s="5">
        <f t="shared" si="47"/>
        <v>0.34004020784878736</v>
      </c>
      <c r="AL277" s="5">
        <f t="shared" si="48"/>
        <v>1.4905449631163326</v>
      </c>
      <c r="AM277" s="10">
        <f t="shared" si="49"/>
        <v>0.14918114910920321</v>
      </c>
    </row>
    <row r="278" spans="1:39" x14ac:dyDescent="0.3">
      <c r="A278">
        <v>222</v>
      </c>
      <c r="B278" t="s">
        <v>307</v>
      </c>
      <c r="C278" t="s">
        <v>58</v>
      </c>
      <c r="D278" s="1">
        <v>41842</v>
      </c>
      <c r="E278">
        <v>3</v>
      </c>
      <c r="F278" t="s">
        <v>308</v>
      </c>
      <c r="G278" s="4">
        <v>-172.10300000000001</v>
      </c>
      <c r="H278" s="4">
        <v>-137.03100000000001</v>
      </c>
      <c r="I278" s="4">
        <v>136.804</v>
      </c>
      <c r="J278" s="4">
        <v>-132.797</v>
      </c>
      <c r="K278" s="4">
        <v>817.221</v>
      </c>
      <c r="L278" s="4">
        <v>14.852</v>
      </c>
      <c r="M278" s="4">
        <v>820.51900000000001</v>
      </c>
      <c r="N278" s="4">
        <v>-3.298</v>
      </c>
      <c r="O278" s="4">
        <v>-140.59299999999999</v>
      </c>
      <c r="P278" s="4">
        <v>138.19399999999999</v>
      </c>
      <c r="Q278" s="4">
        <v>210.71899999999999</v>
      </c>
      <c r="R278" s="4">
        <v>3.5619999999999998</v>
      </c>
      <c r="S278" s="4">
        <v>964.79300000000001</v>
      </c>
      <c r="T278" s="4">
        <v>1031.2380000000001</v>
      </c>
      <c r="U278" s="4">
        <v>1039.7339999999999</v>
      </c>
      <c r="V278" s="4">
        <v>1141.8389999999999</v>
      </c>
      <c r="W278" s="4">
        <v>1492.0229999999999</v>
      </c>
      <c r="X278" s="4">
        <v>1121.614</v>
      </c>
      <c r="Y278">
        <v>-0.12772209045775201</v>
      </c>
      <c r="Z278">
        <v>1198.8025</v>
      </c>
      <c r="AA278" t="s">
        <v>32</v>
      </c>
      <c r="AB278">
        <v>2</v>
      </c>
      <c r="AC278" t="s">
        <v>33</v>
      </c>
      <c r="AD278" s="5">
        <f t="shared" si="40"/>
        <v>-0.15777881372752597</v>
      </c>
      <c r="AE278" s="5">
        <f t="shared" si="41"/>
        <v>-1.0016593082073624</v>
      </c>
      <c r="AF278" s="5">
        <f t="shared" si="42"/>
        <v>3.5690828449057152E-3</v>
      </c>
      <c r="AG278" s="5">
        <f t="shared" si="43"/>
        <v>-3.1719651372370244E-3</v>
      </c>
      <c r="AH278" s="5">
        <f t="shared" si="44"/>
        <v>1.0082386413223716</v>
      </c>
      <c r="AI278" s="5">
        <f t="shared" si="45"/>
        <v>-0.96094620605815018</v>
      </c>
      <c r="AJ278" s="5">
        <f t="shared" si="46"/>
        <v>0.99598059277116069</v>
      </c>
      <c r="AK278" s="5">
        <f t="shared" si="47"/>
        <v>-0.12772209045775171</v>
      </c>
      <c r="AL278" s="5">
        <f t="shared" si="48"/>
        <v>0.79246594869467568</v>
      </c>
      <c r="AM278" s="10">
        <f t="shared" si="49"/>
        <v>-41.480897513644635</v>
      </c>
    </row>
    <row r="279" spans="1:39" x14ac:dyDescent="0.3">
      <c r="A279">
        <v>225</v>
      </c>
      <c r="B279" t="s">
        <v>309</v>
      </c>
      <c r="C279" t="s">
        <v>58</v>
      </c>
      <c r="D279" s="1">
        <v>37183</v>
      </c>
      <c r="E279">
        <v>0</v>
      </c>
      <c r="F279" t="s">
        <v>310</v>
      </c>
      <c r="G279" s="4">
        <v>-203.024</v>
      </c>
      <c r="H279" s="4">
        <v>-202.87299999999999</v>
      </c>
      <c r="I279" s="4">
        <v>2.5</v>
      </c>
      <c r="J279" s="4">
        <v>157.62</v>
      </c>
      <c r="K279" s="4">
        <v>260.48</v>
      </c>
      <c r="L279" s="4">
        <v>253.99100000000001</v>
      </c>
      <c r="M279" s="4">
        <v>82.1</v>
      </c>
      <c r="N279" s="4">
        <v>178.38</v>
      </c>
      <c r="O279" s="4">
        <v>-203.024</v>
      </c>
      <c r="P279" s="4">
        <v>761.5</v>
      </c>
      <c r="Q279" s="4">
        <v>782.26</v>
      </c>
      <c r="R279" s="4">
        <v>0.151</v>
      </c>
      <c r="S279" s="4">
        <v>1571.789</v>
      </c>
      <c r="T279" s="4">
        <v>864.36</v>
      </c>
      <c r="U279" s="4">
        <v>1021.98</v>
      </c>
      <c r="V279" s="4">
        <v>1932.433</v>
      </c>
      <c r="W279" s="4">
        <v>1916.145</v>
      </c>
      <c r="X279" s="4">
        <v>2023.4459999999999</v>
      </c>
      <c r="Y279">
        <v>0.15423002407092101</v>
      </c>
      <c r="Z279">
        <v>1723.501</v>
      </c>
      <c r="AA279" t="s">
        <v>32</v>
      </c>
      <c r="AB279">
        <v>2</v>
      </c>
      <c r="AC279" t="s">
        <v>33</v>
      </c>
      <c r="AD279" s="5">
        <f t="shared" si="40"/>
        <v>-0.13743779221117697</v>
      </c>
      <c r="AE279" s="5">
        <f t="shared" si="41"/>
        <v>-81.149199999999993</v>
      </c>
      <c r="AF279" s="5">
        <f t="shared" si="42"/>
        <v>1.2396614492791698E-4</v>
      </c>
      <c r="AG279" s="5">
        <f t="shared" si="43"/>
        <v>0.17454353314154875</v>
      </c>
      <c r="AH279" s="5">
        <f t="shared" si="44"/>
        <v>1.1823545744828543</v>
      </c>
      <c r="AI279" s="5">
        <f t="shared" si="45"/>
        <v>0.20698621142481943</v>
      </c>
      <c r="AJ279" s="5">
        <f t="shared" si="46"/>
        <v>3.1727161997563953</v>
      </c>
      <c r="AK279" s="5">
        <f t="shared" si="47"/>
        <v>0.15423002407092115</v>
      </c>
      <c r="AL279" s="5">
        <f t="shared" si="48"/>
        <v>0.30135591651626636</v>
      </c>
      <c r="AM279" s="10">
        <f t="shared" si="49"/>
        <v>1.4015024105841463E-2</v>
      </c>
    </row>
    <row r="280" spans="1:39" x14ac:dyDescent="0.3">
      <c r="A280">
        <v>229</v>
      </c>
      <c r="B280" t="s">
        <v>317</v>
      </c>
      <c r="C280" t="s">
        <v>45</v>
      </c>
      <c r="D280" s="1">
        <v>27667</v>
      </c>
      <c r="E280">
        <v>1</v>
      </c>
      <c r="F280" t="s">
        <v>318</v>
      </c>
      <c r="G280" s="4">
        <v>-65.072000000000003</v>
      </c>
      <c r="H280" s="4">
        <v>-45.637</v>
      </c>
      <c r="I280" s="4">
        <v>315.95299999999997</v>
      </c>
      <c r="J280" s="4">
        <v>-183.87700000000001</v>
      </c>
      <c r="K280" s="4">
        <v>771.79600000000005</v>
      </c>
      <c r="L280" s="4">
        <v>32.158999999999999</v>
      </c>
      <c r="M280" s="4">
        <v>976.55600000000004</v>
      </c>
      <c r="N280" s="4">
        <v>-204.76</v>
      </c>
      <c r="O280" s="4">
        <v>-48.603000000000002</v>
      </c>
      <c r="P280" s="4">
        <v>216.88900000000001</v>
      </c>
      <c r="Q280" s="4">
        <v>196.702</v>
      </c>
      <c r="R280" s="4">
        <v>2.9660000000000002</v>
      </c>
      <c r="S280" s="4">
        <v>1142.6310000000001</v>
      </c>
      <c r="T280" s="4">
        <v>1173.258</v>
      </c>
      <c r="U280" s="4">
        <v>989.43200000000002</v>
      </c>
      <c r="V280" s="4">
        <v>1139.296</v>
      </c>
      <c r="W280" s="4">
        <v>1795.5350000000001</v>
      </c>
      <c r="X280" s="4">
        <v>1986.452</v>
      </c>
      <c r="Y280">
        <v>-0.18584096734288</v>
      </c>
      <c r="Z280">
        <v>1477.67875</v>
      </c>
      <c r="AA280" t="s">
        <v>32</v>
      </c>
      <c r="AB280">
        <v>2</v>
      </c>
      <c r="AC280" t="s">
        <v>33</v>
      </c>
      <c r="AD280" s="5">
        <f t="shared" si="40"/>
        <v>-6.1136979454397181E-2</v>
      </c>
      <c r="AE280" s="5">
        <f t="shared" si="41"/>
        <v>-0.14444236959294579</v>
      </c>
      <c r="AF280" s="5">
        <f t="shared" si="42"/>
        <v>2.56143537103894E-3</v>
      </c>
      <c r="AG280" s="5">
        <f t="shared" si="43"/>
        <v>-0.2069470160657832</v>
      </c>
      <c r="AH280" s="5">
        <f t="shared" si="44"/>
        <v>0.84332005407165345</v>
      </c>
      <c r="AI280" s="5">
        <f t="shared" si="45"/>
        <v>-0.84779311076172603</v>
      </c>
      <c r="AJ280" s="5">
        <f t="shared" si="46"/>
        <v>0.79032436439896947</v>
      </c>
      <c r="AK280" s="5">
        <f t="shared" si="47"/>
        <v>-0.18584096734287955</v>
      </c>
      <c r="AL280" s="5">
        <f t="shared" si="48"/>
        <v>0.65782291703955997</v>
      </c>
      <c r="AM280" s="10">
        <f t="shared" si="49"/>
        <v>-1.5430406329361204</v>
      </c>
    </row>
    <row r="281" spans="1:39" x14ac:dyDescent="0.3">
      <c r="A281">
        <v>231</v>
      </c>
      <c r="B281" t="s">
        <v>319</v>
      </c>
      <c r="C281" t="s">
        <v>58</v>
      </c>
      <c r="D281" s="1">
        <v>38560</v>
      </c>
      <c r="E281">
        <v>0</v>
      </c>
      <c r="F281" t="s">
        <v>320</v>
      </c>
      <c r="G281" s="4">
        <v>18.827000000000002</v>
      </c>
      <c r="H281" s="4">
        <v>31.742999999999999</v>
      </c>
      <c r="I281" s="4">
        <v>61.19</v>
      </c>
      <c r="J281" s="4">
        <v>133.875</v>
      </c>
      <c r="K281" s="4">
        <v>910.63199999999995</v>
      </c>
      <c r="L281" s="4">
        <v>275.39400000000001</v>
      </c>
      <c r="M281" s="4">
        <v>295.01100000000002</v>
      </c>
      <c r="N281" s="4">
        <v>615.62099999999998</v>
      </c>
      <c r="O281" s="4">
        <v>29.609000000000002</v>
      </c>
      <c r="P281" s="4">
        <v>27.827000000000002</v>
      </c>
      <c r="Q281" s="4">
        <v>487.767</v>
      </c>
      <c r="R281" s="4">
        <v>0</v>
      </c>
      <c r="S281" s="4">
        <v>785.98500000000001</v>
      </c>
      <c r="T281" s="4">
        <v>782.77800000000002</v>
      </c>
      <c r="U281" s="4">
        <v>938.45899999999995</v>
      </c>
      <c r="V281" s="4">
        <v>921.36500000000001</v>
      </c>
      <c r="W281" s="4">
        <v>954.23400000000004</v>
      </c>
      <c r="X281" s="4">
        <v>1139.1210000000001</v>
      </c>
      <c r="Y281">
        <v>0.14265407439216801</v>
      </c>
      <c r="Z281">
        <v>988.29475000000002</v>
      </c>
      <c r="AA281" t="s">
        <v>32</v>
      </c>
      <c r="AB281">
        <v>2</v>
      </c>
      <c r="AC281" t="s">
        <v>33</v>
      </c>
      <c r="AD281" s="5">
        <f t="shared" si="40"/>
        <v>2.0246001772210705E-2</v>
      </c>
      <c r="AE281" s="5">
        <f t="shared" si="41"/>
        <v>0.51876123549599606</v>
      </c>
      <c r="AF281" s="5">
        <f t="shared" si="42"/>
        <v>0</v>
      </c>
      <c r="AG281" s="5">
        <f t="shared" si="43"/>
        <v>0.65599136456680585</v>
      </c>
      <c r="AH281" s="5">
        <f t="shared" si="44"/>
        <v>1.1988826972653803</v>
      </c>
      <c r="AI281" s="5">
        <f t="shared" si="45"/>
        <v>4.8109749523843748</v>
      </c>
      <c r="AJ281" s="5">
        <f t="shared" si="46"/>
        <v>3.0867730355817238</v>
      </c>
      <c r="AK281" s="5">
        <f t="shared" si="47"/>
        <v>0.14265407439216846</v>
      </c>
      <c r="AL281" s="5">
        <f t="shared" si="48"/>
        <v>1.1633336654837003</v>
      </c>
      <c r="AM281" s="10">
        <f t="shared" si="49"/>
        <v>9.9395569676797899E-2</v>
      </c>
    </row>
    <row r="282" spans="1:39" x14ac:dyDescent="0.3">
      <c r="A282">
        <v>234</v>
      </c>
      <c r="B282" t="s">
        <v>323</v>
      </c>
      <c r="C282" t="s">
        <v>58</v>
      </c>
      <c r="D282" s="1">
        <v>38638</v>
      </c>
      <c r="E282">
        <v>4</v>
      </c>
      <c r="F282" t="s">
        <v>324</v>
      </c>
      <c r="G282" s="4">
        <v>4.6379999999999999</v>
      </c>
      <c r="H282" s="4">
        <v>16.315999999999999</v>
      </c>
      <c r="I282" s="4">
        <v>500.84199999999998</v>
      </c>
      <c r="J282" s="4">
        <v>46.179000000000002</v>
      </c>
      <c r="K282" s="4">
        <v>646.86699999999996</v>
      </c>
      <c r="L282" s="4">
        <v>64.213999999999999</v>
      </c>
      <c r="M282" s="4">
        <v>780.67200000000003</v>
      </c>
      <c r="N282" s="4">
        <v>-133.80500000000001</v>
      </c>
      <c r="O282" s="4">
        <v>12.109</v>
      </c>
      <c r="P282" s="4">
        <v>249.95699999999999</v>
      </c>
      <c r="Q282" s="4">
        <v>2.9849999999999999</v>
      </c>
      <c r="R282" s="4">
        <v>0.52100000000000002</v>
      </c>
      <c r="S282" s="4">
        <v>735.92</v>
      </c>
      <c r="T282" s="4">
        <v>783.65700000000004</v>
      </c>
      <c r="U282" s="4">
        <v>896.82399999999996</v>
      </c>
      <c r="V282" s="4">
        <v>835.697</v>
      </c>
      <c r="W282" s="4">
        <v>811.28200000000004</v>
      </c>
      <c r="X282" s="4">
        <v>885.36099999999999</v>
      </c>
      <c r="Y282">
        <v>5.1491708518059301E-2</v>
      </c>
      <c r="Z282">
        <v>857.29100000000005</v>
      </c>
      <c r="AA282" t="s">
        <v>32</v>
      </c>
      <c r="AB282">
        <v>2</v>
      </c>
      <c r="AC282" t="s">
        <v>33</v>
      </c>
      <c r="AD282" s="5">
        <f t="shared" si="40"/>
        <v>5.3540476565652022E-3</v>
      </c>
      <c r="AE282" s="5">
        <f t="shared" si="41"/>
        <v>3.2577140096078205E-2</v>
      </c>
      <c r="AF282" s="5">
        <f t="shared" si="42"/>
        <v>6.8571714365247703E-4</v>
      </c>
      <c r="AG282" s="5">
        <f t="shared" si="43"/>
        <v>-0.1491987279555409</v>
      </c>
      <c r="AH282" s="5">
        <f t="shared" si="44"/>
        <v>1.1444088421337395</v>
      </c>
      <c r="AI282" s="5">
        <f t="shared" si="45"/>
        <v>0.18474777661757824</v>
      </c>
      <c r="AJ282" s="5">
        <f t="shared" si="46"/>
        <v>0.82860279349073607</v>
      </c>
      <c r="AK282" s="5">
        <f t="shared" si="47"/>
        <v>5.1491708518059287E-2</v>
      </c>
      <c r="AL282" s="5">
        <f t="shared" si="48"/>
        <v>0.82544659206770299</v>
      </c>
      <c r="AM282" s="10">
        <f t="shared" si="49"/>
        <v>-3.7430738761630726</v>
      </c>
    </row>
    <row r="283" spans="1:39" x14ac:dyDescent="0.3">
      <c r="A283">
        <v>244</v>
      </c>
      <c r="B283" t="s">
        <v>331</v>
      </c>
      <c r="C283" t="s">
        <v>58</v>
      </c>
      <c r="D283" s="1">
        <v>36781</v>
      </c>
      <c r="E283">
        <v>0</v>
      </c>
      <c r="F283" t="s">
        <v>332</v>
      </c>
      <c r="G283" s="4">
        <v>-890.86900000000003</v>
      </c>
      <c r="H283" s="4">
        <v>-890.81299999999999</v>
      </c>
      <c r="I283" s="4">
        <v>134.91999999999999</v>
      </c>
      <c r="J283" s="4">
        <v>-1694.0419999999999</v>
      </c>
      <c r="K283" s="4">
        <v>825.202</v>
      </c>
      <c r="L283" s="4">
        <v>52</v>
      </c>
      <c r="M283" s="4">
        <v>2522.1089999999999</v>
      </c>
      <c r="N283" s="4">
        <v>-1696.9069999999999</v>
      </c>
      <c r="O283" s="4">
        <v>-890.86900000000003</v>
      </c>
      <c r="P283" s="4">
        <v>2.8650000000000002</v>
      </c>
      <c r="Q283" s="4">
        <v>0</v>
      </c>
      <c r="R283" s="4">
        <v>5.6000000000000001E-2</v>
      </c>
      <c r="S283" s="4">
        <v>2544.96</v>
      </c>
      <c r="T283" s="4">
        <v>2522.1089999999999</v>
      </c>
      <c r="U283" s="4">
        <v>828.06700000000001</v>
      </c>
      <c r="V283" s="4">
        <v>1741.787</v>
      </c>
      <c r="W283" s="4">
        <v>2620.884</v>
      </c>
      <c r="X283" s="4">
        <v>2436.7379999999998</v>
      </c>
      <c r="Y283">
        <v>-2.04577890436402</v>
      </c>
      <c r="Z283">
        <v>1906.8689999999999</v>
      </c>
      <c r="AA283" t="s">
        <v>32</v>
      </c>
      <c r="AB283">
        <v>2</v>
      </c>
      <c r="AC283" t="s">
        <v>33</v>
      </c>
      <c r="AD283" s="5">
        <f t="shared" si="40"/>
        <v>-0.69332265568394158</v>
      </c>
      <c r="AE283" s="5">
        <f t="shared" si="41"/>
        <v>-6.602527423658465</v>
      </c>
      <c r="AF283" s="5">
        <f t="shared" si="42"/>
        <v>2.2103507964860951E-5</v>
      </c>
      <c r="AG283" s="5">
        <f t="shared" si="43"/>
        <v>-2.0492387693266365</v>
      </c>
      <c r="AH283" s="5">
        <f t="shared" si="44"/>
        <v>0.3283232405895225</v>
      </c>
      <c r="AI283" s="5">
        <f t="shared" si="45"/>
        <v>-591.28865619546241</v>
      </c>
      <c r="AJ283" s="5">
        <f t="shared" si="46"/>
        <v>0.32718728651299372</v>
      </c>
      <c r="AK283" s="5">
        <f t="shared" si="47"/>
        <v>-2.0457789043640187</v>
      </c>
      <c r="AL283" s="5">
        <f t="shared" si="48"/>
        <v>0.32718728651299372</v>
      </c>
      <c r="AM283" s="10">
        <f t="shared" si="49"/>
        <v>-7.9509366158546105E-2</v>
      </c>
    </row>
    <row r="284" spans="1:39" x14ac:dyDescent="0.3">
      <c r="A284">
        <v>272</v>
      </c>
      <c r="B284" t="s">
        <v>360</v>
      </c>
      <c r="C284" t="s">
        <v>35</v>
      </c>
      <c r="D284" s="1">
        <v>42209</v>
      </c>
      <c r="E284">
        <v>8</v>
      </c>
      <c r="F284" t="s">
        <v>361</v>
      </c>
      <c r="G284" s="4">
        <v>-391.40100000000001</v>
      </c>
      <c r="H284" s="4">
        <v>-300.36799999999999</v>
      </c>
      <c r="I284" s="4">
        <v>746.43200000000002</v>
      </c>
      <c r="J284" s="4">
        <v>-374.90699999999998</v>
      </c>
      <c r="K284" s="4">
        <v>581.327</v>
      </c>
      <c r="L284" s="4">
        <v>189.66800000000001</v>
      </c>
      <c r="M284" s="4">
        <v>901.66499999999996</v>
      </c>
      <c r="N284" s="4">
        <v>-320.33800000000002</v>
      </c>
      <c r="O284" s="4">
        <v>-338.54899999999998</v>
      </c>
      <c r="P284" s="4">
        <v>23.068999999999999</v>
      </c>
      <c r="Q284" s="4">
        <v>17.529</v>
      </c>
      <c r="R284" s="4">
        <v>38.180999999999997</v>
      </c>
      <c r="S284" s="4">
        <v>1099.9690000000001</v>
      </c>
      <c r="T284" s="4">
        <v>919.19399999999996</v>
      </c>
      <c r="U284" s="4">
        <v>611.89599999999996</v>
      </c>
      <c r="V284" s="4">
        <v>1202.2850000000001</v>
      </c>
      <c r="W284" s="4">
        <v>675.32500000000005</v>
      </c>
      <c r="X284" s="4">
        <v>623.86900000000003</v>
      </c>
      <c r="Y284">
        <v>-0.61269725574280598</v>
      </c>
      <c r="Z284">
        <v>778.34375</v>
      </c>
      <c r="AA284" t="s">
        <v>32</v>
      </c>
      <c r="AB284">
        <v>2</v>
      </c>
      <c r="AC284" t="s">
        <v>33</v>
      </c>
      <c r="AD284" s="5">
        <f t="shared" si="40"/>
        <v>-0.43149057343230912</v>
      </c>
      <c r="AE284" s="5">
        <f t="shared" si="41"/>
        <v>-0.40240504158449797</v>
      </c>
      <c r="AF284" s="5">
        <f t="shared" si="42"/>
        <v>3.7818640694188631E-2</v>
      </c>
      <c r="AG284" s="5">
        <f t="shared" si="43"/>
        <v>-0.5235170682599658</v>
      </c>
      <c r="AH284" s="5">
        <f t="shared" si="44"/>
        <v>0.6656875480040122</v>
      </c>
      <c r="AI284" s="5">
        <f t="shared" si="45"/>
        <v>-16.251549698729896</v>
      </c>
      <c r="AJ284" s="5">
        <f t="shared" si="46"/>
        <v>0.64472614551967755</v>
      </c>
      <c r="AK284" s="5">
        <f t="shared" si="47"/>
        <v>-0.61269725574280598</v>
      </c>
      <c r="AL284" s="5">
        <f t="shared" si="48"/>
        <v>0.63243123867214102</v>
      </c>
      <c r="AM284" s="10">
        <f t="shared" si="49"/>
        <v>-2.3301387909021094</v>
      </c>
    </row>
    <row r="285" spans="1:39" x14ac:dyDescent="0.3">
      <c r="A285">
        <v>291</v>
      </c>
      <c r="B285" t="s">
        <v>374</v>
      </c>
      <c r="C285" t="s">
        <v>45</v>
      </c>
      <c r="D285" s="1">
        <v>37729</v>
      </c>
      <c r="E285">
        <v>4</v>
      </c>
      <c r="F285" t="s">
        <v>375</v>
      </c>
      <c r="G285" s="4">
        <v>-6.3979999999999997</v>
      </c>
      <c r="H285" s="4">
        <v>20.733000000000001</v>
      </c>
      <c r="I285" s="4">
        <v>388.142</v>
      </c>
      <c r="J285" s="4">
        <v>33.674999999999997</v>
      </c>
      <c r="K285" s="4">
        <v>303.98700000000002</v>
      </c>
      <c r="L285" s="4">
        <v>34.450000000000003</v>
      </c>
      <c r="M285" s="4">
        <v>355.46800000000002</v>
      </c>
      <c r="N285" s="4">
        <v>-51.481000000000002</v>
      </c>
      <c r="O285" s="4">
        <v>7.6909999999999998</v>
      </c>
      <c r="P285" s="4">
        <v>165.95699999999999</v>
      </c>
      <c r="Q285" s="4">
        <v>78.320999999999998</v>
      </c>
      <c r="R285" s="4">
        <v>12.804</v>
      </c>
      <c r="S285" s="4">
        <v>576.31799999999998</v>
      </c>
      <c r="T285" s="4">
        <v>433.78899999999999</v>
      </c>
      <c r="U285" s="4">
        <v>469.94400000000002</v>
      </c>
      <c r="V285" s="4">
        <v>627.14</v>
      </c>
      <c r="W285" s="4">
        <v>949.69600000000003</v>
      </c>
      <c r="X285" s="4">
        <v>1009.1950000000001</v>
      </c>
      <c r="Y285">
        <v>7.1657474082018294E-2</v>
      </c>
      <c r="Z285">
        <v>763.99374999999998</v>
      </c>
      <c r="AA285" t="s">
        <v>32</v>
      </c>
      <c r="AB285">
        <v>2</v>
      </c>
      <c r="AC285" t="s">
        <v>33</v>
      </c>
      <c r="AD285" s="5">
        <f t="shared" si="40"/>
        <v>-1.1663646539371643E-2</v>
      </c>
      <c r="AE285" s="5">
        <f t="shared" si="41"/>
        <v>5.3416017849137687E-2</v>
      </c>
      <c r="AF285" s="5">
        <f t="shared" si="42"/>
        <v>2.5351769664005895E-2</v>
      </c>
      <c r="AG285" s="5">
        <f t="shared" si="43"/>
        <v>-0.10954709497301807</v>
      </c>
      <c r="AH285" s="5">
        <f t="shared" si="44"/>
        <v>1.0833469728370244</v>
      </c>
      <c r="AI285" s="5">
        <f t="shared" si="45"/>
        <v>0.20291400784540572</v>
      </c>
      <c r="AJ285" s="5">
        <f t="shared" si="46"/>
        <v>0.85517402410343546</v>
      </c>
      <c r="AK285" s="5">
        <f t="shared" si="47"/>
        <v>7.165747408201828E-2</v>
      </c>
      <c r="AL285" s="5">
        <f t="shared" si="48"/>
        <v>0.7007715732764086</v>
      </c>
      <c r="AM285" s="10">
        <f t="shared" si="49"/>
        <v>-7.5395194343544221</v>
      </c>
    </row>
    <row r="286" spans="1:39" x14ac:dyDescent="0.3">
      <c r="A286">
        <v>303</v>
      </c>
      <c r="B286" t="s">
        <v>390</v>
      </c>
      <c r="C286" t="s">
        <v>101</v>
      </c>
      <c r="D286" s="1">
        <v>41564</v>
      </c>
      <c r="E286">
        <v>6</v>
      </c>
      <c r="F286" t="s">
        <v>391</v>
      </c>
      <c r="G286" s="4">
        <v>-1168.048</v>
      </c>
      <c r="H286" s="4">
        <v>-1140.4690000000001</v>
      </c>
      <c r="I286" s="4">
        <v>874.52800000000002</v>
      </c>
      <c r="J286" s="4">
        <v>-1017.62</v>
      </c>
      <c r="K286" s="4">
        <v>391.68</v>
      </c>
      <c r="L286" s="4">
        <v>42.643000000000001</v>
      </c>
      <c r="M286" s="4">
        <v>1398.133</v>
      </c>
      <c r="N286" s="4">
        <v>-1006.453</v>
      </c>
      <c r="O286" s="4">
        <v>-1155.211</v>
      </c>
      <c r="P286" s="4">
        <v>27.759</v>
      </c>
      <c r="Q286" s="4">
        <v>29.253</v>
      </c>
      <c r="R286" s="4">
        <v>14.744999999999999</v>
      </c>
      <c r="S286" s="4">
        <v>1684.8789999999999</v>
      </c>
      <c r="T286" s="4">
        <v>1427.386</v>
      </c>
      <c r="U286" s="4">
        <v>420.25700000000001</v>
      </c>
      <c r="V286" s="4">
        <v>1839.83</v>
      </c>
      <c r="W286" s="4">
        <v>2323.5309999999999</v>
      </c>
      <c r="X286" s="4">
        <v>1535.44</v>
      </c>
      <c r="Y286">
        <v>-2.4214230815905502</v>
      </c>
      <c r="Z286">
        <v>1529.7645</v>
      </c>
      <c r="AA286" t="s">
        <v>32</v>
      </c>
      <c r="AB286">
        <v>2</v>
      </c>
      <c r="AC286" t="s">
        <v>33</v>
      </c>
      <c r="AD286" s="5">
        <f t="shared" si="40"/>
        <v>-1.0336310062400254</v>
      </c>
      <c r="AE286" s="5">
        <f t="shared" si="41"/>
        <v>-1.3040966098283875</v>
      </c>
      <c r="AF286" s="5">
        <f t="shared" si="42"/>
        <v>9.4754142079803618E-3</v>
      </c>
      <c r="AG286" s="5">
        <f t="shared" si="43"/>
        <v>-2.3948512457853171</v>
      </c>
      <c r="AH286" s="5">
        <f t="shared" si="44"/>
        <v>0.29442421321212342</v>
      </c>
      <c r="AI286" s="5">
        <f t="shared" si="45"/>
        <v>-36.659101552649588</v>
      </c>
      <c r="AJ286" s="5">
        <f t="shared" si="46"/>
        <v>0.28014502196858238</v>
      </c>
      <c r="AK286" s="5">
        <f t="shared" si="47"/>
        <v>-2.4214230815905506</v>
      </c>
      <c r="AL286" s="5">
        <f t="shared" si="48"/>
        <v>0.27440370019041804</v>
      </c>
      <c r="AM286" s="10">
        <f t="shared" si="49"/>
        <v>-0.86892085373087469</v>
      </c>
    </row>
    <row r="287" spans="1:39" x14ac:dyDescent="0.3">
      <c r="A287">
        <v>309</v>
      </c>
      <c r="B287" t="s">
        <v>396</v>
      </c>
      <c r="C287" t="s">
        <v>58</v>
      </c>
      <c r="D287" s="1">
        <v>41271</v>
      </c>
      <c r="E287">
        <v>5</v>
      </c>
      <c r="F287" t="s">
        <v>397</v>
      </c>
      <c r="G287" s="4">
        <v>-1115.3910000000001</v>
      </c>
      <c r="H287" s="4">
        <v>-1059.17</v>
      </c>
      <c r="I287" s="4">
        <v>3196.6590000000001</v>
      </c>
      <c r="J287" s="4">
        <v>-1903.32</v>
      </c>
      <c r="K287" s="4">
        <v>307.51799999999997</v>
      </c>
      <c r="L287" s="4">
        <v>0</v>
      </c>
      <c r="M287" s="4">
        <v>2097.6350000000002</v>
      </c>
      <c r="N287" s="4">
        <v>-1790.117</v>
      </c>
      <c r="O287" s="4">
        <v>-1107.646</v>
      </c>
      <c r="P287" s="4">
        <v>83.382000000000005</v>
      </c>
      <c r="Q287" s="4">
        <v>0</v>
      </c>
      <c r="R287" s="4">
        <v>48.478000000000002</v>
      </c>
      <c r="S287" s="4">
        <v>3538.2</v>
      </c>
      <c r="T287" s="4">
        <v>2097.6350000000002</v>
      </c>
      <c r="U287" s="4">
        <v>396.625</v>
      </c>
      <c r="V287" s="4">
        <v>2928.643</v>
      </c>
      <c r="W287" s="4">
        <v>2916.1529999999998</v>
      </c>
      <c r="X287" s="4">
        <v>1236.396</v>
      </c>
      <c r="Y287">
        <v>-4.7987897888433704</v>
      </c>
      <c r="Z287">
        <v>1869.45425</v>
      </c>
      <c r="AA287" t="s">
        <v>32</v>
      </c>
      <c r="AB287">
        <v>2</v>
      </c>
      <c r="AC287" t="s">
        <v>33</v>
      </c>
      <c r="AD287" s="5">
        <f t="shared" si="40"/>
        <v>-0.67085780755115076</v>
      </c>
      <c r="AE287" s="5">
        <f t="shared" si="41"/>
        <v>-0.33133656107830084</v>
      </c>
      <c r="AF287" s="5">
        <f t="shared" si="42"/>
        <v>1.7203484488101585E-2</v>
      </c>
      <c r="AG287" s="5">
        <f t="shared" si="43"/>
        <v>-4.5133740939174283</v>
      </c>
      <c r="AH287" s="5">
        <f t="shared" si="44"/>
        <v>0.18908198995535447</v>
      </c>
      <c r="AI287" s="5">
        <f t="shared" si="45"/>
        <v>-22.82650931855796</v>
      </c>
      <c r="AJ287" s="5">
        <f t="shared" si="46"/>
        <v>0.14660224490914767</v>
      </c>
      <c r="AK287" s="5">
        <f t="shared" si="47"/>
        <v>-4.7987897888433659</v>
      </c>
      <c r="AL287" s="5">
        <f t="shared" si="48"/>
        <v>0.14660224490914767</v>
      </c>
      <c r="AM287" s="10">
        <f t="shared" si="49"/>
        <v>-1.7857262961024336</v>
      </c>
    </row>
    <row r="288" spans="1:39" x14ac:dyDescent="0.3">
      <c r="A288">
        <v>333</v>
      </c>
      <c r="B288" t="s">
        <v>422</v>
      </c>
      <c r="C288" t="s">
        <v>58</v>
      </c>
      <c r="D288" s="1">
        <v>38378</v>
      </c>
      <c r="E288">
        <v>2</v>
      </c>
      <c r="F288" t="s">
        <v>423</v>
      </c>
      <c r="G288" s="4">
        <v>-341.33499999999998</v>
      </c>
      <c r="H288" s="4">
        <v>-176.34100000000001</v>
      </c>
      <c r="I288" s="4">
        <v>165.56899999999999</v>
      </c>
      <c r="J288" s="4">
        <v>-932.13400000000001</v>
      </c>
      <c r="K288" s="4">
        <v>271.04000000000002</v>
      </c>
      <c r="L288" s="4">
        <v>95.527000000000001</v>
      </c>
      <c r="M288" s="4">
        <v>1182.049</v>
      </c>
      <c r="N288" s="4">
        <v>-911.00900000000001</v>
      </c>
      <c r="O288" s="4">
        <v>-193.733</v>
      </c>
      <c r="P288" s="4">
        <v>18</v>
      </c>
      <c r="Q288" s="4">
        <v>0</v>
      </c>
      <c r="R288" s="4">
        <v>17.422999999999998</v>
      </c>
      <c r="S288" s="4">
        <v>1296.617</v>
      </c>
      <c r="T288" s="4">
        <v>1182.049</v>
      </c>
      <c r="U288" s="4">
        <v>289.04000000000002</v>
      </c>
      <c r="V288" s="4">
        <v>715.52</v>
      </c>
      <c r="W288" s="4">
        <v>1147.3430000000001</v>
      </c>
      <c r="X288" s="4">
        <v>1078.75</v>
      </c>
      <c r="Y288">
        <v>-3.22493080542485</v>
      </c>
      <c r="Z288">
        <v>807.66324999999995</v>
      </c>
      <c r="AA288" t="s">
        <v>32</v>
      </c>
      <c r="AB288">
        <v>2</v>
      </c>
      <c r="AC288" t="s">
        <v>33</v>
      </c>
      <c r="AD288" s="5">
        <f t="shared" si="40"/>
        <v>-0.67957115553077962</v>
      </c>
      <c r="AE288" s="5">
        <f t="shared" si="41"/>
        <v>-1.0650604883764474</v>
      </c>
      <c r="AF288" s="5">
        <f t="shared" si="42"/>
        <v>1.4058368493375063E-2</v>
      </c>
      <c r="AG288" s="5">
        <f t="shared" si="43"/>
        <v>-3.1518440354276223</v>
      </c>
      <c r="AH288" s="5">
        <f t="shared" si="44"/>
        <v>0.24452455016670208</v>
      </c>
      <c r="AI288" s="5">
        <f t="shared" si="45"/>
        <v>-51.785222222222224</v>
      </c>
      <c r="AJ288" s="5">
        <f t="shared" si="46"/>
        <v>0.22929675504145769</v>
      </c>
      <c r="AK288" s="5">
        <f t="shared" si="47"/>
        <v>-3.2249308054248544</v>
      </c>
      <c r="AL288" s="5">
        <f t="shared" si="48"/>
        <v>0.22929675504145769</v>
      </c>
      <c r="AM288" s="10">
        <f t="shared" si="49"/>
        <v>-0.18174244162242084</v>
      </c>
    </row>
    <row r="289" spans="1:39" x14ac:dyDescent="0.3">
      <c r="A289">
        <v>215</v>
      </c>
      <c r="B289" t="s">
        <v>295</v>
      </c>
      <c r="C289" t="s">
        <v>58</v>
      </c>
      <c r="D289" s="1">
        <v>42439</v>
      </c>
      <c r="E289">
        <v>18</v>
      </c>
      <c r="F289" t="s">
        <v>296</v>
      </c>
      <c r="G289" s="4">
        <v>27.757000000000001</v>
      </c>
      <c r="H289" s="4">
        <v>100.91</v>
      </c>
      <c r="I289" s="4">
        <v>1973.0619999999999</v>
      </c>
      <c r="J289" s="4">
        <v>91.296999999999997</v>
      </c>
      <c r="K289" s="4">
        <v>699.91099999999994</v>
      </c>
      <c r="L289" s="4">
        <v>25.5</v>
      </c>
      <c r="M289" s="4">
        <v>925.51099999999997</v>
      </c>
      <c r="N289" s="4">
        <v>-225.6</v>
      </c>
      <c r="O289" s="4">
        <v>60.012999999999998</v>
      </c>
      <c r="P289" s="4">
        <v>431.44499999999999</v>
      </c>
      <c r="Q289" s="4">
        <v>72.870999999999995</v>
      </c>
      <c r="R289" s="4">
        <v>14.875999999999999</v>
      </c>
      <c r="S289" s="4">
        <v>777.77800000000002</v>
      </c>
      <c r="T289" s="4">
        <v>998.38199999999995</v>
      </c>
      <c r="U289" s="4">
        <v>1133.153</v>
      </c>
      <c r="V289" s="4">
        <v>848.92</v>
      </c>
      <c r="W289" s="4">
        <v>534.322</v>
      </c>
      <c r="X289" s="4">
        <v>143.036</v>
      </c>
      <c r="Y289">
        <v>8.0568996419724398E-2</v>
      </c>
      <c r="Z289">
        <v>664.85775000000001</v>
      </c>
      <c r="AA289" t="s">
        <v>32</v>
      </c>
      <c r="AB289">
        <v>1</v>
      </c>
      <c r="AC289" t="s">
        <v>33</v>
      </c>
      <c r="AD289" s="5">
        <f t="shared" si="40"/>
        <v>2.800805015758754E-2</v>
      </c>
      <c r="AE289" s="5">
        <f t="shared" si="41"/>
        <v>5.1143856604607456E-2</v>
      </c>
      <c r="AF289" s="5">
        <f t="shared" si="42"/>
        <v>1.6750743176290425E-2</v>
      </c>
      <c r="AG289" s="5">
        <f t="shared" si="43"/>
        <v>-0.19909050234169612</v>
      </c>
      <c r="AH289" s="5">
        <f t="shared" si="44"/>
        <v>1.1349894128700238</v>
      </c>
      <c r="AI289" s="5">
        <f t="shared" si="45"/>
        <v>0.21160750501222636</v>
      </c>
      <c r="AJ289" s="5">
        <f t="shared" si="46"/>
        <v>0.75624276750897612</v>
      </c>
      <c r="AK289" s="5">
        <f t="shared" si="47"/>
        <v>8.0568996419724426E-2</v>
      </c>
      <c r="AL289" s="5">
        <f t="shared" si="48"/>
        <v>0.70104529128129311</v>
      </c>
      <c r="AM289" s="10">
        <f t="shared" si="49"/>
        <v>-8.7458421985815598</v>
      </c>
    </row>
    <row r="290" spans="1:39" x14ac:dyDescent="0.3">
      <c r="A290">
        <v>251</v>
      </c>
      <c r="B290" t="s">
        <v>337</v>
      </c>
      <c r="C290" t="s">
        <v>101</v>
      </c>
      <c r="D290" s="1">
        <v>41677</v>
      </c>
      <c r="E290">
        <v>25</v>
      </c>
      <c r="F290" t="s">
        <v>338</v>
      </c>
      <c r="G290" s="4">
        <v>55.140999999999998</v>
      </c>
      <c r="H290" s="4">
        <v>97.23</v>
      </c>
      <c r="I290" s="4">
        <v>1422.35</v>
      </c>
      <c r="J290" s="4">
        <v>174.74199999999999</v>
      </c>
      <c r="K290" s="4">
        <v>731.14599999999996</v>
      </c>
      <c r="L290" s="4">
        <v>0</v>
      </c>
      <c r="M290" s="4">
        <v>557.05799999999999</v>
      </c>
      <c r="N290" s="4">
        <v>174.08799999999999</v>
      </c>
      <c r="O290" s="4">
        <v>63.04</v>
      </c>
      <c r="P290" s="4">
        <v>21.507000000000001</v>
      </c>
      <c r="Q290" s="4">
        <v>0</v>
      </c>
      <c r="R290" s="4">
        <v>0.309</v>
      </c>
      <c r="S290" s="4">
        <v>414.46</v>
      </c>
      <c r="T290" s="4">
        <v>557.05799999999999</v>
      </c>
      <c r="U290" s="4">
        <v>753.70899999999995</v>
      </c>
      <c r="V290" s="4">
        <v>546.21</v>
      </c>
      <c r="W290" s="4">
        <v>269.37200000000001</v>
      </c>
      <c r="X290" s="4">
        <v>411.61500000000001</v>
      </c>
      <c r="Y290">
        <v>0.23184279343884701</v>
      </c>
      <c r="Z290">
        <v>495.22649999999999</v>
      </c>
      <c r="AA290" t="s">
        <v>32</v>
      </c>
      <c r="AB290">
        <v>1</v>
      </c>
      <c r="AC290" t="s">
        <v>33</v>
      </c>
      <c r="AD290" s="5">
        <f t="shared" si="40"/>
        <v>8.483759372699376E-2</v>
      </c>
      <c r="AE290" s="5">
        <f t="shared" si="41"/>
        <v>6.8358702147853917E-2</v>
      </c>
      <c r="AF290" s="5">
        <f t="shared" si="42"/>
        <v>6.3611791032178503E-4</v>
      </c>
      <c r="AG290" s="5">
        <f t="shared" si="43"/>
        <v>0.23097508454854593</v>
      </c>
      <c r="AH290" s="5">
        <f t="shared" si="44"/>
        <v>1.3530171005532636</v>
      </c>
      <c r="AI290" s="5">
        <f t="shared" si="45"/>
        <v>8.1248895708374</v>
      </c>
      <c r="AJ290" s="5">
        <f t="shared" si="46"/>
        <v>1.3125132391959184</v>
      </c>
      <c r="AK290" s="5">
        <f t="shared" si="47"/>
        <v>0.23184279343884709</v>
      </c>
      <c r="AL290" s="5">
        <f t="shared" si="48"/>
        <v>1.3125132391959184</v>
      </c>
      <c r="AM290" s="10">
        <f t="shared" si="49"/>
        <v>8.1702931850558329</v>
      </c>
    </row>
    <row r="291" spans="1:39" x14ac:dyDescent="0.3">
      <c r="A291">
        <v>252</v>
      </c>
      <c r="B291" t="s">
        <v>339</v>
      </c>
      <c r="C291" t="s">
        <v>45</v>
      </c>
      <c r="D291" s="1">
        <v>40581</v>
      </c>
      <c r="E291">
        <v>11</v>
      </c>
      <c r="F291" t="s">
        <v>340</v>
      </c>
      <c r="G291" s="4">
        <v>248.89599999999999</v>
      </c>
      <c r="H291" s="4">
        <v>297.488</v>
      </c>
      <c r="I291" s="4">
        <v>695.74099999999999</v>
      </c>
      <c r="J291" s="4">
        <v>436.072</v>
      </c>
      <c r="K291" s="4">
        <v>729.72500000000002</v>
      </c>
      <c r="L291" s="4">
        <v>0</v>
      </c>
      <c r="M291" s="4">
        <v>303.16399999999999</v>
      </c>
      <c r="N291" s="4">
        <v>426.56099999999998</v>
      </c>
      <c r="O291" s="4">
        <v>250.29</v>
      </c>
      <c r="P291" s="4">
        <v>10.132999999999999</v>
      </c>
      <c r="Q291" s="4">
        <v>0</v>
      </c>
      <c r="R291" s="4">
        <v>0.02</v>
      </c>
      <c r="S291" s="4">
        <v>342.48</v>
      </c>
      <c r="T291" s="4">
        <v>303.16399999999999</v>
      </c>
      <c r="U291" s="4">
        <v>739.85799999999995</v>
      </c>
      <c r="V291" s="4">
        <v>543.42399999999998</v>
      </c>
      <c r="W291" s="4">
        <v>267.28399999999999</v>
      </c>
      <c r="X291" s="4">
        <v>105.419</v>
      </c>
      <c r="Y291">
        <v>0.58939958748841004</v>
      </c>
      <c r="Z291">
        <v>413.99624999999997</v>
      </c>
      <c r="AA291" t="s">
        <v>32</v>
      </c>
      <c r="AB291">
        <v>1</v>
      </c>
      <c r="AC291" t="s">
        <v>33</v>
      </c>
      <c r="AD291" s="5">
        <f t="shared" si="40"/>
        <v>0.38790538634532395</v>
      </c>
      <c r="AE291" s="5">
        <f t="shared" si="41"/>
        <v>0.42758440281656535</v>
      </c>
      <c r="AF291" s="5">
        <f t="shared" si="42"/>
        <v>6.1953646281851923E-5</v>
      </c>
      <c r="AG291" s="5">
        <f t="shared" si="43"/>
        <v>0.57654441798291023</v>
      </c>
      <c r="AH291" s="5">
        <f t="shared" si="44"/>
        <v>2.4404546713989785</v>
      </c>
      <c r="AI291" s="5">
        <f t="shared" si="45"/>
        <v>43.034836672258962</v>
      </c>
      <c r="AJ291" s="5">
        <f t="shared" si="46"/>
        <v>2.4070305181353988</v>
      </c>
      <c r="AK291" s="5">
        <f t="shared" si="47"/>
        <v>0.58939958748841004</v>
      </c>
      <c r="AL291" s="5">
        <f t="shared" si="48"/>
        <v>2.4070305181353988</v>
      </c>
      <c r="AM291" s="10">
        <f t="shared" si="49"/>
        <v>1.6310469077107377</v>
      </c>
    </row>
    <row r="292" spans="1:39" x14ac:dyDescent="0.3">
      <c r="A292">
        <v>266</v>
      </c>
      <c r="B292" t="s">
        <v>351</v>
      </c>
      <c r="C292" t="s">
        <v>45</v>
      </c>
      <c r="D292" s="1">
        <v>42264</v>
      </c>
      <c r="E292">
        <v>12</v>
      </c>
      <c r="F292" t="s">
        <v>352</v>
      </c>
      <c r="G292" s="4">
        <v>-386.13299999999998</v>
      </c>
      <c r="H292" s="4">
        <v>-378.91899999999998</v>
      </c>
      <c r="I292" s="4">
        <v>832.94399999999996</v>
      </c>
      <c r="J292" s="4">
        <v>-323.69200000000001</v>
      </c>
      <c r="K292" s="4">
        <v>628.399</v>
      </c>
      <c r="L292" s="4">
        <v>0</v>
      </c>
      <c r="M292" s="4">
        <v>932.93200000000002</v>
      </c>
      <c r="N292" s="4">
        <v>-304.53300000000002</v>
      </c>
      <c r="O292" s="4">
        <v>-382.98700000000002</v>
      </c>
      <c r="P292" s="4">
        <v>10.680999999999999</v>
      </c>
      <c r="Q292" s="4">
        <v>0</v>
      </c>
      <c r="R292" s="4">
        <v>4.1520000000000001</v>
      </c>
      <c r="S292" s="4">
        <v>724.39400000000001</v>
      </c>
      <c r="T292" s="4">
        <v>932.93200000000002</v>
      </c>
      <c r="U292" s="4">
        <v>642.56799999999998</v>
      </c>
      <c r="V292" s="4">
        <v>780.83600000000001</v>
      </c>
      <c r="W292" s="4">
        <v>467.78199999999998</v>
      </c>
      <c r="X292" s="4">
        <v>329.25400000000002</v>
      </c>
      <c r="Y292">
        <v>-0.50374746330349496</v>
      </c>
      <c r="Z292">
        <v>555.11</v>
      </c>
      <c r="AA292" t="s">
        <v>32</v>
      </c>
      <c r="AB292">
        <v>1</v>
      </c>
      <c r="AC292" t="s">
        <v>33</v>
      </c>
      <c r="AD292" s="5">
        <f t="shared" si="40"/>
        <v>-0.54254870718362458</v>
      </c>
      <c r="AE292" s="5">
        <f t="shared" si="41"/>
        <v>-0.45491533644518717</v>
      </c>
      <c r="AF292" s="5">
        <f t="shared" si="42"/>
        <v>5.0104807382494454E-3</v>
      </c>
      <c r="AG292" s="5">
        <f t="shared" si="43"/>
        <v>-0.47393116370563121</v>
      </c>
      <c r="AH292" s="5">
        <f t="shared" si="44"/>
        <v>0.68876188189492904</v>
      </c>
      <c r="AI292" s="5">
        <f t="shared" si="45"/>
        <v>-30.305402115906752</v>
      </c>
      <c r="AJ292" s="5">
        <f t="shared" si="46"/>
        <v>0.67357427979745577</v>
      </c>
      <c r="AK292" s="5">
        <f t="shared" si="47"/>
        <v>-0.50374746330349474</v>
      </c>
      <c r="AL292" s="5">
        <f t="shared" si="48"/>
        <v>0.67357427979745577</v>
      </c>
      <c r="AM292" s="10">
        <f t="shared" si="49"/>
        <v>-2.7351518554639398</v>
      </c>
    </row>
    <row r="293" spans="1:39" x14ac:dyDescent="0.3">
      <c r="A293">
        <v>268</v>
      </c>
      <c r="B293" t="s">
        <v>356</v>
      </c>
      <c r="C293" t="s">
        <v>58</v>
      </c>
      <c r="D293" s="1">
        <v>37650</v>
      </c>
      <c r="E293">
        <v>0</v>
      </c>
      <c r="F293" t="s">
        <v>357</v>
      </c>
      <c r="G293" s="4">
        <v>3.2290000000000001</v>
      </c>
      <c r="H293" s="4">
        <v>6.0979999999999999</v>
      </c>
      <c r="I293" s="4">
        <v>44.530999999999999</v>
      </c>
      <c r="J293" s="4">
        <v>12.509</v>
      </c>
      <c r="K293" s="4">
        <v>616.91800000000001</v>
      </c>
      <c r="L293" s="4">
        <v>439.875</v>
      </c>
      <c r="M293" s="4">
        <v>429.404</v>
      </c>
      <c r="N293" s="4">
        <v>187.51400000000001</v>
      </c>
      <c r="O293" s="4">
        <v>5.5529999999999999</v>
      </c>
      <c r="P293" s="4">
        <v>5.2370000000000001</v>
      </c>
      <c r="Q293" s="4">
        <v>188.215</v>
      </c>
      <c r="R293" s="4">
        <v>0.54500000000000004</v>
      </c>
      <c r="S293" s="4">
        <v>671.2</v>
      </c>
      <c r="T293" s="4">
        <v>617.61900000000003</v>
      </c>
      <c r="U293" s="4">
        <v>630.12800000000004</v>
      </c>
      <c r="V293" s="4">
        <v>680.59900000000005</v>
      </c>
      <c r="W293" s="4">
        <v>710.87599999999998</v>
      </c>
      <c r="X293" s="4">
        <v>712.34100000000001</v>
      </c>
      <c r="Y293">
        <v>1.9851522230404001E-2</v>
      </c>
      <c r="Z293">
        <v>683.48599999999999</v>
      </c>
      <c r="AA293" t="s">
        <v>32</v>
      </c>
      <c r="AB293">
        <v>1</v>
      </c>
      <c r="AC293" t="s">
        <v>33</v>
      </c>
      <c r="AD293" s="5">
        <f t="shared" si="40"/>
        <v>4.9270366750665852E-3</v>
      </c>
      <c r="AE293" s="5">
        <f t="shared" si="41"/>
        <v>0.13693831263614112</v>
      </c>
      <c r="AF293" s="5">
        <f t="shared" si="42"/>
        <v>8.4573551445160265E-4</v>
      </c>
      <c r="AG293" s="5">
        <f t="shared" si="43"/>
        <v>0.29758080897849326</v>
      </c>
      <c r="AH293" s="5">
        <f t="shared" si="44"/>
        <v>1.0202535867581795</v>
      </c>
      <c r="AI293" s="5">
        <f t="shared" si="45"/>
        <v>2.3885812488065685</v>
      </c>
      <c r="AJ293" s="5">
        <f t="shared" si="46"/>
        <v>1.4366843345660496</v>
      </c>
      <c r="AK293" s="5">
        <f t="shared" si="47"/>
        <v>1.9851522230403981E-2</v>
      </c>
      <c r="AL293" s="5">
        <f t="shared" si="48"/>
        <v>0.99886499605743995</v>
      </c>
      <c r="AM293" s="10">
        <f t="shared" si="49"/>
        <v>0.23748093475687146</v>
      </c>
    </row>
    <row r="294" spans="1:39" x14ac:dyDescent="0.3">
      <c r="A294">
        <v>274</v>
      </c>
      <c r="B294" t="s">
        <v>362</v>
      </c>
      <c r="C294" t="s">
        <v>58</v>
      </c>
      <c r="D294" s="1">
        <v>38255</v>
      </c>
      <c r="E294">
        <v>6</v>
      </c>
      <c r="F294" t="s">
        <v>363</v>
      </c>
      <c r="G294" s="4">
        <v>2.8639999999999999</v>
      </c>
      <c r="H294" s="4">
        <v>7.5460000000000003</v>
      </c>
      <c r="I294" s="4">
        <v>346.85599999999999</v>
      </c>
      <c r="J294" s="4">
        <v>13.255000000000001</v>
      </c>
      <c r="K294" s="4">
        <v>596.24400000000003</v>
      </c>
      <c r="L294" s="4">
        <v>180.8</v>
      </c>
      <c r="M294" s="4">
        <v>356.51</v>
      </c>
      <c r="N294" s="4">
        <v>239.73400000000001</v>
      </c>
      <c r="O294" s="4">
        <v>3.9119999999999999</v>
      </c>
      <c r="P294" s="4">
        <v>5.298</v>
      </c>
      <c r="Q294" s="4">
        <v>227.053</v>
      </c>
      <c r="R294" s="4">
        <v>1.952</v>
      </c>
      <c r="S294" s="4">
        <v>193.78299999999999</v>
      </c>
      <c r="T294" s="4">
        <v>583.56299999999999</v>
      </c>
      <c r="U294" s="4">
        <v>604.35699999999997</v>
      </c>
      <c r="V294" s="4">
        <v>202.554</v>
      </c>
      <c r="W294" s="4">
        <v>203.11600000000001</v>
      </c>
      <c r="X294" s="4">
        <v>203.15700000000001</v>
      </c>
      <c r="Y294">
        <v>2.1932400882259999E-2</v>
      </c>
      <c r="Z294">
        <v>303.29599999999999</v>
      </c>
      <c r="AA294" t="s">
        <v>32</v>
      </c>
      <c r="AB294">
        <v>1</v>
      </c>
      <c r="AC294" t="s">
        <v>33</v>
      </c>
      <c r="AD294" s="5">
        <f t="shared" si="40"/>
        <v>7.0986763100267568E-3</v>
      </c>
      <c r="AE294" s="5">
        <f t="shared" si="41"/>
        <v>2.1755425882787095E-2</v>
      </c>
      <c r="AF294" s="5">
        <f t="shared" si="42"/>
        <v>5.0222166191116954E-3</v>
      </c>
      <c r="AG294" s="5">
        <f t="shared" si="43"/>
        <v>0.39667613678670061</v>
      </c>
      <c r="AH294" s="5">
        <f t="shared" si="44"/>
        <v>1.0356328279894373</v>
      </c>
      <c r="AI294" s="5">
        <f t="shared" si="45"/>
        <v>2.5018875047187619</v>
      </c>
      <c r="AJ294" s="5">
        <f t="shared" si="46"/>
        <v>1.6724467756865167</v>
      </c>
      <c r="AK294" s="5">
        <f t="shared" si="47"/>
        <v>2.1932400882259992E-2</v>
      </c>
      <c r="AL294" s="5">
        <f t="shared" si="48"/>
        <v>1.0217303016126795</v>
      </c>
      <c r="AM294" s="10">
        <f t="shared" si="49"/>
        <v>1.4468369109095913</v>
      </c>
    </row>
    <row r="295" spans="1:39" x14ac:dyDescent="0.3">
      <c r="A295">
        <v>282</v>
      </c>
      <c r="B295" t="s">
        <v>370</v>
      </c>
      <c r="C295" t="s">
        <v>42</v>
      </c>
      <c r="D295" s="1">
        <v>42899</v>
      </c>
      <c r="E295">
        <v>4</v>
      </c>
      <c r="F295" t="s">
        <v>371</v>
      </c>
      <c r="G295" s="4">
        <v>10.186</v>
      </c>
      <c r="H295" s="4">
        <v>12.496</v>
      </c>
      <c r="I295" s="4">
        <v>948.31600000000003</v>
      </c>
      <c r="J295" s="4">
        <v>37.201999999999998</v>
      </c>
      <c r="K295" s="4">
        <v>521.20100000000002</v>
      </c>
      <c r="L295" s="4">
        <v>0</v>
      </c>
      <c r="M295" s="4">
        <v>458.80099999999999</v>
      </c>
      <c r="N295" s="4">
        <v>62.4</v>
      </c>
      <c r="O295" s="4">
        <v>12.484999999999999</v>
      </c>
      <c r="P295" s="4">
        <v>7.6310000000000002</v>
      </c>
      <c r="Q295" s="4">
        <v>32.192999999999998</v>
      </c>
      <c r="R295" s="4">
        <v>1.0999999999999999E-2</v>
      </c>
      <c r="S295" s="4">
        <v>330.76900000000001</v>
      </c>
      <c r="T295" s="4">
        <v>490.99400000000003</v>
      </c>
      <c r="U295" s="4">
        <v>529.89400000000001</v>
      </c>
      <c r="V295" s="4">
        <v>377.71800000000002</v>
      </c>
      <c r="W295" s="4">
        <v>138.72800000000001</v>
      </c>
      <c r="X295" s="4">
        <v>139.19</v>
      </c>
      <c r="Y295">
        <v>7.0206494129014502E-2</v>
      </c>
      <c r="Z295">
        <v>296.38249999999999</v>
      </c>
      <c r="AA295" t="s">
        <v>32</v>
      </c>
      <c r="AB295">
        <v>1</v>
      </c>
      <c r="AC295" t="s">
        <v>33</v>
      </c>
      <c r="AD295" s="5">
        <f t="shared" si="40"/>
        <v>2.2445714688655503E-2</v>
      </c>
      <c r="AE295" s="5">
        <f t="shared" si="41"/>
        <v>1.3177042251738873E-2</v>
      </c>
      <c r="AF295" s="5">
        <f t="shared" si="42"/>
        <v>2.6771709118079054E-5</v>
      </c>
      <c r="AG295" s="5">
        <f t="shared" si="43"/>
        <v>0.11775940093679113</v>
      </c>
      <c r="AH295" s="5">
        <f t="shared" si="44"/>
        <v>1.0792270373976056</v>
      </c>
      <c r="AI295" s="5">
        <f t="shared" si="45"/>
        <v>4.8751146638710523</v>
      </c>
      <c r="AJ295" s="5">
        <f t="shared" si="46"/>
        <v>1.1360066782766385</v>
      </c>
      <c r="AK295" s="5">
        <f t="shared" si="47"/>
        <v>7.0206494129014474E-2</v>
      </c>
      <c r="AL295" s="5">
        <f t="shared" si="48"/>
        <v>1.0615221367267218</v>
      </c>
      <c r="AM295" s="10">
        <f t="shared" si="49"/>
        <v>15.197371794871795</v>
      </c>
    </row>
    <row r="296" spans="1:39" x14ac:dyDescent="0.3">
      <c r="A296">
        <v>301</v>
      </c>
      <c r="B296" t="s">
        <v>386</v>
      </c>
      <c r="C296" t="s">
        <v>58</v>
      </c>
      <c r="D296" s="1">
        <v>40249</v>
      </c>
      <c r="E296">
        <v>0</v>
      </c>
      <c r="F296" t="s">
        <v>387</v>
      </c>
      <c r="G296" s="4">
        <v>-190.03</v>
      </c>
      <c r="H296" s="4">
        <v>-135.43799999999999</v>
      </c>
      <c r="I296" s="4">
        <v>0.4</v>
      </c>
      <c r="J296" s="4">
        <v>-440.63600000000002</v>
      </c>
      <c r="K296" s="4">
        <v>436.166</v>
      </c>
      <c r="L296" s="4">
        <v>387.17099999999999</v>
      </c>
      <c r="M296" s="4">
        <v>709.13</v>
      </c>
      <c r="N296" s="4">
        <v>-272.964</v>
      </c>
      <c r="O296" s="4">
        <v>-190.03</v>
      </c>
      <c r="P296" s="4">
        <v>0</v>
      </c>
      <c r="Q296" s="4">
        <v>167.672</v>
      </c>
      <c r="R296" s="4">
        <v>4.5919999999999996</v>
      </c>
      <c r="S296" s="4">
        <v>778.63</v>
      </c>
      <c r="T296" s="4">
        <v>876.80200000000002</v>
      </c>
      <c r="U296" s="4">
        <v>436.166</v>
      </c>
      <c r="V296" s="4">
        <v>528.024</v>
      </c>
      <c r="W296" s="4">
        <v>684.68200000000002</v>
      </c>
      <c r="X296" s="4">
        <v>909.47400000000005</v>
      </c>
      <c r="Y296">
        <v>-1.0102483916673899</v>
      </c>
      <c r="Z296">
        <v>639.5865</v>
      </c>
      <c r="AA296" t="s">
        <v>32</v>
      </c>
      <c r="AB296">
        <v>1</v>
      </c>
      <c r="AC296" t="s">
        <v>33</v>
      </c>
      <c r="AD296" s="5">
        <f t="shared" si="40"/>
        <v>-0.39417542185668797</v>
      </c>
      <c r="AE296" s="5">
        <f t="shared" si="41"/>
        <v>-338.59499999999997</v>
      </c>
      <c r="AF296" s="5">
        <f t="shared" si="42"/>
        <v>5.5477965872352351E-3</v>
      </c>
      <c r="AG296" s="5">
        <f t="shared" si="43"/>
        <v>-0.62582594700182959</v>
      </c>
      <c r="AH296" s="5">
        <f t="shared" si="44"/>
        <v>0.49745096384360438</v>
      </c>
      <c r="AI296" s="5" t="e">
        <f t="shared" si="45"/>
        <v>#DIV/0!</v>
      </c>
      <c r="AJ296" s="5">
        <f t="shared" si="46"/>
        <v>0.615071989621085</v>
      </c>
      <c r="AK296" s="5">
        <f t="shared" si="47"/>
        <v>-1.0102483916673928</v>
      </c>
      <c r="AL296" s="5">
        <f t="shared" si="48"/>
        <v>0.49745096384360438</v>
      </c>
      <c r="AM296" s="10">
        <f t="shared" si="49"/>
        <v>-1.4653947040635395E-3</v>
      </c>
    </row>
    <row r="297" spans="1:39" x14ac:dyDescent="0.3">
      <c r="A297">
        <v>302</v>
      </c>
      <c r="B297" t="s">
        <v>388</v>
      </c>
      <c r="C297" t="s">
        <v>58</v>
      </c>
      <c r="D297" s="1">
        <v>41241</v>
      </c>
      <c r="E297">
        <v>0</v>
      </c>
      <c r="F297" t="s">
        <v>389</v>
      </c>
      <c r="G297" s="4">
        <v>-261.61599999999999</v>
      </c>
      <c r="H297" s="4">
        <v>-247.71600000000001</v>
      </c>
      <c r="I297" s="4">
        <v>0.318</v>
      </c>
      <c r="J297" s="4">
        <v>-597.18100000000004</v>
      </c>
      <c r="K297" s="4">
        <v>401.47399999999999</v>
      </c>
      <c r="L297" s="4">
        <v>0</v>
      </c>
      <c r="M297" s="4">
        <v>995.05799999999999</v>
      </c>
      <c r="N297" s="4">
        <v>-593.58399999999995</v>
      </c>
      <c r="O297" s="4">
        <v>-249.50700000000001</v>
      </c>
      <c r="P297" s="4">
        <v>19.504000000000001</v>
      </c>
      <c r="Q297" s="4">
        <v>11.558999999999999</v>
      </c>
      <c r="R297" s="4">
        <v>1.7909999999999999</v>
      </c>
      <c r="S297" s="4">
        <v>988.63599999999997</v>
      </c>
      <c r="T297" s="4">
        <v>1006.617</v>
      </c>
      <c r="U297" s="4">
        <v>423.14299999999997</v>
      </c>
      <c r="V297" s="4">
        <v>666.77800000000002</v>
      </c>
      <c r="W297" s="4">
        <v>934.17200000000003</v>
      </c>
      <c r="X297" s="4">
        <v>760.43200000000002</v>
      </c>
      <c r="Y297">
        <v>-1.4112983081369701</v>
      </c>
      <c r="Z297">
        <v>696.13125000000002</v>
      </c>
      <c r="AA297" t="s">
        <v>32</v>
      </c>
      <c r="AB297">
        <v>1</v>
      </c>
      <c r="AC297" t="s">
        <v>33</v>
      </c>
      <c r="AD297" s="5">
        <f t="shared" si="40"/>
        <v>-0.48006415143849873</v>
      </c>
      <c r="AE297" s="5">
        <f t="shared" si="41"/>
        <v>-778.98113207547169</v>
      </c>
      <c r="AF297" s="5">
        <f t="shared" si="42"/>
        <v>1.7952610521071765E-3</v>
      </c>
      <c r="AG297" s="5">
        <f t="shared" si="43"/>
        <v>-1.4027976357874288</v>
      </c>
      <c r="AH297" s="5">
        <f t="shared" si="44"/>
        <v>0.42036146816515119</v>
      </c>
      <c r="AI297" s="5">
        <f t="shared" si="45"/>
        <v>-30.618385972108285</v>
      </c>
      <c r="AJ297" s="5">
        <f t="shared" si="46"/>
        <v>0.4034679385523256</v>
      </c>
      <c r="AK297" s="5">
        <f t="shared" si="47"/>
        <v>-1.4112983081369657</v>
      </c>
      <c r="AL297" s="5">
        <f t="shared" si="48"/>
        <v>0.39883490940447064</v>
      </c>
      <c r="AM297" s="10">
        <f t="shared" si="49"/>
        <v>-5.357287258416669E-4</v>
      </c>
    </row>
    <row r="298" spans="1:39" x14ac:dyDescent="0.3">
      <c r="A298">
        <v>304</v>
      </c>
      <c r="B298" t="s">
        <v>392</v>
      </c>
      <c r="C298" t="s">
        <v>143</v>
      </c>
      <c r="D298" s="1">
        <v>42101</v>
      </c>
      <c r="E298">
        <v>6</v>
      </c>
      <c r="F298" t="s">
        <v>393</v>
      </c>
      <c r="G298" s="4">
        <v>-0.52900000000000003</v>
      </c>
      <c r="H298" s="4">
        <v>8.5030000000000001</v>
      </c>
      <c r="I298" s="4">
        <v>636.95299999999997</v>
      </c>
      <c r="J298" s="4">
        <v>8.7989999999999995</v>
      </c>
      <c r="K298" s="4">
        <v>396.233</v>
      </c>
      <c r="L298" s="4">
        <v>0</v>
      </c>
      <c r="M298" s="4">
        <v>400.27100000000002</v>
      </c>
      <c r="N298" s="4">
        <v>-4.0380000000000003</v>
      </c>
      <c r="O298" s="4">
        <v>2.5840000000000001</v>
      </c>
      <c r="P298" s="4">
        <v>13.555999999999999</v>
      </c>
      <c r="Q298" s="4">
        <v>0</v>
      </c>
      <c r="R298" s="4">
        <v>1.4610000000000001</v>
      </c>
      <c r="S298" s="4">
        <v>177.876</v>
      </c>
      <c r="T298" s="4">
        <v>400.27100000000002</v>
      </c>
      <c r="U298" s="4">
        <v>409.78899999999999</v>
      </c>
      <c r="V298" s="4">
        <v>197.71199999999999</v>
      </c>
      <c r="W298" s="4">
        <v>60.895000000000003</v>
      </c>
      <c r="X298" s="4">
        <v>40.848999999999997</v>
      </c>
      <c r="Y298">
        <v>2.1472025847448301E-2</v>
      </c>
      <c r="Z298">
        <v>177.31125</v>
      </c>
      <c r="AA298" t="s">
        <v>32</v>
      </c>
      <c r="AB298">
        <v>1</v>
      </c>
      <c r="AC298" t="s">
        <v>33</v>
      </c>
      <c r="AD298" s="5">
        <f t="shared" si="40"/>
        <v>-1.7415609192412854E-3</v>
      </c>
      <c r="AE298" s="5">
        <f t="shared" si="41"/>
        <v>1.3349493604708669E-2</v>
      </c>
      <c r="AF298" s="5">
        <f t="shared" si="42"/>
        <v>5.0540779421150671E-3</v>
      </c>
      <c r="AG298" s="5">
        <f t="shared" si="43"/>
        <v>-9.8538516163196189E-3</v>
      </c>
      <c r="AH298" s="5">
        <f t="shared" si="44"/>
        <v>1.0237788898021589</v>
      </c>
      <c r="AI298" s="5">
        <f t="shared" si="45"/>
        <v>0.64908527589259368</v>
      </c>
      <c r="AJ298" s="5">
        <f t="shared" si="46"/>
        <v>0.98991183473196909</v>
      </c>
      <c r="AK298" s="5">
        <f t="shared" si="47"/>
        <v>2.1472025847448322E-2</v>
      </c>
      <c r="AL298" s="5">
        <f t="shared" si="48"/>
        <v>0.98991183473196909</v>
      </c>
      <c r="AM298" s="10">
        <f t="shared" si="49"/>
        <v>-157.73972263496779</v>
      </c>
    </row>
    <row r="299" spans="1:39" x14ac:dyDescent="0.3">
      <c r="A299">
        <v>311</v>
      </c>
      <c r="B299" t="s">
        <v>398</v>
      </c>
      <c r="C299" t="s">
        <v>42</v>
      </c>
      <c r="D299" s="1">
        <v>40623</v>
      </c>
      <c r="E299">
        <v>11</v>
      </c>
      <c r="F299" t="s">
        <v>399</v>
      </c>
      <c r="G299" s="4">
        <v>1.9750000000000001</v>
      </c>
      <c r="H299" s="4">
        <v>30.48</v>
      </c>
      <c r="I299" s="4">
        <v>732.18399999999997</v>
      </c>
      <c r="J299" s="4">
        <v>12.292999999999999</v>
      </c>
      <c r="K299" s="4">
        <v>338.96699999999998</v>
      </c>
      <c r="L299" s="4">
        <v>137.80799999999999</v>
      </c>
      <c r="M299" s="4">
        <v>239.94499999999999</v>
      </c>
      <c r="N299" s="4">
        <v>99.022000000000006</v>
      </c>
      <c r="O299" s="4">
        <v>14.093999999999999</v>
      </c>
      <c r="P299" s="4">
        <v>42.238</v>
      </c>
      <c r="Q299" s="4">
        <v>103.325</v>
      </c>
      <c r="R299" s="4">
        <v>5.1950000000000003</v>
      </c>
      <c r="S299" s="4">
        <v>231.65700000000001</v>
      </c>
      <c r="T299" s="4">
        <v>343.27</v>
      </c>
      <c r="U299" s="4">
        <v>387.40600000000001</v>
      </c>
      <c r="V299" s="4">
        <v>282.15699999999998</v>
      </c>
      <c r="W299" s="4">
        <v>275.07</v>
      </c>
      <c r="X299" s="4">
        <v>240.096</v>
      </c>
      <c r="Y299">
        <v>3.1731568432084203E-2</v>
      </c>
      <c r="Z299">
        <v>296.18225000000001</v>
      </c>
      <c r="AA299" t="s">
        <v>32</v>
      </c>
      <c r="AB299">
        <v>1</v>
      </c>
      <c r="AC299" t="s">
        <v>33</v>
      </c>
      <c r="AD299" s="5">
        <f t="shared" si="40"/>
        <v>5.8993701862259419E-3</v>
      </c>
      <c r="AE299" s="5">
        <f t="shared" si="41"/>
        <v>4.1628880172197152E-2</v>
      </c>
      <c r="AF299" s="5">
        <f t="shared" si="42"/>
        <v>1.8071859557822124E-2</v>
      </c>
      <c r="AG299" s="5">
        <f t="shared" si="43"/>
        <v>0.25560264941689081</v>
      </c>
      <c r="AH299" s="5">
        <f t="shared" si="44"/>
        <v>1.1285751740612346</v>
      </c>
      <c r="AI299" s="5">
        <f t="shared" si="45"/>
        <v>0.29104124248307212</v>
      </c>
      <c r="AJ299" s="5">
        <f t="shared" si="46"/>
        <v>1.4126862405968035</v>
      </c>
      <c r="AK299" s="5">
        <f t="shared" si="47"/>
        <v>3.1731568432084169E-2</v>
      </c>
      <c r="AL299" s="5">
        <f t="shared" si="48"/>
        <v>0.98746467795030157</v>
      </c>
      <c r="AM299" s="10">
        <f t="shared" si="49"/>
        <v>7.3941548342792505</v>
      </c>
    </row>
    <row r="300" spans="1:39" x14ac:dyDescent="0.3">
      <c r="A300">
        <v>318</v>
      </c>
      <c r="B300" t="s">
        <v>404</v>
      </c>
      <c r="C300" t="s">
        <v>45</v>
      </c>
      <c r="D300" s="1">
        <v>39583</v>
      </c>
      <c r="E300">
        <v>5</v>
      </c>
      <c r="F300" t="s">
        <v>405</v>
      </c>
      <c r="G300" s="4">
        <v>-171.62899999999999</v>
      </c>
      <c r="H300" s="4">
        <v>-160.273</v>
      </c>
      <c r="I300" s="4">
        <v>352.87</v>
      </c>
      <c r="J300" s="4">
        <v>-136.31200000000001</v>
      </c>
      <c r="K300" s="4">
        <v>346.18200000000002</v>
      </c>
      <c r="L300" s="4">
        <v>19.190999999999999</v>
      </c>
      <c r="M300" s="4">
        <v>282.73700000000002</v>
      </c>
      <c r="N300" s="4">
        <v>63.445</v>
      </c>
      <c r="O300" s="4">
        <v>-170.19</v>
      </c>
      <c r="P300" s="4">
        <v>8.3360000000000003</v>
      </c>
      <c r="Q300" s="4">
        <v>46.033999999999999</v>
      </c>
      <c r="R300" s="4">
        <v>10.709</v>
      </c>
      <c r="S300" s="4">
        <v>315.05599999999998</v>
      </c>
      <c r="T300" s="4">
        <v>328.77100000000002</v>
      </c>
      <c r="U300" s="4">
        <v>355.995</v>
      </c>
      <c r="V300" s="4">
        <v>370.50299999999999</v>
      </c>
      <c r="W300" s="4">
        <v>279.75799999999998</v>
      </c>
      <c r="X300" s="4">
        <v>253.357</v>
      </c>
      <c r="Y300">
        <v>-0.38290425427323399</v>
      </c>
      <c r="Z300">
        <v>314.90325000000001</v>
      </c>
      <c r="AA300" t="s">
        <v>32</v>
      </c>
      <c r="AB300">
        <v>1</v>
      </c>
      <c r="AC300" t="s">
        <v>33</v>
      </c>
      <c r="AD300" s="5">
        <f t="shared" si="40"/>
        <v>-0.47248306258241585</v>
      </c>
      <c r="AE300" s="5">
        <f t="shared" si="41"/>
        <v>-0.45419843001672</v>
      </c>
      <c r="AF300" s="5">
        <f t="shared" si="42"/>
        <v>3.3266700526694282E-2</v>
      </c>
      <c r="AG300" s="5">
        <f t="shared" si="43"/>
        <v>0.17821879520779785</v>
      </c>
      <c r="AH300" s="5">
        <f t="shared" si="44"/>
        <v>1.0828053569201663</v>
      </c>
      <c r="AI300" s="5">
        <f t="shared" si="45"/>
        <v>-16.352207293666027</v>
      </c>
      <c r="AJ300" s="5">
        <f t="shared" si="46"/>
        <v>1.2243958166069526</v>
      </c>
      <c r="AK300" s="5">
        <f t="shared" si="47"/>
        <v>-0.38290425427323421</v>
      </c>
      <c r="AL300" s="5">
        <f t="shared" si="48"/>
        <v>1.052957833872209</v>
      </c>
      <c r="AM300" s="10">
        <f t="shared" si="49"/>
        <v>5.561825202931673</v>
      </c>
    </row>
    <row r="301" spans="1:39" x14ac:dyDescent="0.3">
      <c r="A301">
        <v>320</v>
      </c>
      <c r="B301" t="s">
        <v>406</v>
      </c>
      <c r="C301" t="s">
        <v>101</v>
      </c>
      <c r="D301" s="1">
        <v>38687</v>
      </c>
      <c r="E301">
        <v>0</v>
      </c>
      <c r="F301" t="s">
        <v>407</v>
      </c>
      <c r="G301" s="4">
        <v>-43.298000000000002</v>
      </c>
      <c r="H301" s="4">
        <v>-36.761000000000003</v>
      </c>
      <c r="I301" s="4">
        <v>295.83199999999999</v>
      </c>
      <c r="J301" s="4">
        <v>-313.57</v>
      </c>
      <c r="K301" s="4">
        <v>351.827</v>
      </c>
      <c r="L301" s="4">
        <v>0</v>
      </c>
      <c r="M301" s="4">
        <v>665.39700000000005</v>
      </c>
      <c r="N301" s="4">
        <v>-313.57</v>
      </c>
      <c r="O301" s="4">
        <v>-43.298000000000002</v>
      </c>
      <c r="P301" s="4">
        <v>0</v>
      </c>
      <c r="Q301" s="4">
        <v>0</v>
      </c>
      <c r="R301" s="4">
        <v>6.5369999999999999</v>
      </c>
      <c r="S301" s="4">
        <v>694.33500000000004</v>
      </c>
      <c r="T301" s="4">
        <v>665.39700000000005</v>
      </c>
      <c r="U301" s="4">
        <v>351.827</v>
      </c>
      <c r="V301" s="4">
        <v>426.42</v>
      </c>
      <c r="W301" s="4">
        <v>381.387</v>
      </c>
      <c r="X301" s="4">
        <v>564.48500000000001</v>
      </c>
      <c r="Y301">
        <v>-0.89126189860357496</v>
      </c>
      <c r="Z301">
        <v>431.02974999999998</v>
      </c>
      <c r="AA301" t="s">
        <v>32</v>
      </c>
      <c r="AB301">
        <v>1</v>
      </c>
      <c r="AC301" t="s">
        <v>33</v>
      </c>
      <c r="AD301" s="5">
        <f t="shared" si="40"/>
        <v>-0.11127058633056086</v>
      </c>
      <c r="AE301" s="5">
        <f t="shared" si="41"/>
        <v>-0.12426309527028856</v>
      </c>
      <c r="AF301" s="5">
        <f t="shared" si="42"/>
        <v>9.6151300403314773E-3</v>
      </c>
      <c r="AG301" s="5">
        <f t="shared" si="43"/>
        <v>-0.89126189860357508</v>
      </c>
      <c r="AH301" s="5">
        <f t="shared" si="44"/>
        <v>0.52874749961301293</v>
      </c>
      <c r="AI301" s="5" t="e">
        <f t="shared" si="45"/>
        <v>#DIV/0!</v>
      </c>
      <c r="AJ301" s="5">
        <f t="shared" si="46"/>
        <v>0.52874749961301293</v>
      </c>
      <c r="AK301" s="5">
        <f t="shared" si="47"/>
        <v>-0.89126189860357508</v>
      </c>
      <c r="AL301" s="5">
        <f t="shared" si="48"/>
        <v>0.52874749961301293</v>
      </c>
      <c r="AM301" s="10">
        <f t="shared" si="49"/>
        <v>-0.94343208852887717</v>
      </c>
    </row>
    <row r="302" spans="1:39" x14ac:dyDescent="0.3">
      <c r="A302">
        <v>327</v>
      </c>
      <c r="B302" t="s">
        <v>414</v>
      </c>
      <c r="C302" t="s">
        <v>101</v>
      </c>
      <c r="D302" s="1">
        <v>40631</v>
      </c>
      <c r="E302">
        <v>1</v>
      </c>
      <c r="F302" t="s">
        <v>415</v>
      </c>
      <c r="G302" s="4">
        <v>-0.24299999999999999</v>
      </c>
      <c r="H302" s="4">
        <v>11.946999999999999</v>
      </c>
      <c r="I302" s="4">
        <v>356.358</v>
      </c>
      <c r="J302" s="4">
        <v>34.716999999999999</v>
      </c>
      <c r="K302" s="4">
        <v>304.32100000000003</v>
      </c>
      <c r="L302" s="4">
        <v>0</v>
      </c>
      <c r="M302" s="4">
        <v>226.715</v>
      </c>
      <c r="N302" s="4">
        <v>77.605999999999995</v>
      </c>
      <c r="O302" s="4">
        <v>0.38900000000000001</v>
      </c>
      <c r="P302" s="4">
        <v>0.64500000000000002</v>
      </c>
      <c r="Q302" s="4">
        <v>0</v>
      </c>
      <c r="R302" s="4">
        <v>3.0369999999999999</v>
      </c>
      <c r="S302" s="4">
        <v>171.84899999999999</v>
      </c>
      <c r="T302" s="4">
        <v>226.715</v>
      </c>
      <c r="U302" s="4">
        <v>314.05200000000002</v>
      </c>
      <c r="V302" s="4">
        <v>249.05699999999999</v>
      </c>
      <c r="W302" s="4">
        <v>277.03100000000001</v>
      </c>
      <c r="X302" s="4">
        <v>244.65299999999999</v>
      </c>
      <c r="Y302">
        <v>0.110545387388076</v>
      </c>
      <c r="Z302">
        <v>271.19824999999997</v>
      </c>
      <c r="AA302" t="s">
        <v>32</v>
      </c>
      <c r="AB302">
        <v>1</v>
      </c>
      <c r="AC302" t="s">
        <v>33</v>
      </c>
      <c r="AD302" s="5">
        <f t="shared" si="40"/>
        <v>-8.6306558765709648E-4</v>
      </c>
      <c r="AE302" s="5">
        <f t="shared" si="41"/>
        <v>3.3525275144657897E-2</v>
      </c>
      <c r="AF302" s="5">
        <f t="shared" si="42"/>
        <v>1.5239710560913682E-2</v>
      </c>
      <c r="AG302" s="5">
        <f t="shared" si="43"/>
        <v>0.24711194324506766</v>
      </c>
      <c r="AH302" s="5">
        <f t="shared" si="44"/>
        <v>1.3852281498798051</v>
      </c>
      <c r="AI302" s="5">
        <f t="shared" si="45"/>
        <v>53.824806201550388</v>
      </c>
      <c r="AJ302" s="5">
        <f t="shared" si="46"/>
        <v>1.3423064199545687</v>
      </c>
      <c r="AK302" s="5">
        <f t="shared" si="47"/>
        <v>0.11054538738807584</v>
      </c>
      <c r="AL302" s="5">
        <f t="shared" si="48"/>
        <v>1.3423064199545687</v>
      </c>
      <c r="AM302" s="10">
        <f t="shared" si="49"/>
        <v>4.5918872252145455</v>
      </c>
    </row>
    <row r="303" spans="1:39" x14ac:dyDescent="0.3">
      <c r="A303">
        <v>350</v>
      </c>
      <c r="B303" t="s">
        <v>432</v>
      </c>
      <c r="C303" t="s">
        <v>101</v>
      </c>
      <c r="D303" s="1">
        <v>40165</v>
      </c>
      <c r="E303">
        <v>1</v>
      </c>
      <c r="F303" t="s">
        <v>433</v>
      </c>
      <c r="G303" s="4">
        <v>17.748999999999999</v>
      </c>
      <c r="H303" s="4">
        <v>25.253</v>
      </c>
      <c r="I303" s="4">
        <v>142.93199999999999</v>
      </c>
      <c r="J303" s="4">
        <v>-173.98099999999999</v>
      </c>
      <c r="K303" s="4">
        <v>191.84</v>
      </c>
      <c r="L303" s="4">
        <v>0</v>
      </c>
      <c r="M303" s="4">
        <v>289.584</v>
      </c>
      <c r="N303" s="4">
        <v>-97.744</v>
      </c>
      <c r="O303" s="4">
        <v>17.748999999999999</v>
      </c>
      <c r="P303" s="4">
        <v>20.350999999999999</v>
      </c>
      <c r="Q303" s="4">
        <v>112.08799999999999</v>
      </c>
      <c r="R303" s="4">
        <v>4.8550000000000004</v>
      </c>
      <c r="S303" s="4">
        <v>444.59300000000002</v>
      </c>
      <c r="T303" s="4">
        <v>401.67200000000003</v>
      </c>
      <c r="U303" s="4">
        <v>241.839</v>
      </c>
      <c r="V303" s="4">
        <v>264.44200000000001</v>
      </c>
      <c r="W303" s="4">
        <v>414.84100000000001</v>
      </c>
      <c r="X303" s="4">
        <v>394.536</v>
      </c>
      <c r="Y303">
        <v>-0.71940836672331598</v>
      </c>
      <c r="Z303">
        <v>328.91449999999998</v>
      </c>
      <c r="AA303" t="s">
        <v>32</v>
      </c>
      <c r="AB303">
        <v>1</v>
      </c>
      <c r="AC303" t="s">
        <v>33</v>
      </c>
      <c r="AD303" s="5">
        <f t="shared" si="40"/>
        <v>7.0115212698086626E-2</v>
      </c>
      <c r="AE303" s="5">
        <f t="shared" si="41"/>
        <v>0.176678420507654</v>
      </c>
      <c r="AF303" s="5">
        <f t="shared" si="42"/>
        <v>1.1473947286015609E-2</v>
      </c>
      <c r="AG303" s="5">
        <f t="shared" si="43"/>
        <v>-0.40416971621616032</v>
      </c>
      <c r="AH303" s="5">
        <f t="shared" si="44"/>
        <v>0.60208080224660909</v>
      </c>
      <c r="AI303" s="5">
        <f t="shared" si="45"/>
        <v>-8.5490147904279894</v>
      </c>
      <c r="AJ303" s="5">
        <f t="shared" si="46"/>
        <v>0.66246753964307425</v>
      </c>
      <c r="AK303" s="5">
        <f t="shared" si="47"/>
        <v>-0.71940836672331587</v>
      </c>
      <c r="AL303" s="5">
        <f t="shared" si="48"/>
        <v>0.4776036168814356</v>
      </c>
      <c r="AM303" s="10">
        <f t="shared" si="49"/>
        <v>-1.4623097069896873</v>
      </c>
    </row>
    <row r="304" spans="1:39" x14ac:dyDescent="0.3">
      <c r="A304">
        <v>364</v>
      </c>
      <c r="B304" t="s">
        <v>446</v>
      </c>
      <c r="C304" t="s">
        <v>58</v>
      </c>
      <c r="D304" s="1">
        <v>42030</v>
      </c>
      <c r="E304">
        <v>3</v>
      </c>
      <c r="F304" t="s">
        <v>447</v>
      </c>
      <c r="G304" s="4">
        <v>-126.627</v>
      </c>
      <c r="H304" s="4">
        <v>-96.201999999999998</v>
      </c>
      <c r="I304" s="4">
        <v>5.5750000000000002</v>
      </c>
      <c r="J304" s="4">
        <v>-541.92600000000004</v>
      </c>
      <c r="K304" s="4">
        <v>168.232</v>
      </c>
      <c r="L304" s="4">
        <v>0</v>
      </c>
      <c r="M304" s="4">
        <v>417.86</v>
      </c>
      <c r="N304" s="4">
        <v>-249.62799999999999</v>
      </c>
      <c r="O304" s="4">
        <v>-126.627</v>
      </c>
      <c r="P304" s="4">
        <v>19.683</v>
      </c>
      <c r="Q304" s="4">
        <v>311.98099999999999</v>
      </c>
      <c r="R304" s="4">
        <v>30.425000000000001</v>
      </c>
      <c r="S304" s="4">
        <v>865.86199999999997</v>
      </c>
      <c r="T304" s="4">
        <v>729.84100000000001</v>
      </c>
      <c r="U304" s="4">
        <v>187.91499999999999</v>
      </c>
      <c r="V304" s="4">
        <v>450.57499999999999</v>
      </c>
      <c r="W304" s="4">
        <v>720.13800000000003</v>
      </c>
      <c r="X304" s="4">
        <v>491.77600000000001</v>
      </c>
      <c r="Y304">
        <v>-2.8838889923635702</v>
      </c>
      <c r="Z304">
        <v>462.601</v>
      </c>
      <c r="AA304" t="s">
        <v>32</v>
      </c>
      <c r="AB304">
        <v>1</v>
      </c>
      <c r="AC304" t="s">
        <v>33</v>
      </c>
      <c r="AD304" s="5">
        <f t="shared" si="40"/>
        <v>-0.39664520979185264</v>
      </c>
      <c r="AE304" s="5">
        <f t="shared" si="41"/>
        <v>-17.255964125560538</v>
      </c>
      <c r="AF304" s="5">
        <f t="shared" si="42"/>
        <v>3.8133662717936861E-2</v>
      </c>
      <c r="AG304" s="5">
        <f t="shared" si="43"/>
        <v>-1.3284091211451987</v>
      </c>
      <c r="AH304" s="5">
        <f t="shared" si="44"/>
        <v>0.25747388814824052</v>
      </c>
      <c r="AI304" s="5">
        <f t="shared" si="45"/>
        <v>-27.532693187014178</v>
      </c>
      <c r="AJ304" s="5">
        <f t="shared" si="46"/>
        <v>0.40260374288039052</v>
      </c>
      <c r="AK304" s="5">
        <f t="shared" si="47"/>
        <v>-2.8838889923635689</v>
      </c>
      <c r="AL304" s="5">
        <f t="shared" si="48"/>
        <v>0.23050500040419764</v>
      </c>
      <c r="AM304" s="10">
        <f t="shared" si="49"/>
        <v>-2.2333231848991299E-2</v>
      </c>
    </row>
    <row r="305" spans="1:39" x14ac:dyDescent="0.3">
      <c r="A305">
        <v>365</v>
      </c>
      <c r="B305" t="s">
        <v>448</v>
      </c>
      <c r="C305" t="s">
        <v>101</v>
      </c>
      <c r="D305" s="1">
        <v>38796</v>
      </c>
      <c r="E305">
        <v>0</v>
      </c>
      <c r="F305" t="s">
        <v>449</v>
      </c>
      <c r="G305" s="4">
        <v>-137.53700000000001</v>
      </c>
      <c r="H305" s="4">
        <v>-137.33199999999999</v>
      </c>
      <c r="I305" s="4">
        <v>0.01</v>
      </c>
      <c r="J305" s="4">
        <v>-561.12</v>
      </c>
      <c r="K305" s="4">
        <v>177.245</v>
      </c>
      <c r="L305" s="4">
        <v>0</v>
      </c>
      <c r="M305" s="4">
        <v>253.33500000000001</v>
      </c>
      <c r="N305" s="4">
        <v>-76.09</v>
      </c>
      <c r="O305" s="4">
        <v>-137.53700000000001</v>
      </c>
      <c r="P305" s="4">
        <v>6.867</v>
      </c>
      <c r="Q305" s="4">
        <v>491.887</v>
      </c>
      <c r="R305" s="4">
        <v>0.20499999999999999</v>
      </c>
      <c r="S305" s="4">
        <v>752.91300000000001</v>
      </c>
      <c r="T305" s="4">
        <v>745.22199999999998</v>
      </c>
      <c r="U305" s="4">
        <v>184.11199999999999</v>
      </c>
      <c r="V305" s="4">
        <v>329.33499999999998</v>
      </c>
      <c r="W305" s="4">
        <v>517.89400000000001</v>
      </c>
      <c r="X305" s="4">
        <v>839.81500000000005</v>
      </c>
      <c r="Y305">
        <v>-3.0477100895107299</v>
      </c>
      <c r="Z305">
        <v>467.78899999999999</v>
      </c>
      <c r="AA305" t="s">
        <v>32</v>
      </c>
      <c r="AB305">
        <v>1</v>
      </c>
      <c r="AC305" t="s">
        <v>33</v>
      </c>
      <c r="AD305" s="5">
        <f t="shared" si="40"/>
        <v>-0.53573981345689037</v>
      </c>
      <c r="AE305" s="5">
        <f t="shared" si="41"/>
        <v>-13733.199999999999</v>
      </c>
      <c r="AF305" s="5">
        <f t="shared" si="42"/>
        <v>2.7367360084371565E-4</v>
      </c>
      <c r="AG305" s="5">
        <f t="shared" si="43"/>
        <v>-0.41328104631963158</v>
      </c>
      <c r="AH305" s="5">
        <f t="shared" si="44"/>
        <v>0.24705658179710208</v>
      </c>
      <c r="AI305" s="5">
        <f t="shared" si="45"/>
        <v>-81.712538226299699</v>
      </c>
      <c r="AJ305" s="5">
        <f t="shared" si="46"/>
        <v>0.69964671285057334</v>
      </c>
      <c r="AK305" s="5">
        <f t="shared" si="47"/>
        <v>-3.0477100895107325</v>
      </c>
      <c r="AL305" s="5">
        <f t="shared" si="48"/>
        <v>0.23784187799071957</v>
      </c>
      <c r="AM305" s="10">
        <f t="shared" si="49"/>
        <v>-1.3142331449599159E-4</v>
      </c>
    </row>
    <row r="306" spans="1:39" x14ac:dyDescent="0.3">
      <c r="A306">
        <v>366</v>
      </c>
      <c r="B306" t="s">
        <v>450</v>
      </c>
      <c r="C306" t="s">
        <v>45</v>
      </c>
      <c r="D306" s="1">
        <v>39434</v>
      </c>
      <c r="E306">
        <v>0</v>
      </c>
      <c r="F306" t="s">
        <v>451</v>
      </c>
      <c r="G306" s="4">
        <v>11.278</v>
      </c>
      <c r="H306" s="4">
        <v>18.577000000000002</v>
      </c>
      <c r="I306" s="4">
        <v>1.2250000000000001</v>
      </c>
      <c r="J306" s="4">
        <v>-16.611000000000001</v>
      </c>
      <c r="K306" s="4">
        <v>126.339</v>
      </c>
      <c r="L306" s="4">
        <v>0</v>
      </c>
      <c r="M306" s="4">
        <v>198.00399999999999</v>
      </c>
      <c r="N306" s="4">
        <v>-71.665000000000006</v>
      </c>
      <c r="O306" s="4">
        <v>12.619</v>
      </c>
      <c r="P306" s="4">
        <v>55.054000000000002</v>
      </c>
      <c r="Q306" s="4">
        <v>0</v>
      </c>
      <c r="R306" s="4">
        <v>0</v>
      </c>
      <c r="S306" s="4">
        <v>215.77</v>
      </c>
      <c r="T306" s="4">
        <v>198.00399999999999</v>
      </c>
      <c r="U306" s="4">
        <v>181.393</v>
      </c>
      <c r="V306" s="4">
        <v>187.87899999999999</v>
      </c>
      <c r="W306" s="4">
        <v>193.71</v>
      </c>
      <c r="X306" s="4">
        <v>207.24100000000001</v>
      </c>
      <c r="Y306">
        <v>-9.1574647312740801E-2</v>
      </c>
      <c r="Z306">
        <v>192.55574999999999</v>
      </c>
      <c r="AA306" t="s">
        <v>32</v>
      </c>
      <c r="AB306">
        <v>1</v>
      </c>
      <c r="AC306" t="s">
        <v>33</v>
      </c>
      <c r="AD306" s="5">
        <f t="shared" si="40"/>
        <v>6.1082345804718476E-2</v>
      </c>
      <c r="AE306" s="5">
        <f t="shared" si="41"/>
        <v>15.164897959183675</v>
      </c>
      <c r="AF306" s="5">
        <f t="shared" si="42"/>
        <v>0</v>
      </c>
      <c r="AG306" s="5">
        <f t="shared" si="43"/>
        <v>-0.39508139784886964</v>
      </c>
      <c r="AH306" s="5">
        <f t="shared" si="44"/>
        <v>0.9161077553988809</v>
      </c>
      <c r="AI306" s="5">
        <f t="shared" si="45"/>
        <v>-0.30172194572601446</v>
      </c>
      <c r="AJ306" s="5">
        <f t="shared" si="46"/>
        <v>0.63806286741681983</v>
      </c>
      <c r="AK306" s="5">
        <f t="shared" si="47"/>
        <v>-9.1574647312740842E-2</v>
      </c>
      <c r="AL306" s="5">
        <f t="shared" si="48"/>
        <v>0.63806286741681983</v>
      </c>
      <c r="AM306" s="10">
        <f t="shared" si="49"/>
        <v>-1.7093420777227378E-2</v>
      </c>
    </row>
    <row r="307" spans="1:39" x14ac:dyDescent="0.3">
      <c r="A307">
        <v>372</v>
      </c>
      <c r="B307" t="s">
        <v>454</v>
      </c>
      <c r="C307" t="s">
        <v>101</v>
      </c>
      <c r="D307" s="1">
        <v>41851</v>
      </c>
      <c r="E307">
        <v>1</v>
      </c>
      <c r="F307" t="s">
        <v>455</v>
      </c>
      <c r="G307" s="4">
        <v>-46.720999999999997</v>
      </c>
      <c r="H307" s="4">
        <v>-38.899000000000001</v>
      </c>
      <c r="I307" s="4">
        <v>262.26900000000001</v>
      </c>
      <c r="J307" s="4">
        <v>-148.44900000000001</v>
      </c>
      <c r="K307" s="4">
        <v>153.952</v>
      </c>
      <c r="L307" s="4">
        <v>0</v>
      </c>
      <c r="M307" s="4">
        <v>287.86700000000002</v>
      </c>
      <c r="N307" s="4">
        <v>-133.91499999999999</v>
      </c>
      <c r="O307" s="4">
        <v>-39.628</v>
      </c>
      <c r="P307" s="4">
        <v>10.465999999999999</v>
      </c>
      <c r="Q307" s="4">
        <v>25</v>
      </c>
      <c r="R307" s="4">
        <v>0.69199999999999995</v>
      </c>
      <c r="S307" s="4">
        <v>277.23399999999998</v>
      </c>
      <c r="T307" s="4">
        <v>312.86700000000002</v>
      </c>
      <c r="U307" s="4">
        <v>164.41800000000001</v>
      </c>
      <c r="V307" s="4">
        <v>186.35</v>
      </c>
      <c r="W307" s="4">
        <v>393.58800000000002</v>
      </c>
      <c r="X307" s="4">
        <v>164.239</v>
      </c>
      <c r="Y307">
        <v>-0.90287559756231095</v>
      </c>
      <c r="Z307">
        <v>227.14875000000001</v>
      </c>
      <c r="AA307" t="s">
        <v>32</v>
      </c>
      <c r="AB307">
        <v>1</v>
      </c>
      <c r="AC307" t="s">
        <v>33</v>
      </c>
      <c r="AD307" s="5">
        <f t="shared" si="40"/>
        <v>-0.26639260137754867</v>
      </c>
      <c r="AE307" s="5">
        <f t="shared" si="41"/>
        <v>-0.14831718579016201</v>
      </c>
      <c r="AF307" s="5">
        <f t="shared" si="42"/>
        <v>2.3453612178254229E-3</v>
      </c>
      <c r="AG307" s="5">
        <f t="shared" si="43"/>
        <v>-0.81447894999330961</v>
      </c>
      <c r="AH307" s="5">
        <f t="shared" si="44"/>
        <v>0.52552042880840744</v>
      </c>
      <c r="AI307" s="5">
        <f t="shared" si="45"/>
        <v>-14.183928912669598</v>
      </c>
      <c r="AJ307" s="5">
        <f t="shared" si="46"/>
        <v>0.53480253033518943</v>
      </c>
      <c r="AK307" s="5">
        <f t="shared" si="47"/>
        <v>-0.90287559756231073</v>
      </c>
      <c r="AL307" s="5">
        <f t="shared" si="48"/>
        <v>0.49206851473629365</v>
      </c>
      <c r="AM307" s="10">
        <f t="shared" si="49"/>
        <v>-1.9584736586640781</v>
      </c>
    </row>
    <row r="308" spans="1:39" x14ac:dyDescent="0.3">
      <c r="A308">
        <v>377</v>
      </c>
      <c r="B308" t="s">
        <v>460</v>
      </c>
      <c r="C308" t="s">
        <v>58</v>
      </c>
      <c r="D308" s="1">
        <v>38068</v>
      </c>
      <c r="E308">
        <v>3</v>
      </c>
      <c r="F308" t="s">
        <v>461</v>
      </c>
      <c r="G308" s="4">
        <v>14.819000000000001</v>
      </c>
      <c r="H308" s="4">
        <v>53.723999999999997</v>
      </c>
      <c r="I308" s="4">
        <v>295.37700000000001</v>
      </c>
      <c r="J308" s="4">
        <v>-162.042</v>
      </c>
      <c r="K308" s="4">
        <v>133.93299999999999</v>
      </c>
      <c r="L308" s="4">
        <v>27.628</v>
      </c>
      <c r="M308" s="4">
        <v>207.89699999999999</v>
      </c>
      <c r="N308" s="4">
        <v>-73.963999999999999</v>
      </c>
      <c r="O308" s="4">
        <v>15.486000000000001</v>
      </c>
      <c r="P308" s="4">
        <v>0.79100000000000004</v>
      </c>
      <c r="Q308" s="4">
        <v>0</v>
      </c>
      <c r="R308" s="4">
        <v>0</v>
      </c>
      <c r="S308" s="4">
        <v>229.08799999999999</v>
      </c>
      <c r="T308" s="4">
        <v>207.89699999999999</v>
      </c>
      <c r="U308" s="4">
        <v>136.66300000000001</v>
      </c>
      <c r="V308" s="4">
        <v>148.24199999999999</v>
      </c>
      <c r="W308" s="4">
        <v>202.08099999999999</v>
      </c>
      <c r="X308" s="4">
        <v>218.619</v>
      </c>
      <c r="Y308">
        <v>-1.18570498232879</v>
      </c>
      <c r="Z308">
        <v>176.40125</v>
      </c>
      <c r="AA308" t="s">
        <v>32</v>
      </c>
      <c r="AB308">
        <v>1</v>
      </c>
      <c r="AC308" t="s">
        <v>33</v>
      </c>
      <c r="AD308" s="5">
        <f t="shared" si="40"/>
        <v>0.10402765834225446</v>
      </c>
      <c r="AE308" s="5">
        <f t="shared" si="41"/>
        <v>0.1818828141663027</v>
      </c>
      <c r="AF308" s="5">
        <f t="shared" si="42"/>
        <v>0</v>
      </c>
      <c r="AG308" s="5">
        <f t="shared" si="43"/>
        <v>-0.54121452038957141</v>
      </c>
      <c r="AH308" s="5">
        <f t="shared" si="44"/>
        <v>0.65735917305204028</v>
      </c>
      <c r="AI308" s="5">
        <f t="shared" si="45"/>
        <v>-204.85714285714286</v>
      </c>
      <c r="AJ308" s="5">
        <f t="shared" si="46"/>
        <v>0.64422767043295481</v>
      </c>
      <c r="AK308" s="5">
        <f t="shared" si="47"/>
        <v>-1.1857049823287942</v>
      </c>
      <c r="AL308" s="5">
        <f t="shared" si="48"/>
        <v>0.64422767043295481</v>
      </c>
      <c r="AM308" s="10">
        <f t="shared" si="49"/>
        <v>-3.9935238764804502</v>
      </c>
    </row>
    <row r="309" spans="1:39" x14ac:dyDescent="0.3">
      <c r="A309">
        <v>383</v>
      </c>
      <c r="B309" t="s">
        <v>462</v>
      </c>
      <c r="C309" t="s">
        <v>58</v>
      </c>
      <c r="D309" s="1">
        <v>37179</v>
      </c>
      <c r="E309">
        <v>0</v>
      </c>
      <c r="F309" t="s">
        <v>463</v>
      </c>
      <c r="G309" s="4">
        <v>-12.157</v>
      </c>
      <c r="H309" s="4">
        <v>-0.40500000000000003</v>
      </c>
      <c r="I309" s="4">
        <v>10.583</v>
      </c>
      <c r="J309" s="4">
        <v>-1086.5039999999999</v>
      </c>
      <c r="K309" s="4">
        <v>106.949</v>
      </c>
      <c r="L309" s="4">
        <v>106.313</v>
      </c>
      <c r="M309" s="4">
        <v>957.91099999999994</v>
      </c>
      <c r="N309" s="4">
        <v>-850.96199999999999</v>
      </c>
      <c r="O309" s="4">
        <v>-12.157</v>
      </c>
      <c r="P309" s="4">
        <v>3.1219999999999999</v>
      </c>
      <c r="Q309" s="4">
        <v>170.38399999999999</v>
      </c>
      <c r="R309" s="4">
        <v>11.651</v>
      </c>
      <c r="S309" s="4">
        <v>1099.721</v>
      </c>
      <c r="T309" s="4">
        <v>1128.2950000000001</v>
      </c>
      <c r="U309" s="4">
        <v>110.212</v>
      </c>
      <c r="V309" s="4">
        <v>123.396</v>
      </c>
      <c r="W309" s="4">
        <v>192.56200000000001</v>
      </c>
      <c r="X309" s="4">
        <v>1400.5940000000001</v>
      </c>
      <c r="Y309">
        <v>-9.8583094399883908</v>
      </c>
      <c r="Z309">
        <v>456.69099999999997</v>
      </c>
      <c r="AA309" t="s">
        <v>32</v>
      </c>
      <c r="AB309">
        <v>1</v>
      </c>
      <c r="AC309" t="s">
        <v>33</v>
      </c>
      <c r="AD309" s="5">
        <f t="shared" si="40"/>
        <v>-0.10408033971439334</v>
      </c>
      <c r="AE309" s="5">
        <f t="shared" si="41"/>
        <v>-3.8268921855806486E-2</v>
      </c>
      <c r="AF309" s="5">
        <f t="shared" si="42"/>
        <v>1.0458632253987403E-2</v>
      </c>
      <c r="AG309" s="5">
        <f t="shared" si="43"/>
        <v>-7.7211374441984537</v>
      </c>
      <c r="AH309" s="5">
        <f t="shared" si="44"/>
        <v>9.7680127980714265E-2</v>
      </c>
      <c r="AI309" s="5">
        <f t="shared" si="45"/>
        <v>-348.01537475976937</v>
      </c>
      <c r="AJ309" s="5">
        <f t="shared" si="46"/>
        <v>0.11164815938015119</v>
      </c>
      <c r="AK309" s="5">
        <f t="shared" si="47"/>
        <v>-9.8583094399883855</v>
      </c>
      <c r="AL309" s="5">
        <f t="shared" si="48"/>
        <v>9.4788153807293302E-2</v>
      </c>
      <c r="AM309" s="10">
        <f t="shared" si="49"/>
        <v>-1.2436513028783895E-2</v>
      </c>
    </row>
    <row r="310" spans="1:39" x14ac:dyDescent="0.3">
      <c r="A310">
        <v>7</v>
      </c>
      <c r="B310" t="s">
        <v>50</v>
      </c>
      <c r="C310" t="s">
        <v>51</v>
      </c>
      <c r="D310" s="1">
        <v>35136</v>
      </c>
      <c r="E310">
        <v>0</v>
      </c>
      <c r="F310" t="s">
        <v>52</v>
      </c>
      <c r="G310" s="4">
        <v>-57.978999999999999</v>
      </c>
      <c r="H310" s="4">
        <v>-7.95</v>
      </c>
      <c r="I310" s="4">
        <v>207.65899999999999</v>
      </c>
      <c r="J310" s="4">
        <v>-291.01900000000001</v>
      </c>
      <c r="K310" s="4">
        <v>32933.798999999999</v>
      </c>
      <c r="L310" s="4">
        <v>29679.904999999999</v>
      </c>
      <c r="M310" s="4">
        <v>11826.547</v>
      </c>
      <c r="N310" s="4">
        <v>21107.252</v>
      </c>
      <c r="O310" s="4">
        <v>-57.679000000000002</v>
      </c>
      <c r="P310" s="4">
        <v>0.93100000000000005</v>
      </c>
      <c r="Q310" s="4">
        <v>20475.47</v>
      </c>
      <c r="R310" s="4">
        <v>49.048999999999999</v>
      </c>
      <c r="S310" s="4">
        <v>32174.789000000001</v>
      </c>
      <c r="T310" s="4">
        <v>32302.017</v>
      </c>
      <c r="U310" s="4">
        <v>32934.730000000003</v>
      </c>
      <c r="V310" s="4">
        <v>32865.483999999997</v>
      </c>
      <c r="W310" s="4">
        <v>33359.247000000003</v>
      </c>
      <c r="X310" s="4">
        <v>32747.284</v>
      </c>
      <c r="Y310">
        <v>-8.8362345766915297E-3</v>
      </c>
      <c r="Z310">
        <v>32976.686249999999</v>
      </c>
      <c r="AA310" t="s">
        <v>53</v>
      </c>
      <c r="AB310">
        <v>4</v>
      </c>
      <c r="AC310" t="s">
        <v>33</v>
      </c>
      <c r="AD310" s="5">
        <f t="shared" si="40"/>
        <v>-1.7622739038508292E-3</v>
      </c>
      <c r="AE310" s="5">
        <f t="shared" si="41"/>
        <v>-3.8283917383787849E-2</v>
      </c>
      <c r="AF310" s="5">
        <f t="shared" si="42"/>
        <v>1.5214463321895938E-3</v>
      </c>
      <c r="AG310" s="5">
        <f t="shared" si="43"/>
        <v>0.64088128246383069</v>
      </c>
      <c r="AH310" s="5">
        <f t="shared" si="44"/>
        <v>1.0195874146187218</v>
      </c>
      <c r="AI310" s="5">
        <f t="shared" si="45"/>
        <v>-312.5875402792696</v>
      </c>
      <c r="AJ310" s="5">
        <f t="shared" si="46"/>
        <v>2.7847349695562023</v>
      </c>
      <c r="AK310" s="5">
        <f t="shared" si="47"/>
        <v>-8.8362345766915349E-3</v>
      </c>
      <c r="AL310" s="5">
        <f t="shared" si="48"/>
        <v>1.0195585928891067</v>
      </c>
      <c r="AM310" s="10">
        <f t="shared" si="49"/>
        <v>9.8382773844743025E-3</v>
      </c>
    </row>
    <row r="311" spans="1:39" x14ac:dyDescent="0.3">
      <c r="A311">
        <v>9</v>
      </c>
      <c r="B311" t="s">
        <v>54</v>
      </c>
      <c r="C311" t="s">
        <v>55</v>
      </c>
      <c r="D311" s="1">
        <v>39401</v>
      </c>
      <c r="E311">
        <v>373</v>
      </c>
      <c r="F311" t="s">
        <v>56</v>
      </c>
      <c r="G311" s="4">
        <v>-1802.8130000000001</v>
      </c>
      <c r="H311" s="4">
        <v>-1441.1120000000001</v>
      </c>
      <c r="I311" s="4">
        <v>17660.198</v>
      </c>
      <c r="J311" s="4">
        <v>6991.9620000000004</v>
      </c>
      <c r="K311" s="4">
        <v>26438.055</v>
      </c>
      <c r="L311" s="4">
        <v>4251.6310000000003</v>
      </c>
      <c r="M311" s="4">
        <v>17894.087</v>
      </c>
      <c r="N311" s="4">
        <v>8543.9680000000008</v>
      </c>
      <c r="O311" s="4">
        <v>-1549.482</v>
      </c>
      <c r="P311" s="4">
        <v>1273.665</v>
      </c>
      <c r="Q311" s="4">
        <v>2925.6990000000001</v>
      </c>
      <c r="R311" s="4">
        <v>108.37</v>
      </c>
      <c r="S311" s="4">
        <v>9370.5679999999993</v>
      </c>
      <c r="T311" s="4">
        <v>20819.786</v>
      </c>
      <c r="U311" s="4">
        <v>28428.225999999999</v>
      </c>
      <c r="V311" s="4">
        <v>23474.704000000002</v>
      </c>
      <c r="W311" s="4">
        <v>18142.018</v>
      </c>
      <c r="X311" s="4">
        <v>22351.746999999999</v>
      </c>
      <c r="Y311">
        <v>0.245951400555209</v>
      </c>
      <c r="Z311">
        <v>23099.173750000002</v>
      </c>
      <c r="AA311" t="s">
        <v>53</v>
      </c>
      <c r="AB311">
        <v>4</v>
      </c>
      <c r="AC311" t="s">
        <v>33</v>
      </c>
      <c r="AD311" s="5">
        <f t="shared" si="40"/>
        <v>-6.9468640787716612E-2</v>
      </c>
      <c r="AE311" s="5">
        <f t="shared" si="41"/>
        <v>-8.1602256101545409E-2</v>
      </c>
      <c r="AF311" s="5">
        <f t="shared" si="42"/>
        <v>7.1791142296642168E-3</v>
      </c>
      <c r="AG311" s="5">
        <f t="shared" si="43"/>
        <v>0.30054523979090364</v>
      </c>
      <c r="AH311" s="5">
        <f t="shared" si="44"/>
        <v>1.3654427571926051</v>
      </c>
      <c r="AI311" s="5">
        <f t="shared" si="45"/>
        <v>5.489639740434102</v>
      </c>
      <c r="AJ311" s="5">
        <f t="shared" si="46"/>
        <v>1.4774743746355989</v>
      </c>
      <c r="AK311" s="5">
        <f t="shared" si="47"/>
        <v>0.24595140055520878</v>
      </c>
      <c r="AL311" s="5">
        <f t="shared" si="48"/>
        <v>1.2698523894529943</v>
      </c>
      <c r="AM311" s="10">
        <f t="shared" si="49"/>
        <v>2.0669784811928134</v>
      </c>
    </row>
    <row r="312" spans="1:39" x14ac:dyDescent="0.3">
      <c r="A312">
        <v>14</v>
      </c>
      <c r="B312" t="s">
        <v>63</v>
      </c>
      <c r="C312" t="s">
        <v>55</v>
      </c>
      <c r="D312" s="1">
        <v>41596</v>
      </c>
      <c r="E312">
        <v>0</v>
      </c>
      <c r="F312" t="s">
        <v>64</v>
      </c>
      <c r="G312" s="4">
        <v>-42.136000000000003</v>
      </c>
      <c r="H312" s="4">
        <v>-42.136000000000003</v>
      </c>
      <c r="I312" s="4">
        <v>0.03</v>
      </c>
      <c r="J312" s="4">
        <v>1006.471</v>
      </c>
      <c r="K312" s="4">
        <v>16049.097</v>
      </c>
      <c r="L312" s="4">
        <v>15917.754000000001</v>
      </c>
      <c r="M312" s="4">
        <v>15031.808999999999</v>
      </c>
      <c r="N312" s="4">
        <v>1017.288</v>
      </c>
      <c r="O312" s="4">
        <v>-42.136000000000003</v>
      </c>
      <c r="P312" s="4">
        <v>0</v>
      </c>
      <c r="Q312" s="4">
        <v>0</v>
      </c>
      <c r="R312" s="4">
        <v>0</v>
      </c>
      <c r="S312" s="4">
        <v>14992.51</v>
      </c>
      <c r="T312" s="4">
        <v>15031.808999999999</v>
      </c>
      <c r="U312" s="4">
        <v>16049.097</v>
      </c>
      <c r="V312" s="4">
        <v>16051.862999999999</v>
      </c>
      <c r="W312" s="4">
        <v>16566.513999999999</v>
      </c>
      <c r="X312" s="4">
        <v>16561.155999999999</v>
      </c>
      <c r="Y312">
        <v>6.2712001802967501E-2</v>
      </c>
      <c r="Z312">
        <v>16307.157499999999</v>
      </c>
      <c r="AA312" t="s">
        <v>53</v>
      </c>
      <c r="AB312">
        <v>4</v>
      </c>
      <c r="AC312" t="s">
        <v>33</v>
      </c>
      <c r="AD312" s="5">
        <f t="shared" si="40"/>
        <v>-2.6252174389800181E-3</v>
      </c>
      <c r="AE312" s="5">
        <f t="shared" si="41"/>
        <v>-1404.5333333333335</v>
      </c>
      <c r="AF312" s="5">
        <f t="shared" si="42"/>
        <v>0</v>
      </c>
      <c r="AG312" s="5">
        <f t="shared" si="43"/>
        <v>6.3385996109313822E-2</v>
      </c>
      <c r="AH312" s="5">
        <f t="shared" si="44"/>
        <v>1.0676756869382786</v>
      </c>
      <c r="AI312" s="5" t="e">
        <f t="shared" si="45"/>
        <v>#DIV/0!</v>
      </c>
      <c r="AJ312" s="5">
        <f t="shared" si="46"/>
        <v>1.0676756869382786</v>
      </c>
      <c r="AK312" s="5">
        <f t="shared" si="47"/>
        <v>6.2712001802967487E-2</v>
      </c>
      <c r="AL312" s="5">
        <f t="shared" si="48"/>
        <v>1.0676756869382786</v>
      </c>
      <c r="AM312" s="10">
        <f t="shared" si="49"/>
        <v>2.9490173874065161E-5</v>
      </c>
    </row>
    <row r="313" spans="1:39" x14ac:dyDescent="0.3">
      <c r="A313">
        <v>26</v>
      </c>
      <c r="B313" t="s">
        <v>88</v>
      </c>
      <c r="C313" t="s">
        <v>51</v>
      </c>
      <c r="D313" s="1">
        <v>28691</v>
      </c>
      <c r="E313">
        <v>0</v>
      </c>
      <c r="F313" t="s">
        <v>89</v>
      </c>
      <c r="G313" s="4">
        <v>-256.13099999999997</v>
      </c>
      <c r="H313" s="4">
        <v>-239.19800000000001</v>
      </c>
      <c r="I313" s="4">
        <v>794.90700000000004</v>
      </c>
      <c r="J313" s="4">
        <v>-19580.669000000002</v>
      </c>
      <c r="K313" s="4">
        <v>5452.4210000000003</v>
      </c>
      <c r="L313" s="4">
        <v>4491.2889999999998</v>
      </c>
      <c r="M313" s="4">
        <v>25830.48</v>
      </c>
      <c r="N313" s="4">
        <v>-20378.059000000001</v>
      </c>
      <c r="O313" s="4">
        <v>-228.95500000000001</v>
      </c>
      <c r="P313" s="4">
        <v>5110.3</v>
      </c>
      <c r="Q313" s="4">
        <v>24.881</v>
      </c>
      <c r="R313" s="4">
        <v>0.151</v>
      </c>
      <c r="S313" s="4">
        <v>25703.576000000001</v>
      </c>
      <c r="T313" s="4">
        <v>25855.361000000001</v>
      </c>
      <c r="U313" s="4">
        <v>10564.722</v>
      </c>
      <c r="V313" s="4">
        <v>11333.353999999999</v>
      </c>
      <c r="W313" s="4">
        <v>12612.477999999999</v>
      </c>
      <c r="X313" s="4">
        <v>13179.928</v>
      </c>
      <c r="Y313">
        <v>-1.85340125371969</v>
      </c>
      <c r="Z313">
        <v>11922.620500000001</v>
      </c>
      <c r="AA313" t="s">
        <v>53</v>
      </c>
      <c r="AB313">
        <v>4</v>
      </c>
      <c r="AC313" t="s">
        <v>33</v>
      </c>
      <c r="AD313" s="5">
        <f t="shared" si="40"/>
        <v>-2.3393014071190543E-2</v>
      </c>
      <c r="AE313" s="5">
        <f t="shared" si="41"/>
        <v>-0.30091318858684096</v>
      </c>
      <c r="AF313" s="5">
        <f t="shared" si="42"/>
        <v>5.8573744450937763E-6</v>
      </c>
      <c r="AG313" s="5">
        <f t="shared" si="43"/>
        <v>-1.9288779203087409</v>
      </c>
      <c r="AH313" s="5">
        <f t="shared" si="44"/>
        <v>0.40860856671078771</v>
      </c>
      <c r="AI313" s="5">
        <f t="shared" si="45"/>
        <v>-3.8316085161340823</v>
      </c>
      <c r="AJ313" s="5">
        <f t="shared" si="46"/>
        <v>0.21108477271812218</v>
      </c>
      <c r="AK313" s="5">
        <f t="shared" si="47"/>
        <v>-1.8534012537196911</v>
      </c>
      <c r="AL313" s="5">
        <f t="shared" si="48"/>
        <v>0.21088164268911194</v>
      </c>
      <c r="AM313" s="10">
        <f t="shared" si="49"/>
        <v>-3.9007984028312022E-2</v>
      </c>
    </row>
    <row r="314" spans="1:39" x14ac:dyDescent="0.3">
      <c r="A314">
        <v>32</v>
      </c>
      <c r="B314" t="s">
        <v>95</v>
      </c>
      <c r="C314" t="s">
        <v>96</v>
      </c>
      <c r="D314" s="1">
        <v>23770</v>
      </c>
      <c r="E314">
        <v>10</v>
      </c>
      <c r="F314" t="s">
        <v>97</v>
      </c>
      <c r="G314" s="4">
        <v>-992.88199999999995</v>
      </c>
      <c r="H314" s="4">
        <v>8.4469999999999992</v>
      </c>
      <c r="I314" s="4">
        <v>1452.126</v>
      </c>
      <c r="J314" s="4">
        <v>-15780.368</v>
      </c>
      <c r="K314" s="4">
        <v>7001.7280000000001</v>
      </c>
      <c r="L314" s="4">
        <v>1690.299</v>
      </c>
      <c r="M314" s="4">
        <v>19418.294000000002</v>
      </c>
      <c r="N314" s="4">
        <v>-12416.566000000001</v>
      </c>
      <c r="O314" s="4">
        <v>-159.191</v>
      </c>
      <c r="P314" s="4">
        <v>1821.471</v>
      </c>
      <c r="Q314" s="4">
        <v>3894.77</v>
      </c>
      <c r="R314" s="4">
        <v>18.481999999999999</v>
      </c>
      <c r="S314" s="4">
        <v>22377.944</v>
      </c>
      <c r="T314" s="4">
        <v>23313.063999999998</v>
      </c>
      <c r="U314" s="4">
        <v>8853.1489999999994</v>
      </c>
      <c r="V314" s="4">
        <v>8797.3520000000008</v>
      </c>
      <c r="W314" s="4">
        <v>24636.460999999999</v>
      </c>
      <c r="X314" s="4">
        <v>28783.196</v>
      </c>
      <c r="Y314">
        <v>-1.7824581965129001</v>
      </c>
      <c r="Z314">
        <v>17767.539499999999</v>
      </c>
      <c r="AA314" t="s">
        <v>53</v>
      </c>
      <c r="AB314">
        <v>4</v>
      </c>
      <c r="AC314" t="s">
        <v>33</v>
      </c>
      <c r="AD314" s="5">
        <f t="shared" si="40"/>
        <v>-0.11250468187843506</v>
      </c>
      <c r="AE314" s="5">
        <f t="shared" si="41"/>
        <v>5.8169883329683512E-3</v>
      </c>
      <c r="AF314" s="5">
        <f t="shared" si="42"/>
        <v>8.0899944251612912E-4</v>
      </c>
      <c r="AG314" s="5">
        <f t="shared" si="43"/>
        <v>-1.4025027704831357</v>
      </c>
      <c r="AH314" s="5">
        <f t="shared" si="44"/>
        <v>0.37975055531096213</v>
      </c>
      <c r="AI314" s="5">
        <f t="shared" si="45"/>
        <v>-8.6635296417016789</v>
      </c>
      <c r="AJ314" s="5">
        <f t="shared" si="46"/>
        <v>0.36057379705961806</v>
      </c>
      <c r="AK314" s="5">
        <f t="shared" si="47"/>
        <v>-1.782458196512902</v>
      </c>
      <c r="AL314" s="5">
        <f t="shared" si="48"/>
        <v>0.30033495382674713</v>
      </c>
      <c r="AM314" s="10">
        <f t="shared" si="49"/>
        <v>-0.11695069313045169</v>
      </c>
    </row>
    <row r="315" spans="1:39" x14ac:dyDescent="0.3">
      <c r="A315">
        <v>39</v>
      </c>
      <c r="B315" t="s">
        <v>105</v>
      </c>
      <c r="C315" t="s">
        <v>96</v>
      </c>
      <c r="D315" s="1">
        <v>38967</v>
      </c>
      <c r="E315">
        <v>7</v>
      </c>
      <c r="F315" t="s">
        <v>106</v>
      </c>
      <c r="G315" s="4">
        <v>-6.38</v>
      </c>
      <c r="H315" s="4">
        <v>101.72799999999999</v>
      </c>
      <c r="I315" s="4">
        <v>516.404</v>
      </c>
      <c r="J315" s="4">
        <v>2440.8159999999998</v>
      </c>
      <c r="K315" s="4">
        <v>6431.7389999999996</v>
      </c>
      <c r="L315" s="4">
        <v>313.79399999999998</v>
      </c>
      <c r="M315" s="4">
        <v>4138.3180000000002</v>
      </c>
      <c r="N315" s="4">
        <v>2293.4209999999998</v>
      </c>
      <c r="O315" s="4">
        <v>70.174000000000007</v>
      </c>
      <c r="P315" s="4">
        <v>1193.4570000000001</v>
      </c>
      <c r="Q315" s="4">
        <v>980.94899999999996</v>
      </c>
      <c r="R315" s="4">
        <v>56.996000000000002</v>
      </c>
      <c r="S315" s="4">
        <v>5129.3140000000003</v>
      </c>
      <c r="T315" s="4">
        <v>5119.2669999999998</v>
      </c>
      <c r="U315" s="4">
        <v>7705.2579999999998</v>
      </c>
      <c r="V315" s="4">
        <v>7717.9219999999996</v>
      </c>
      <c r="W315" s="4">
        <v>7831.5609999999997</v>
      </c>
      <c r="X315" s="4">
        <v>7789.5050000000001</v>
      </c>
      <c r="Y315">
        <v>0.31677278035336398</v>
      </c>
      <c r="Z315">
        <v>7761.0614999999998</v>
      </c>
      <c r="AA315" t="s">
        <v>53</v>
      </c>
      <c r="AB315">
        <v>4</v>
      </c>
      <c r="AC315" t="s">
        <v>33</v>
      </c>
      <c r="AD315" s="5">
        <f t="shared" si="40"/>
        <v>-8.2732614156094913E-4</v>
      </c>
      <c r="AE315" s="5">
        <f t="shared" si="41"/>
        <v>0.1969930519515728</v>
      </c>
      <c r="AF315" s="5">
        <f t="shared" si="42"/>
        <v>1.1122710548904282E-2</v>
      </c>
      <c r="AG315" s="5">
        <f t="shared" si="43"/>
        <v>0.29764363503467373</v>
      </c>
      <c r="AH315" s="5">
        <f t="shared" si="44"/>
        <v>1.5051486863256009</v>
      </c>
      <c r="AI315" s="5">
        <f t="shared" si="45"/>
        <v>2.0451645932781823</v>
      </c>
      <c r="AJ315" s="5">
        <f t="shared" si="46"/>
        <v>1.5541915821838725</v>
      </c>
      <c r="AK315" s="5">
        <f t="shared" si="47"/>
        <v>0.31677278035336387</v>
      </c>
      <c r="AL315" s="5">
        <f t="shared" si="48"/>
        <v>1.2563788917436813</v>
      </c>
      <c r="AM315" s="10">
        <f t="shared" si="49"/>
        <v>0.22516755536815963</v>
      </c>
    </row>
    <row r="316" spans="1:39" x14ac:dyDescent="0.3">
      <c r="A316">
        <v>64</v>
      </c>
      <c r="B316" t="s">
        <v>138</v>
      </c>
      <c r="C316" t="s">
        <v>55</v>
      </c>
      <c r="D316" s="1">
        <v>33254</v>
      </c>
      <c r="E316">
        <v>7</v>
      </c>
      <c r="F316" t="s">
        <v>139</v>
      </c>
      <c r="G316" s="4">
        <v>-3477.4560000000001</v>
      </c>
      <c r="H316" s="4">
        <v>-3247.7809999999999</v>
      </c>
      <c r="I316" s="4">
        <v>1655.25</v>
      </c>
      <c r="J316" s="4">
        <v>-2706.3530000000001</v>
      </c>
      <c r="K316" s="4">
        <v>4311.6080000000002</v>
      </c>
      <c r="L316" s="4">
        <v>2028.4870000000001</v>
      </c>
      <c r="M316" s="4">
        <v>4065.2689999999998</v>
      </c>
      <c r="N316" s="4">
        <v>246.339</v>
      </c>
      <c r="O316" s="4">
        <v>-3460.9279999999999</v>
      </c>
      <c r="P316" s="4">
        <v>1001.741</v>
      </c>
      <c r="Q316" s="4">
        <v>0</v>
      </c>
      <c r="R316" s="4">
        <v>245.126</v>
      </c>
      <c r="S316" s="4">
        <v>4986.8940000000002</v>
      </c>
      <c r="T316" s="4">
        <v>4065.2689999999998</v>
      </c>
      <c r="U316" s="4">
        <v>5328.1329999999998</v>
      </c>
      <c r="V316" s="4">
        <v>9859.9</v>
      </c>
      <c r="W316" s="4">
        <v>9101.9449999999997</v>
      </c>
      <c r="X316" s="4">
        <v>9162.8140000000003</v>
      </c>
      <c r="Y316">
        <v>-0.50793645729188797</v>
      </c>
      <c r="Z316">
        <v>8363.1980000000003</v>
      </c>
      <c r="AA316" t="s">
        <v>53</v>
      </c>
      <c r="AB316">
        <v>4</v>
      </c>
      <c r="AC316" t="s">
        <v>33</v>
      </c>
      <c r="AD316" s="5">
        <f t="shared" si="40"/>
        <v>-0.45792052203204986</v>
      </c>
      <c r="AE316" s="5">
        <f t="shared" si="41"/>
        <v>-1.9621090469717566</v>
      </c>
      <c r="AF316" s="5">
        <f t="shared" si="42"/>
        <v>5.4158547520631255E-2</v>
      </c>
      <c r="AG316" s="5">
        <f t="shared" si="43"/>
        <v>4.6233643191714621E-2</v>
      </c>
      <c r="AH316" s="5">
        <f t="shared" si="44"/>
        <v>1.310647093710158</v>
      </c>
      <c r="AI316" s="5">
        <f t="shared" si="45"/>
        <v>-2.701649428345251</v>
      </c>
      <c r="AJ316" s="5">
        <f t="shared" si="46"/>
        <v>1.0605959900808533</v>
      </c>
      <c r="AK316" s="5">
        <f t="shared" si="47"/>
        <v>-0.50793645729188819</v>
      </c>
      <c r="AL316" s="5">
        <f t="shared" si="48"/>
        <v>1.0605959900808533</v>
      </c>
      <c r="AM316" s="10">
        <f t="shared" si="49"/>
        <v>6.7193988771570883</v>
      </c>
    </row>
    <row r="317" spans="1:39" x14ac:dyDescent="0.3">
      <c r="A317">
        <v>78</v>
      </c>
      <c r="B317" t="s">
        <v>155</v>
      </c>
      <c r="C317" t="s">
        <v>55</v>
      </c>
      <c r="D317" s="1">
        <v>41939</v>
      </c>
      <c r="E317">
        <v>27</v>
      </c>
      <c r="F317" t="s">
        <v>156</v>
      </c>
      <c r="G317" s="4">
        <v>-14891.603999999999</v>
      </c>
      <c r="H317" s="4">
        <v>-14861.633</v>
      </c>
      <c r="I317" s="4">
        <v>7729.5010000000002</v>
      </c>
      <c r="J317" s="4">
        <v>-12232.853999999999</v>
      </c>
      <c r="K317" s="4">
        <v>3900.7750000000001</v>
      </c>
      <c r="L317" s="4">
        <v>0</v>
      </c>
      <c r="M317" s="4">
        <v>16311.161</v>
      </c>
      <c r="N317" s="4">
        <v>-12410.386</v>
      </c>
      <c r="O317" s="4">
        <v>-14891.603999999999</v>
      </c>
      <c r="P317" s="4">
        <v>318.18799999999999</v>
      </c>
      <c r="Q317" s="4">
        <v>0</v>
      </c>
      <c r="R317" s="4">
        <v>29.972000000000001</v>
      </c>
      <c r="S317" s="4">
        <v>19093.264999999999</v>
      </c>
      <c r="T317" s="4">
        <v>16311.161</v>
      </c>
      <c r="U317" s="4">
        <v>4218.9629999999997</v>
      </c>
      <c r="V317" s="4">
        <v>24099.435000000001</v>
      </c>
      <c r="W317" s="4">
        <v>16824.851999999999</v>
      </c>
      <c r="X317" s="4">
        <v>11284.146000000001</v>
      </c>
      <c r="Y317">
        <v>-2.8994930744829901</v>
      </c>
      <c r="Z317">
        <v>14106.849</v>
      </c>
      <c r="AA317" t="s">
        <v>53</v>
      </c>
      <c r="AB317">
        <v>4</v>
      </c>
      <c r="AC317" t="s">
        <v>33</v>
      </c>
      <c r="AD317" s="5">
        <f t="shared" si="40"/>
        <v>-1.0517264430000595</v>
      </c>
      <c r="AE317" s="5">
        <f t="shared" si="41"/>
        <v>-1.9227157095910847</v>
      </c>
      <c r="AF317" s="5">
        <f t="shared" si="42"/>
        <v>1.6931216452993759E-3</v>
      </c>
      <c r="AG317" s="5">
        <f t="shared" si="43"/>
        <v>-2.9415726091933019</v>
      </c>
      <c r="AH317" s="5">
        <f t="shared" si="44"/>
        <v>0.25865497863702036</v>
      </c>
      <c r="AI317" s="5">
        <f t="shared" si="45"/>
        <v>-38.445365632896277</v>
      </c>
      <c r="AJ317" s="5">
        <f t="shared" si="46"/>
        <v>0.23914759960986223</v>
      </c>
      <c r="AK317" s="5">
        <f t="shared" si="47"/>
        <v>-2.899493074482995</v>
      </c>
      <c r="AL317" s="5">
        <f t="shared" si="48"/>
        <v>0.23914759960986223</v>
      </c>
      <c r="AM317" s="10">
        <f t="shared" si="49"/>
        <v>-0.62282518851549018</v>
      </c>
    </row>
    <row r="318" spans="1:39" x14ac:dyDescent="0.3">
      <c r="A318">
        <v>79</v>
      </c>
      <c r="B318" t="s">
        <v>157</v>
      </c>
      <c r="C318" t="s">
        <v>96</v>
      </c>
      <c r="D318" s="1">
        <v>38267</v>
      </c>
      <c r="E318">
        <v>0</v>
      </c>
      <c r="F318" t="s">
        <v>158</v>
      </c>
      <c r="G318" s="4">
        <v>-579.59699999999998</v>
      </c>
      <c r="H318" s="4">
        <v>-578.69600000000003</v>
      </c>
      <c r="I318" s="4">
        <v>2893.498</v>
      </c>
      <c r="J318" s="4">
        <v>-4774.9319999999998</v>
      </c>
      <c r="K318" s="4">
        <v>4162.8440000000001</v>
      </c>
      <c r="L318" s="4">
        <v>4060.3119999999999</v>
      </c>
      <c r="M318" s="4">
        <v>8941.9240000000009</v>
      </c>
      <c r="N318" s="4">
        <v>-4779.08</v>
      </c>
      <c r="O318" s="4">
        <v>-579.59699999999998</v>
      </c>
      <c r="P318" s="4">
        <v>5.0000000000000001E-3</v>
      </c>
      <c r="Q318" s="4">
        <v>0</v>
      </c>
      <c r="R318" s="4">
        <v>0.90100000000000002</v>
      </c>
      <c r="S318" s="4">
        <v>11345.478999999999</v>
      </c>
      <c r="T318" s="4">
        <v>8941.9240000000009</v>
      </c>
      <c r="U318" s="4">
        <v>4166.9920000000002</v>
      </c>
      <c r="V318" s="4">
        <v>7150.1419999999998</v>
      </c>
      <c r="W318" s="4">
        <v>7351.4849999999997</v>
      </c>
      <c r="X318" s="4">
        <v>7920.9889999999996</v>
      </c>
      <c r="Y318">
        <v>-1.14589420858019</v>
      </c>
      <c r="Z318">
        <v>6647.402</v>
      </c>
      <c r="AA318" t="s">
        <v>53</v>
      </c>
      <c r="AB318">
        <v>4</v>
      </c>
      <c r="AC318" t="s">
        <v>33</v>
      </c>
      <c r="AD318" s="5">
        <f t="shared" si="40"/>
        <v>-0.10242822962067957</v>
      </c>
      <c r="AE318" s="5">
        <f t="shared" si="41"/>
        <v>-0.19999875583117735</v>
      </c>
      <c r="AF318" s="5">
        <f t="shared" si="42"/>
        <v>8.8823591664246039E-5</v>
      </c>
      <c r="AG318" s="5">
        <f t="shared" si="43"/>
        <v>-1.1468896508560611</v>
      </c>
      <c r="AH318" s="5">
        <f t="shared" si="44"/>
        <v>0.46600619732397636</v>
      </c>
      <c r="AI318" s="5">
        <f t="shared" si="45"/>
        <v>-954986.39999999991</v>
      </c>
      <c r="AJ318" s="5">
        <f t="shared" si="46"/>
        <v>0.46554231505434396</v>
      </c>
      <c r="AK318" s="5">
        <f t="shared" si="47"/>
        <v>-1.145894208580194</v>
      </c>
      <c r="AL318" s="5">
        <f t="shared" si="48"/>
        <v>0.46554231505434396</v>
      </c>
      <c r="AM318" s="10">
        <f t="shared" si="49"/>
        <v>-0.60545083991061044</v>
      </c>
    </row>
    <row r="319" spans="1:39" x14ac:dyDescent="0.3">
      <c r="A319">
        <v>83</v>
      </c>
      <c r="B319" t="s">
        <v>166</v>
      </c>
      <c r="C319" t="s">
        <v>55</v>
      </c>
      <c r="D319" s="1">
        <v>31769</v>
      </c>
      <c r="E319">
        <v>18</v>
      </c>
      <c r="F319" t="s">
        <v>167</v>
      </c>
      <c r="G319" s="4">
        <v>-1714.5150000000001</v>
      </c>
      <c r="H319" s="4">
        <v>-1570.7639999999999</v>
      </c>
      <c r="I319" s="4">
        <v>1199.05</v>
      </c>
      <c r="J319" s="4">
        <v>-3560.377</v>
      </c>
      <c r="K319" s="4">
        <v>2941.547</v>
      </c>
      <c r="L319" s="4">
        <v>734.68499999999995</v>
      </c>
      <c r="M319" s="4">
        <v>4559.05</v>
      </c>
      <c r="N319" s="4">
        <v>-1617.5029999999999</v>
      </c>
      <c r="O319" s="4">
        <v>-1691.5640000000001</v>
      </c>
      <c r="P319" s="4">
        <v>1047.336</v>
      </c>
      <c r="Q319" s="4">
        <v>2590.538</v>
      </c>
      <c r="R319" s="4">
        <v>120.816</v>
      </c>
      <c r="S319" s="4">
        <v>6792.9629999999997</v>
      </c>
      <c r="T319" s="4">
        <v>7149.5879999999997</v>
      </c>
      <c r="U319" s="4">
        <v>3995.152</v>
      </c>
      <c r="V319" s="4">
        <v>5325.3370000000004</v>
      </c>
      <c r="W319" s="4">
        <v>5154.2749999999996</v>
      </c>
      <c r="X319" s="4">
        <v>6909.7290000000003</v>
      </c>
      <c r="Y319">
        <v>-0.89117435331621897</v>
      </c>
      <c r="Z319">
        <v>5346.1232499999996</v>
      </c>
      <c r="AA319" t="s">
        <v>53</v>
      </c>
      <c r="AB319">
        <v>4</v>
      </c>
      <c r="AC319" t="s">
        <v>33</v>
      </c>
      <c r="AD319" s="5">
        <f t="shared" si="40"/>
        <v>-0.36790237078762711</v>
      </c>
      <c r="AE319" s="5">
        <f t="shared" si="41"/>
        <v>-1.3100070889454152</v>
      </c>
      <c r="AF319" s="5">
        <f t="shared" si="42"/>
        <v>1.7330544460622738E-2</v>
      </c>
      <c r="AG319" s="5">
        <f t="shared" si="43"/>
        <v>-0.40486644813513978</v>
      </c>
      <c r="AH319" s="5">
        <f t="shared" si="44"/>
        <v>0.55879471656268864</v>
      </c>
      <c r="AI319" s="5">
        <f t="shared" si="45"/>
        <v>-3.399460154143465</v>
      </c>
      <c r="AJ319" s="5">
        <f t="shared" si="46"/>
        <v>0.64521051534859231</v>
      </c>
      <c r="AK319" s="5">
        <f t="shared" si="47"/>
        <v>-0.89117435331621919</v>
      </c>
      <c r="AL319" s="5">
        <f t="shared" si="48"/>
        <v>0.41142888233559755</v>
      </c>
      <c r="AM319" s="10">
        <f t="shared" si="49"/>
        <v>-0.74129692495160748</v>
      </c>
    </row>
    <row r="320" spans="1:39" x14ac:dyDescent="0.3">
      <c r="A320">
        <v>74</v>
      </c>
      <c r="B320" t="s">
        <v>149</v>
      </c>
      <c r="C320" t="s">
        <v>96</v>
      </c>
      <c r="D320" s="1">
        <v>33729</v>
      </c>
      <c r="E320">
        <v>0</v>
      </c>
      <c r="F320" t="s">
        <v>150</v>
      </c>
      <c r="G320" s="4">
        <v>-46.716000000000001</v>
      </c>
      <c r="H320" s="4">
        <v>-34.901000000000003</v>
      </c>
      <c r="I320" s="4">
        <v>112.29</v>
      </c>
      <c r="J320" s="4">
        <v>-741.89</v>
      </c>
      <c r="K320" s="4">
        <v>4177.0420000000004</v>
      </c>
      <c r="L320" s="4">
        <v>3679.8180000000002</v>
      </c>
      <c r="M320" s="4">
        <v>4700.6139999999996</v>
      </c>
      <c r="N320" s="4">
        <v>-523.572</v>
      </c>
      <c r="O320" s="4">
        <v>-35.036999999999999</v>
      </c>
      <c r="P320" s="4">
        <v>297.07600000000002</v>
      </c>
      <c r="Q320" s="4">
        <v>514.66600000000005</v>
      </c>
      <c r="R320" s="4">
        <v>0.13600000000000001</v>
      </c>
      <c r="S320" s="4">
        <v>5043.223</v>
      </c>
      <c r="T320" s="4">
        <v>5215.28</v>
      </c>
      <c r="U320" s="4">
        <v>4474.3969999999999</v>
      </c>
      <c r="V320" s="4">
        <v>4349.3919999999998</v>
      </c>
      <c r="W320" s="4">
        <v>4222.9610000000002</v>
      </c>
      <c r="X320" s="4">
        <v>4452.5870000000004</v>
      </c>
      <c r="Y320">
        <v>-0.165807817232132</v>
      </c>
      <c r="Z320">
        <v>4374.8342499999999</v>
      </c>
      <c r="AA320" t="s">
        <v>53</v>
      </c>
      <c r="AB320">
        <v>3</v>
      </c>
      <c r="AC320" t="s">
        <v>33</v>
      </c>
      <c r="AD320" s="5">
        <f t="shared" si="40"/>
        <v>-1.0588648481961661E-2</v>
      </c>
      <c r="AE320" s="5">
        <f t="shared" si="41"/>
        <v>-0.31081129218986553</v>
      </c>
      <c r="AF320" s="5">
        <f t="shared" si="42"/>
        <v>2.6514589896790985E-5</v>
      </c>
      <c r="AG320" s="5">
        <f t="shared" si="43"/>
        <v>-0.11701509722986136</v>
      </c>
      <c r="AH320" s="5">
        <f t="shared" si="44"/>
        <v>0.85793993802825541</v>
      </c>
      <c r="AI320" s="5">
        <f t="shared" si="45"/>
        <v>-2.4973070864021327</v>
      </c>
      <c r="AJ320" s="5">
        <f t="shared" si="46"/>
        <v>0.88861625311076398</v>
      </c>
      <c r="AK320" s="5">
        <f t="shared" si="47"/>
        <v>-0.16580781723213206</v>
      </c>
      <c r="AL320" s="5">
        <f t="shared" si="48"/>
        <v>0.80092382384071437</v>
      </c>
      <c r="AM320" s="10">
        <f t="shared" si="49"/>
        <v>-0.2144690701565401</v>
      </c>
    </row>
    <row r="321" spans="1:39" x14ac:dyDescent="0.3">
      <c r="A321">
        <v>81</v>
      </c>
      <c r="B321" t="s">
        <v>161</v>
      </c>
      <c r="C321" t="s">
        <v>162</v>
      </c>
      <c r="D321" s="1">
        <v>30116</v>
      </c>
      <c r="E321">
        <v>0</v>
      </c>
      <c r="F321" t="s">
        <v>163</v>
      </c>
      <c r="G321" s="4">
        <v>15.74</v>
      </c>
      <c r="H321" s="4">
        <v>34.25</v>
      </c>
      <c r="I321" s="4">
        <v>38.448</v>
      </c>
      <c r="J321" s="4">
        <v>130.273</v>
      </c>
      <c r="K321" s="4">
        <v>3276.857</v>
      </c>
      <c r="L321" s="4">
        <v>1675.1479999999999</v>
      </c>
      <c r="M321" s="4">
        <v>805.48699999999997</v>
      </c>
      <c r="N321" s="4">
        <v>2471.37</v>
      </c>
      <c r="O321" s="4">
        <v>33.851999999999997</v>
      </c>
      <c r="P321" s="4">
        <v>769.94</v>
      </c>
      <c r="Q321" s="4">
        <v>3055.1060000000002</v>
      </c>
      <c r="R321" s="4">
        <v>3.0000000000000001E-3</v>
      </c>
      <c r="S321" s="4">
        <v>3859.7669999999998</v>
      </c>
      <c r="T321" s="4">
        <v>3860.5929999999998</v>
      </c>
      <c r="U321" s="4">
        <v>4062.9169999999999</v>
      </c>
      <c r="V321" s="4">
        <v>4058.3530000000001</v>
      </c>
      <c r="W321" s="4">
        <v>5295.86</v>
      </c>
      <c r="X321" s="4">
        <v>6601.6139999999996</v>
      </c>
      <c r="Y321">
        <v>3.2063908763088199E-2</v>
      </c>
      <c r="Z321">
        <v>5004.6859999999997</v>
      </c>
      <c r="AA321" t="s">
        <v>53</v>
      </c>
      <c r="AB321">
        <v>3</v>
      </c>
      <c r="AC321" t="s">
        <v>33</v>
      </c>
      <c r="AD321" s="5">
        <f t="shared" si="40"/>
        <v>3.8762410312672769E-3</v>
      </c>
      <c r="AE321" s="5">
        <f t="shared" si="41"/>
        <v>0.89081356637536413</v>
      </c>
      <c r="AF321" s="5">
        <f t="shared" si="42"/>
        <v>7.771658316451565E-7</v>
      </c>
      <c r="AG321" s="5">
        <f t="shared" si="43"/>
        <v>0.60827479370117576</v>
      </c>
      <c r="AH321" s="5">
        <f t="shared" si="44"/>
        <v>1.0524074928385354</v>
      </c>
      <c r="AI321" s="5">
        <f t="shared" si="45"/>
        <v>0.16919889861547652</v>
      </c>
      <c r="AJ321" s="5">
        <f t="shared" si="46"/>
        <v>4.0681686979429834</v>
      </c>
      <c r="AK321" s="5">
        <f t="shared" si="47"/>
        <v>3.2063908763088192E-2</v>
      </c>
      <c r="AL321" s="5">
        <f t="shared" si="48"/>
        <v>0.84879628595917778</v>
      </c>
      <c r="AM321" s="10">
        <f t="shared" si="49"/>
        <v>1.5557362920161693E-2</v>
      </c>
    </row>
    <row r="322" spans="1:39" x14ac:dyDescent="0.3">
      <c r="A322">
        <v>88</v>
      </c>
      <c r="B322" t="s">
        <v>170</v>
      </c>
      <c r="C322" t="s">
        <v>96</v>
      </c>
      <c r="D322" s="1">
        <v>33974</v>
      </c>
      <c r="E322">
        <v>0</v>
      </c>
      <c r="F322" t="s">
        <v>171</v>
      </c>
      <c r="G322" s="4">
        <v>-359.84899999999999</v>
      </c>
      <c r="H322" s="4">
        <v>-217.78</v>
      </c>
      <c r="I322" s="4">
        <v>77.709999999999994</v>
      </c>
      <c r="J322" s="4">
        <v>-1294.2429999999999</v>
      </c>
      <c r="K322" s="4">
        <v>1650.4159999999999</v>
      </c>
      <c r="L322" s="4">
        <v>1593.2439999999999</v>
      </c>
      <c r="M322" s="4">
        <v>4946.509</v>
      </c>
      <c r="N322" s="4">
        <v>-3296.0929999999998</v>
      </c>
      <c r="O322" s="4">
        <v>-261.19200000000001</v>
      </c>
      <c r="P322" s="4">
        <v>2159.0439999999999</v>
      </c>
      <c r="Q322" s="4">
        <v>90.415000000000006</v>
      </c>
      <c r="R322" s="4">
        <v>43.411999999999999</v>
      </c>
      <c r="S322" s="4">
        <v>4888.0050000000001</v>
      </c>
      <c r="T322" s="4">
        <v>5036.924</v>
      </c>
      <c r="U322" s="4">
        <v>3817.681</v>
      </c>
      <c r="V322" s="4">
        <v>4028.6120000000001</v>
      </c>
      <c r="W322" s="4">
        <v>4621.9859999999999</v>
      </c>
      <c r="X322" s="4">
        <v>4677.3919999999998</v>
      </c>
      <c r="Y322">
        <v>-0.33901287195027602</v>
      </c>
      <c r="Z322">
        <v>4286.4177499999996</v>
      </c>
      <c r="AA322" t="s">
        <v>53</v>
      </c>
      <c r="AB322">
        <v>3</v>
      </c>
      <c r="AC322" t="s">
        <v>33</v>
      </c>
      <c r="AD322" s="5">
        <f t="shared" si="40"/>
        <v>-9.172458892371213E-2</v>
      </c>
      <c r="AE322" s="5">
        <f t="shared" si="41"/>
        <v>-2.802470724488483</v>
      </c>
      <c r="AF322" s="5">
        <f t="shared" si="42"/>
        <v>8.7480726562376415E-3</v>
      </c>
      <c r="AG322" s="5">
        <f t="shared" si="43"/>
        <v>-0.86337569849340468</v>
      </c>
      <c r="AH322" s="5">
        <f t="shared" si="44"/>
        <v>0.75793897227752494</v>
      </c>
      <c r="AI322" s="5">
        <f t="shared" si="45"/>
        <v>-0.59945188703889318</v>
      </c>
      <c r="AJ322" s="5">
        <f t="shared" si="46"/>
        <v>0.33365268313471175</v>
      </c>
      <c r="AK322" s="5">
        <f t="shared" si="47"/>
        <v>-0.33901287195027557</v>
      </c>
      <c r="AL322" s="5">
        <f t="shared" si="48"/>
        <v>0.32766347080083003</v>
      </c>
      <c r="AM322" s="10">
        <f t="shared" si="49"/>
        <v>-2.3576397874695888E-2</v>
      </c>
    </row>
    <row r="323" spans="1:39" x14ac:dyDescent="0.3">
      <c r="A323">
        <v>115</v>
      </c>
      <c r="B323" t="s">
        <v>202</v>
      </c>
      <c r="C323" t="s">
        <v>96</v>
      </c>
      <c r="D323" s="1">
        <v>39987</v>
      </c>
      <c r="E323">
        <v>0</v>
      </c>
      <c r="F323" t="s">
        <v>203</v>
      </c>
      <c r="G323" s="4">
        <v>-24.303000000000001</v>
      </c>
      <c r="H323" s="4">
        <v>-16.134</v>
      </c>
      <c r="I323" s="4">
        <v>2</v>
      </c>
      <c r="J323" s="4">
        <v>107.608</v>
      </c>
      <c r="K323" s="4">
        <v>2815.748</v>
      </c>
      <c r="L323" s="4">
        <v>2049.1880000000001</v>
      </c>
      <c r="M323" s="4">
        <v>224.41399999999999</v>
      </c>
      <c r="N323" s="4">
        <v>2591.3339999999998</v>
      </c>
      <c r="O323" s="4">
        <v>-17.462</v>
      </c>
      <c r="P323" s="4">
        <v>22.035</v>
      </c>
      <c r="Q323" s="4">
        <v>2410.1610000000001</v>
      </c>
      <c r="R323" s="4">
        <v>1.3280000000000001</v>
      </c>
      <c r="S323" s="4">
        <v>2617.1289999999999</v>
      </c>
      <c r="T323" s="4">
        <v>2634.5749999999998</v>
      </c>
      <c r="U323" s="4">
        <v>2841.779</v>
      </c>
      <c r="V323" s="4">
        <v>2848.9070000000002</v>
      </c>
      <c r="W323" s="4">
        <v>2851.3150000000001</v>
      </c>
      <c r="X323" s="4">
        <v>3054.607</v>
      </c>
      <c r="Y323">
        <v>3.7866420998958802E-2</v>
      </c>
      <c r="Z323">
        <v>2899.152</v>
      </c>
      <c r="AA323" t="s">
        <v>53</v>
      </c>
      <c r="AB323">
        <v>3</v>
      </c>
      <c r="AC323" t="s">
        <v>33</v>
      </c>
      <c r="AD323" s="5">
        <f t="shared" ref="AD323:AD386" si="50">G323/((U323+V323)/2)</f>
        <v>-8.5413252462005467E-3</v>
      </c>
      <c r="AE323" s="5">
        <f t="shared" ref="AE323:AE386" si="51">H323/I323</f>
        <v>-8.0670000000000002</v>
      </c>
      <c r="AF323" s="5">
        <f t="shared" ref="AF323:AF386" si="52">R323/((S323+T323)/2)</f>
        <v>5.0574061295152967E-4</v>
      </c>
      <c r="AG323" s="5">
        <f t="shared" ref="AG323:AG386" si="53">N323/U323</f>
        <v>0.91187034600509043</v>
      </c>
      <c r="AH323" s="5">
        <f t="shared" ref="AH323:AH386" si="54">U323/T323</f>
        <v>1.0786479792755947</v>
      </c>
      <c r="AI323" s="5">
        <f t="shared" ref="AI323:AI386" si="55">J323/P323</f>
        <v>4.8835035171318362</v>
      </c>
      <c r="AJ323" s="5">
        <f t="shared" ref="AJ323:AJ386" si="56">K323/M323</f>
        <v>12.547113816428565</v>
      </c>
      <c r="AK323" s="5">
        <f t="shared" ref="AK323:AK386" si="57">J323/U323</f>
        <v>3.7866420998958754E-2</v>
      </c>
      <c r="AL323" s="5">
        <f t="shared" ref="AL323:AL386" si="58">K323/T323</f>
        <v>1.0687674482601559</v>
      </c>
      <c r="AM323" s="10">
        <f t="shared" ref="AM323:AM386" si="59">I323/N323</f>
        <v>7.7180324882859569E-4</v>
      </c>
    </row>
    <row r="324" spans="1:39" x14ac:dyDescent="0.3">
      <c r="A324">
        <v>117</v>
      </c>
      <c r="B324" t="s">
        <v>204</v>
      </c>
      <c r="C324" t="s">
        <v>51</v>
      </c>
      <c r="D324" s="1">
        <v>42020</v>
      </c>
      <c r="E324">
        <v>0</v>
      </c>
      <c r="F324" t="s">
        <v>205</v>
      </c>
      <c r="G324" s="4">
        <v>-102.13</v>
      </c>
      <c r="H324" s="4">
        <v>13.249000000000001</v>
      </c>
      <c r="I324" s="4">
        <v>29.428000000000001</v>
      </c>
      <c r="J324" s="4">
        <v>81.552999999999997</v>
      </c>
      <c r="K324" s="4">
        <v>2809.6239999999998</v>
      </c>
      <c r="L324" s="4">
        <v>2807.6979999999999</v>
      </c>
      <c r="M324" s="4">
        <v>72.775999999999996</v>
      </c>
      <c r="N324" s="4">
        <v>2736.848</v>
      </c>
      <c r="O324" s="4">
        <v>-97.304000000000002</v>
      </c>
      <c r="P324" s="4">
        <v>6.9509999999999996</v>
      </c>
      <c r="Q324" s="4">
        <v>2662.2440000000001</v>
      </c>
      <c r="R324" s="4">
        <v>110.42700000000001</v>
      </c>
      <c r="S324" s="4">
        <v>2636.9549999999999</v>
      </c>
      <c r="T324" s="4">
        <v>2735.02</v>
      </c>
      <c r="U324" s="4">
        <v>2816.5749999999998</v>
      </c>
      <c r="V324" s="4">
        <v>2820.6370000000002</v>
      </c>
      <c r="W324" s="4">
        <v>2816.4940000000001</v>
      </c>
      <c r="X324" s="4">
        <v>2822.26</v>
      </c>
      <c r="Y324">
        <v>2.8954670122400401E-2</v>
      </c>
      <c r="Z324">
        <v>2818.9915000000001</v>
      </c>
      <c r="AA324" t="s">
        <v>53</v>
      </c>
      <c r="AB324">
        <v>3</v>
      </c>
      <c r="AC324" t="s">
        <v>33</v>
      </c>
      <c r="AD324" s="5">
        <f t="shared" si="50"/>
        <v>-3.6234223584282445E-2</v>
      </c>
      <c r="AE324" s="5">
        <f t="shared" si="51"/>
        <v>0.45021747995106703</v>
      </c>
      <c r="AF324" s="5">
        <f t="shared" si="52"/>
        <v>4.1112253873109982E-2</v>
      </c>
      <c r="AG324" s="5">
        <f t="shared" si="53"/>
        <v>0.97169363499995565</v>
      </c>
      <c r="AH324" s="5">
        <f t="shared" si="54"/>
        <v>1.0298187947437312</v>
      </c>
      <c r="AI324" s="5">
        <f t="shared" si="55"/>
        <v>11.73255646669544</v>
      </c>
      <c r="AJ324" s="5">
        <f t="shared" si="56"/>
        <v>38.606463669341544</v>
      </c>
      <c r="AK324" s="5">
        <f t="shared" si="57"/>
        <v>2.8954670122400435E-2</v>
      </c>
      <c r="AL324" s="5">
        <f t="shared" si="58"/>
        <v>1.0272773142426745</v>
      </c>
      <c r="AM324" s="10">
        <f t="shared" si="59"/>
        <v>1.0752515302274734E-2</v>
      </c>
    </row>
    <row r="325" spans="1:39" x14ac:dyDescent="0.3">
      <c r="A325">
        <v>125</v>
      </c>
      <c r="B325" t="s">
        <v>212</v>
      </c>
      <c r="C325" t="s">
        <v>96</v>
      </c>
      <c r="D325" s="1">
        <v>40248</v>
      </c>
      <c r="E325">
        <v>1</v>
      </c>
      <c r="F325" t="s">
        <v>213</v>
      </c>
      <c r="G325" s="4">
        <v>-375.61599999999999</v>
      </c>
      <c r="H325" s="4">
        <v>-324.21499999999997</v>
      </c>
      <c r="I325" s="4">
        <v>308.80799999999999</v>
      </c>
      <c r="J325" s="4">
        <v>-251.54599999999999</v>
      </c>
      <c r="K325" s="4">
        <v>2603.6379999999999</v>
      </c>
      <c r="L325" s="4">
        <v>2484.4059999999999</v>
      </c>
      <c r="M325" s="4">
        <v>2042.819</v>
      </c>
      <c r="N325" s="4">
        <v>560.81899999999996</v>
      </c>
      <c r="O325" s="4">
        <v>-375.61599999999999</v>
      </c>
      <c r="P325" s="4">
        <v>1.0780000000000001</v>
      </c>
      <c r="Q325" s="4">
        <v>801.14400000000001</v>
      </c>
      <c r="R325" s="4">
        <v>51.433</v>
      </c>
      <c r="S325" s="4">
        <v>1752.653</v>
      </c>
      <c r="T325" s="4">
        <v>2843.9630000000002</v>
      </c>
      <c r="U325" s="4">
        <v>2604.7159999999999</v>
      </c>
      <c r="V325" s="4">
        <v>1883.9449999999999</v>
      </c>
      <c r="W325" s="4">
        <v>2613.8850000000002</v>
      </c>
      <c r="X325" s="4">
        <v>2481.4470000000001</v>
      </c>
      <c r="Y325">
        <v>-9.6573292443398795E-2</v>
      </c>
      <c r="Z325">
        <v>2395.9982500000001</v>
      </c>
      <c r="AA325" t="s">
        <v>53</v>
      </c>
      <c r="AB325">
        <v>3</v>
      </c>
      <c r="AC325" t="s">
        <v>33</v>
      </c>
      <c r="AD325" s="5">
        <f t="shared" si="50"/>
        <v>-0.16736215989579073</v>
      </c>
      <c r="AE325" s="5">
        <f t="shared" si="51"/>
        <v>-1.0498918421802543</v>
      </c>
      <c r="AF325" s="5">
        <f t="shared" si="52"/>
        <v>2.2378636805858918E-2</v>
      </c>
      <c r="AG325" s="5">
        <f t="shared" si="53"/>
        <v>0.21530907784188372</v>
      </c>
      <c r="AH325" s="5">
        <f t="shared" si="54"/>
        <v>0.91587548783159267</v>
      </c>
      <c r="AI325" s="5">
        <f t="shared" si="55"/>
        <v>-233.3450834879406</v>
      </c>
      <c r="AJ325" s="5">
        <f t="shared" si="56"/>
        <v>1.2745319090922886</v>
      </c>
      <c r="AK325" s="5">
        <f t="shared" si="57"/>
        <v>-9.6573292443398823E-2</v>
      </c>
      <c r="AL325" s="5">
        <f t="shared" si="58"/>
        <v>0.91549643929966729</v>
      </c>
      <c r="AM325" s="10">
        <f t="shared" si="59"/>
        <v>0.55063754972638235</v>
      </c>
    </row>
    <row r="326" spans="1:39" x14ac:dyDescent="0.3">
      <c r="A326">
        <v>130</v>
      </c>
      <c r="B326" t="s">
        <v>218</v>
      </c>
      <c r="C326" t="s">
        <v>51</v>
      </c>
      <c r="D326" s="1">
        <v>37552</v>
      </c>
      <c r="E326">
        <v>0</v>
      </c>
      <c r="F326" t="s">
        <v>219</v>
      </c>
      <c r="G326" s="4">
        <v>662.43299999999999</v>
      </c>
      <c r="H326" s="4">
        <v>718.29</v>
      </c>
      <c r="I326" s="4">
        <v>4061.288</v>
      </c>
      <c r="J326" s="4">
        <v>-98.445999999999998</v>
      </c>
      <c r="K326" s="4">
        <v>2491.9389999999999</v>
      </c>
      <c r="L326" s="4">
        <v>2427.4259999999999</v>
      </c>
      <c r="M326" s="4">
        <v>545.59900000000005</v>
      </c>
      <c r="N326" s="4">
        <v>1946.34</v>
      </c>
      <c r="O326" s="4">
        <v>662.43299999999999</v>
      </c>
      <c r="P326" s="4">
        <v>0</v>
      </c>
      <c r="Q326" s="4">
        <v>2000.883</v>
      </c>
      <c r="R326" s="4">
        <v>55.832999999999998</v>
      </c>
      <c r="S326" s="4">
        <v>6379.1589999999997</v>
      </c>
      <c r="T326" s="4">
        <v>2546.482</v>
      </c>
      <c r="U326" s="4">
        <v>2494.0360000000001</v>
      </c>
      <c r="V326" s="4">
        <v>5634.9780000000001</v>
      </c>
      <c r="W326" s="4">
        <v>5638.3980000000001</v>
      </c>
      <c r="X326" s="4">
        <v>5677.2370000000001</v>
      </c>
      <c r="Y326">
        <v>-3.9472565752859998E-2</v>
      </c>
      <c r="Z326">
        <v>4861.1622500000003</v>
      </c>
      <c r="AA326" t="s">
        <v>53</v>
      </c>
      <c r="AB326">
        <v>3</v>
      </c>
      <c r="AC326" t="s">
        <v>33</v>
      </c>
      <c r="AD326" s="5">
        <f t="shared" si="50"/>
        <v>0.16297991367710771</v>
      </c>
      <c r="AE326" s="5">
        <f t="shared" si="51"/>
        <v>0.17686261107313739</v>
      </c>
      <c r="AF326" s="5">
        <f t="shared" si="52"/>
        <v>1.2510698111205682E-2</v>
      </c>
      <c r="AG326" s="5">
        <f t="shared" si="53"/>
        <v>0.78039771679318182</v>
      </c>
      <c r="AH326" s="5">
        <f t="shared" si="54"/>
        <v>0.97940452750107798</v>
      </c>
      <c r="AI326" s="5" t="e">
        <f t="shared" si="55"/>
        <v>#DIV/0!</v>
      </c>
      <c r="AJ326" s="5">
        <f t="shared" si="56"/>
        <v>4.5673452480668031</v>
      </c>
      <c r="AK326" s="5">
        <f t="shared" si="57"/>
        <v>-3.9472565752860019E-2</v>
      </c>
      <c r="AL326" s="5">
        <f t="shared" si="58"/>
        <v>0.97858103846797262</v>
      </c>
      <c r="AM326" s="10">
        <f t="shared" si="59"/>
        <v>2.0866282355600769</v>
      </c>
    </row>
    <row r="327" spans="1:39" x14ac:dyDescent="0.3">
      <c r="A327">
        <v>139</v>
      </c>
      <c r="B327" t="s">
        <v>226</v>
      </c>
      <c r="C327" t="s">
        <v>51</v>
      </c>
      <c r="D327" s="1">
        <v>29853</v>
      </c>
      <c r="E327">
        <v>0</v>
      </c>
      <c r="F327" t="s">
        <v>227</v>
      </c>
      <c r="G327" s="4">
        <v>-100.149</v>
      </c>
      <c r="H327" s="4">
        <v>-100.149</v>
      </c>
      <c r="I327" s="4">
        <v>124.23</v>
      </c>
      <c r="J327" s="4">
        <v>-1140.4110000000001</v>
      </c>
      <c r="K327" s="4">
        <v>2023.405</v>
      </c>
      <c r="L327" s="4">
        <v>1681.893</v>
      </c>
      <c r="M327" s="4">
        <v>3499.0070000000001</v>
      </c>
      <c r="N327" s="4">
        <v>-1475.6020000000001</v>
      </c>
      <c r="O327" s="4">
        <v>-100.149</v>
      </c>
      <c r="P327" s="4">
        <v>333.04899999999998</v>
      </c>
      <c r="Q327" s="4">
        <v>0</v>
      </c>
      <c r="R327" s="4">
        <v>0</v>
      </c>
      <c r="S327" s="4">
        <v>3492.0189999999998</v>
      </c>
      <c r="T327" s="4">
        <v>3499.0070000000001</v>
      </c>
      <c r="U327" s="4">
        <v>2358.69</v>
      </c>
      <c r="V327" s="4">
        <v>2451.7800000000002</v>
      </c>
      <c r="W327" s="4">
        <v>2467.3029999999999</v>
      </c>
      <c r="X327" s="4">
        <v>2476.2399999999998</v>
      </c>
      <c r="Y327">
        <v>-0.483493379799804</v>
      </c>
      <c r="Z327">
        <v>2438.5032500000002</v>
      </c>
      <c r="AA327" t="s">
        <v>53</v>
      </c>
      <c r="AB327">
        <v>3</v>
      </c>
      <c r="AC327" t="s">
        <v>33</v>
      </c>
      <c r="AD327" s="5">
        <f t="shared" si="50"/>
        <v>-4.1637927271139824E-2</v>
      </c>
      <c r="AE327" s="5">
        <f t="shared" si="51"/>
        <v>-0.80615793286645732</v>
      </c>
      <c r="AF327" s="5">
        <f t="shared" si="52"/>
        <v>0</v>
      </c>
      <c r="AG327" s="5">
        <f t="shared" si="53"/>
        <v>-0.62560234706553219</v>
      </c>
      <c r="AH327" s="5">
        <f t="shared" si="54"/>
        <v>0.67410268113210403</v>
      </c>
      <c r="AI327" s="5">
        <f t="shared" si="55"/>
        <v>-3.424153803194125</v>
      </c>
      <c r="AJ327" s="5">
        <f t="shared" si="56"/>
        <v>0.57827978052058771</v>
      </c>
      <c r="AK327" s="5">
        <f t="shared" si="57"/>
        <v>-0.48349337979980417</v>
      </c>
      <c r="AL327" s="5">
        <f t="shared" si="58"/>
        <v>0.57827978052058771</v>
      </c>
      <c r="AM327" s="10">
        <f t="shared" si="59"/>
        <v>-8.4189368135852344E-2</v>
      </c>
    </row>
    <row r="328" spans="1:39" x14ac:dyDescent="0.3">
      <c r="A328">
        <v>412</v>
      </c>
      <c r="B328" t="s">
        <v>464</v>
      </c>
      <c r="C328" t="s">
        <v>96</v>
      </c>
      <c r="D328" s="1">
        <v>37299</v>
      </c>
      <c r="E328">
        <v>1</v>
      </c>
      <c r="F328" t="s">
        <v>465</v>
      </c>
      <c r="G328" s="4">
        <v>-953.37099999999998</v>
      </c>
      <c r="H328" s="4">
        <v>-953.101</v>
      </c>
      <c r="I328" s="4">
        <v>1610.154</v>
      </c>
      <c r="J328" s="4">
        <v>-5090.7550000000001</v>
      </c>
      <c r="K328" s="4">
        <v>7.9409999999999998</v>
      </c>
      <c r="L328" s="4">
        <v>0</v>
      </c>
      <c r="M328" s="4">
        <v>486.904</v>
      </c>
      <c r="N328" s="4">
        <v>-478.96300000000002</v>
      </c>
      <c r="O328" s="4">
        <v>-953.35900000000004</v>
      </c>
      <c r="P328" s="4">
        <v>0</v>
      </c>
      <c r="Q328" s="4">
        <v>4611.7920000000004</v>
      </c>
      <c r="R328" s="4">
        <v>0.25800000000000001</v>
      </c>
      <c r="S328" s="4">
        <v>6709.5730000000003</v>
      </c>
      <c r="T328" s="4">
        <v>5098.6959999999999</v>
      </c>
      <c r="U328" s="4">
        <v>7.9409999999999998</v>
      </c>
      <c r="V328" s="4">
        <v>2586.346</v>
      </c>
      <c r="W328" s="4">
        <v>6944.893</v>
      </c>
      <c r="X328" s="4">
        <v>7779.4930000000004</v>
      </c>
      <c r="Y328">
        <v>-641.07228308777201</v>
      </c>
      <c r="Z328">
        <v>4329.6682499999997</v>
      </c>
      <c r="AA328" t="s">
        <v>53</v>
      </c>
      <c r="AB328">
        <v>3</v>
      </c>
      <c r="AC328" t="s">
        <v>33</v>
      </c>
      <c r="AD328" s="5">
        <f t="shared" si="50"/>
        <v>-0.7349772789209521</v>
      </c>
      <c r="AE328" s="5">
        <f t="shared" si="51"/>
        <v>-0.59193157921540429</v>
      </c>
      <c r="AF328" s="5">
        <f t="shared" si="52"/>
        <v>4.3698191496145622E-5</v>
      </c>
      <c r="AG328" s="5">
        <f t="shared" si="53"/>
        <v>-60.315199597028084</v>
      </c>
      <c r="AH328" s="5">
        <f t="shared" si="54"/>
        <v>1.5574570439186805E-3</v>
      </c>
      <c r="AI328" s="5" t="e">
        <f t="shared" si="55"/>
        <v>#DIV/0!</v>
      </c>
      <c r="AJ328" s="5">
        <f t="shared" si="56"/>
        <v>1.6309169774739989E-2</v>
      </c>
      <c r="AK328" s="5">
        <f t="shared" si="57"/>
        <v>-641.07228308777235</v>
      </c>
      <c r="AL328" s="5">
        <f t="shared" si="58"/>
        <v>1.5574570439186805E-3</v>
      </c>
      <c r="AM328" s="10">
        <f t="shared" si="59"/>
        <v>-3.3617502813369717</v>
      </c>
    </row>
    <row r="329" spans="1:39" x14ac:dyDescent="0.3">
      <c r="A329">
        <v>149</v>
      </c>
      <c r="B329" t="s">
        <v>232</v>
      </c>
      <c r="C329" t="s">
        <v>55</v>
      </c>
      <c r="D329" s="1">
        <v>40302</v>
      </c>
      <c r="E329">
        <v>0</v>
      </c>
      <c r="F329" t="s">
        <v>233</v>
      </c>
      <c r="G329" s="4">
        <v>262.50700000000001</v>
      </c>
      <c r="H329" s="4">
        <v>462.101</v>
      </c>
      <c r="I329" s="4">
        <v>536.19000000000005</v>
      </c>
      <c r="J329" s="4">
        <v>353.17399999999998</v>
      </c>
      <c r="K329" s="4">
        <v>1787.452</v>
      </c>
      <c r="L329" s="4">
        <v>0</v>
      </c>
      <c r="M329" s="4">
        <v>1490.6690000000001</v>
      </c>
      <c r="N329" s="4">
        <v>296.78300000000002</v>
      </c>
      <c r="O329" s="4">
        <v>362.50099999999998</v>
      </c>
      <c r="P329" s="4">
        <v>426.17</v>
      </c>
      <c r="Q329" s="4">
        <v>369.779</v>
      </c>
      <c r="R329" s="4">
        <v>0.03</v>
      </c>
      <c r="S329" s="4">
        <v>1731.7</v>
      </c>
      <c r="T329" s="4">
        <v>1860.4480000000001</v>
      </c>
      <c r="U329" s="4">
        <v>2213.6219999999998</v>
      </c>
      <c r="V329" s="4">
        <v>1845.21</v>
      </c>
      <c r="W329" s="4">
        <v>1740.88</v>
      </c>
      <c r="X329" s="4">
        <v>1591.838</v>
      </c>
      <c r="Y329">
        <v>0.15954575803818399</v>
      </c>
      <c r="Z329">
        <v>1847.8875</v>
      </c>
      <c r="AA329" t="s">
        <v>53</v>
      </c>
      <c r="AB329">
        <v>2</v>
      </c>
      <c r="AC329" t="s">
        <v>33</v>
      </c>
      <c r="AD329" s="5">
        <f t="shared" si="50"/>
        <v>0.1293510054123945</v>
      </c>
      <c r="AE329" s="5">
        <f t="shared" si="51"/>
        <v>0.86182323430127372</v>
      </c>
      <c r="AF329" s="5">
        <f t="shared" si="52"/>
        <v>1.6703097979259206E-5</v>
      </c>
      <c r="AG329" s="5">
        <f t="shared" si="53"/>
        <v>0.1340712190247477</v>
      </c>
      <c r="AH329" s="5">
        <f t="shared" si="54"/>
        <v>1.1898327714614974</v>
      </c>
      <c r="AI329" s="5">
        <f t="shared" si="55"/>
        <v>0.82871623999812272</v>
      </c>
      <c r="AJ329" s="5">
        <f t="shared" si="56"/>
        <v>1.1990938296831823</v>
      </c>
      <c r="AK329" s="5">
        <f t="shared" si="57"/>
        <v>0.15954575803818358</v>
      </c>
      <c r="AL329" s="5">
        <f t="shared" si="58"/>
        <v>0.96076428903145905</v>
      </c>
      <c r="AM329" s="10">
        <f t="shared" si="59"/>
        <v>1.806673562838842</v>
      </c>
    </row>
    <row r="330" spans="1:39" x14ac:dyDescent="0.3">
      <c r="A330">
        <v>156</v>
      </c>
      <c r="B330" t="s">
        <v>236</v>
      </c>
      <c r="C330" t="s">
        <v>51</v>
      </c>
      <c r="D330" s="1">
        <v>39206</v>
      </c>
      <c r="E330">
        <v>15</v>
      </c>
      <c r="F330" t="s">
        <v>237</v>
      </c>
      <c r="G330" s="4">
        <v>13.667999999999999</v>
      </c>
      <c r="H330" s="4">
        <v>115.798</v>
      </c>
      <c r="I330" s="4">
        <v>1724.0060000000001</v>
      </c>
      <c r="J330" s="4">
        <v>102.965</v>
      </c>
      <c r="K330" s="4">
        <v>1410.4559999999999</v>
      </c>
      <c r="L330" s="4">
        <v>692.9</v>
      </c>
      <c r="M330" s="4">
        <v>1244.2940000000001</v>
      </c>
      <c r="N330" s="4">
        <v>166.16200000000001</v>
      </c>
      <c r="O330" s="4">
        <v>79.091999999999999</v>
      </c>
      <c r="P330" s="4">
        <v>559.86</v>
      </c>
      <c r="Q330" s="4">
        <v>551.40300000000002</v>
      </c>
      <c r="R330" s="4">
        <v>24.515999999999998</v>
      </c>
      <c r="S330" s="4">
        <v>1683.4929999999999</v>
      </c>
      <c r="T330" s="4">
        <v>1795.6969999999999</v>
      </c>
      <c r="U330" s="4">
        <v>1982.9739999999999</v>
      </c>
      <c r="V330" s="4">
        <v>1839.0709999999999</v>
      </c>
      <c r="W330" s="4">
        <v>1633.874</v>
      </c>
      <c r="X330" s="4">
        <v>1252.4169999999999</v>
      </c>
      <c r="Y330">
        <v>5.1924533554146501E-2</v>
      </c>
      <c r="Z330">
        <v>1677.0840000000001</v>
      </c>
      <c r="AA330" t="s">
        <v>53</v>
      </c>
      <c r="AB330">
        <v>2</v>
      </c>
      <c r="AC330" t="s">
        <v>33</v>
      </c>
      <c r="AD330" s="5">
        <f t="shared" si="50"/>
        <v>7.1521920856504823E-3</v>
      </c>
      <c r="AE330" s="5">
        <f t="shared" si="51"/>
        <v>6.7167979693806168E-2</v>
      </c>
      <c r="AF330" s="5">
        <f t="shared" si="52"/>
        <v>1.4092935424624697E-2</v>
      </c>
      <c r="AG330" s="5">
        <f t="shared" si="53"/>
        <v>8.37943412268643E-2</v>
      </c>
      <c r="AH330" s="5">
        <f t="shared" si="54"/>
        <v>1.1042920938220646</v>
      </c>
      <c r="AI330" s="5">
        <f t="shared" si="55"/>
        <v>0.18391204944093167</v>
      </c>
      <c r="AJ330" s="5">
        <f t="shared" si="56"/>
        <v>1.1335391796472536</v>
      </c>
      <c r="AK330" s="5">
        <f t="shared" si="57"/>
        <v>5.1924533554146453E-2</v>
      </c>
      <c r="AL330" s="5">
        <f t="shared" si="58"/>
        <v>0.7854643628629997</v>
      </c>
      <c r="AM330" s="10">
        <f t="shared" si="59"/>
        <v>10.375452871294279</v>
      </c>
    </row>
    <row r="331" spans="1:39" x14ac:dyDescent="0.3">
      <c r="A331">
        <v>161</v>
      </c>
      <c r="B331" t="s">
        <v>238</v>
      </c>
      <c r="C331" t="s">
        <v>162</v>
      </c>
      <c r="D331" s="1">
        <v>41072</v>
      </c>
      <c r="E331">
        <v>3</v>
      </c>
      <c r="F331" t="s">
        <v>239</v>
      </c>
      <c r="G331" s="4">
        <v>0.33900000000000002</v>
      </c>
      <c r="H331" s="4">
        <v>2.4039999999999999</v>
      </c>
      <c r="I331" s="4">
        <v>47.302</v>
      </c>
      <c r="J331" s="4">
        <v>4.68</v>
      </c>
      <c r="K331" s="4">
        <v>1808.6279999999999</v>
      </c>
      <c r="L331" s="4">
        <v>582.65</v>
      </c>
      <c r="M331" s="4">
        <v>1844.8810000000001</v>
      </c>
      <c r="N331" s="4">
        <v>-36.253</v>
      </c>
      <c r="O331" s="4">
        <v>0.36499999999999999</v>
      </c>
      <c r="P331" s="4">
        <v>13.102</v>
      </c>
      <c r="Q331" s="4">
        <v>0</v>
      </c>
      <c r="R331" s="4">
        <v>1.4999999999999999E-2</v>
      </c>
      <c r="S331" s="4">
        <v>1822.6569999999999</v>
      </c>
      <c r="T331" s="4">
        <v>1844.8810000000001</v>
      </c>
      <c r="U331" s="4">
        <v>1861.6669999999999</v>
      </c>
      <c r="V331" s="4">
        <v>1838.097</v>
      </c>
      <c r="W331" s="4">
        <v>1837.2550000000001</v>
      </c>
      <c r="X331" s="4">
        <v>1674.653</v>
      </c>
      <c r="Y331">
        <v>2.51387600467753E-3</v>
      </c>
      <c r="Z331">
        <v>1802.9179999999999</v>
      </c>
      <c r="AA331" t="s">
        <v>53</v>
      </c>
      <c r="AB331">
        <v>2</v>
      </c>
      <c r="AC331" t="s">
        <v>33</v>
      </c>
      <c r="AD331" s="5">
        <f t="shared" si="50"/>
        <v>1.8325493193619918E-4</v>
      </c>
      <c r="AE331" s="5">
        <f t="shared" si="51"/>
        <v>5.0822375375248405E-2</v>
      </c>
      <c r="AF331" s="5">
        <f t="shared" si="52"/>
        <v>8.1798743462235431E-6</v>
      </c>
      <c r="AG331" s="5">
        <f t="shared" si="53"/>
        <v>-1.9473407435379154E-2</v>
      </c>
      <c r="AH331" s="5">
        <f t="shared" si="54"/>
        <v>1.0090986898341952</v>
      </c>
      <c r="AI331" s="5">
        <f t="shared" si="55"/>
        <v>0.35719737444664934</v>
      </c>
      <c r="AJ331" s="5">
        <f t="shared" si="56"/>
        <v>0.98034941007035137</v>
      </c>
      <c r="AK331" s="5">
        <f t="shared" si="57"/>
        <v>2.5138760046775283E-3</v>
      </c>
      <c r="AL331" s="5">
        <f t="shared" si="58"/>
        <v>0.98034941007035137</v>
      </c>
      <c r="AM331" s="10">
        <f t="shared" si="59"/>
        <v>-1.3047747772598131</v>
      </c>
    </row>
    <row r="332" spans="1:39" x14ac:dyDescent="0.3">
      <c r="A332">
        <v>180</v>
      </c>
      <c r="B332" t="s">
        <v>257</v>
      </c>
      <c r="C332" t="s">
        <v>96</v>
      </c>
      <c r="D332" s="1">
        <v>37158</v>
      </c>
      <c r="E332">
        <v>8</v>
      </c>
      <c r="F332" t="s">
        <v>258</v>
      </c>
      <c r="G332" s="4">
        <v>-352.58600000000001</v>
      </c>
      <c r="H332" s="4">
        <v>-280.34500000000003</v>
      </c>
      <c r="I332" s="4">
        <v>491.76299999999998</v>
      </c>
      <c r="J332" s="4">
        <v>-336.767</v>
      </c>
      <c r="K332" s="4">
        <v>1303.1659999999999</v>
      </c>
      <c r="L332" s="4">
        <v>611.04700000000003</v>
      </c>
      <c r="M332" s="4">
        <v>816.1</v>
      </c>
      <c r="N332" s="4">
        <v>487.06599999999997</v>
      </c>
      <c r="O332" s="4">
        <v>-328.995</v>
      </c>
      <c r="P332" s="4">
        <v>254.79400000000001</v>
      </c>
      <c r="Q332" s="4">
        <v>1056.037</v>
      </c>
      <c r="R332" s="4">
        <v>58.802</v>
      </c>
      <c r="S332" s="4">
        <v>1704.721</v>
      </c>
      <c r="T332" s="4">
        <v>1872.1369999999999</v>
      </c>
      <c r="U332" s="4">
        <v>1596.1130000000001</v>
      </c>
      <c r="V332" s="4">
        <v>1776.48</v>
      </c>
      <c r="W332" s="4">
        <v>1560.095</v>
      </c>
      <c r="X332" s="4">
        <v>1506.412</v>
      </c>
      <c r="Y332">
        <v>-0.210991953577222</v>
      </c>
      <c r="Z332">
        <v>1609.7750000000001</v>
      </c>
      <c r="AA332" t="s">
        <v>53</v>
      </c>
      <c r="AB332">
        <v>2</v>
      </c>
      <c r="AC332" t="s">
        <v>33</v>
      </c>
      <c r="AD332" s="5">
        <f t="shared" si="50"/>
        <v>-0.20908897100836066</v>
      </c>
      <c r="AE332" s="5">
        <f t="shared" si="51"/>
        <v>-0.57008152301006798</v>
      </c>
      <c r="AF332" s="5">
        <f t="shared" si="52"/>
        <v>3.2879135822557116E-2</v>
      </c>
      <c r="AG332" s="5">
        <f t="shared" si="53"/>
        <v>0.30515759222561306</v>
      </c>
      <c r="AH332" s="5">
        <f t="shared" si="54"/>
        <v>0.85256207211331225</v>
      </c>
      <c r="AI332" s="5">
        <f t="shared" si="55"/>
        <v>-1.3217226465301379</v>
      </c>
      <c r="AJ332" s="5">
        <f t="shared" si="56"/>
        <v>1.596821467957358</v>
      </c>
      <c r="AK332" s="5">
        <f t="shared" si="57"/>
        <v>-0.21099195357722164</v>
      </c>
      <c r="AL332" s="5">
        <f t="shared" si="58"/>
        <v>0.69608474166153433</v>
      </c>
      <c r="AM332" s="10">
        <f t="shared" si="59"/>
        <v>1.0096434569442334</v>
      </c>
    </row>
    <row r="333" spans="1:39" x14ac:dyDescent="0.3">
      <c r="A333">
        <v>186</v>
      </c>
      <c r="B333" t="s">
        <v>265</v>
      </c>
      <c r="C333" t="s">
        <v>55</v>
      </c>
      <c r="D333" s="1">
        <v>41345</v>
      </c>
      <c r="E333">
        <v>16</v>
      </c>
      <c r="F333" t="s">
        <v>266</v>
      </c>
      <c r="G333" s="4">
        <v>4.7489999999999997</v>
      </c>
      <c r="H333" s="4">
        <v>102.815</v>
      </c>
      <c r="I333" s="4">
        <v>1660.867</v>
      </c>
      <c r="J333" s="4">
        <v>141.27799999999999</v>
      </c>
      <c r="K333" s="4">
        <v>1376.01</v>
      </c>
      <c r="L333" s="4">
        <v>8.0589999999999993</v>
      </c>
      <c r="M333" s="4">
        <v>1203.548</v>
      </c>
      <c r="N333" s="4">
        <v>172.46199999999999</v>
      </c>
      <c r="O333" s="4">
        <v>37.625999999999998</v>
      </c>
      <c r="P333" s="4">
        <v>92.424000000000007</v>
      </c>
      <c r="Q333" s="4">
        <v>74.399000000000001</v>
      </c>
      <c r="R333" s="4">
        <v>27.922000000000001</v>
      </c>
      <c r="S333" s="4">
        <v>836.11300000000006</v>
      </c>
      <c r="T333" s="4">
        <v>1277.9469999999999</v>
      </c>
      <c r="U333" s="4">
        <v>1497.9570000000001</v>
      </c>
      <c r="V333" s="4">
        <v>1028.3489999999999</v>
      </c>
      <c r="W333" s="4">
        <v>764.79700000000003</v>
      </c>
      <c r="X333" s="4">
        <v>645.78499999999997</v>
      </c>
      <c r="Y333">
        <v>9.4313788713561206E-2</v>
      </c>
      <c r="Z333">
        <v>984.22199999999998</v>
      </c>
      <c r="AA333" t="s">
        <v>53</v>
      </c>
      <c r="AB333">
        <v>2</v>
      </c>
      <c r="AC333" t="s">
        <v>33</v>
      </c>
      <c r="AD333" s="5">
        <f t="shared" si="50"/>
        <v>3.759639568603328E-3</v>
      </c>
      <c r="AE333" s="5">
        <f t="shared" si="51"/>
        <v>6.1904414983258743E-2</v>
      </c>
      <c r="AF333" s="5">
        <f t="shared" si="52"/>
        <v>2.6415522738238273E-2</v>
      </c>
      <c r="AG333" s="5">
        <f t="shared" si="53"/>
        <v>0.11513147573661993</v>
      </c>
      <c r="AH333" s="5">
        <f t="shared" si="54"/>
        <v>1.1721589392987348</v>
      </c>
      <c r="AI333" s="5">
        <f t="shared" si="55"/>
        <v>1.5285856487492424</v>
      </c>
      <c r="AJ333" s="5">
        <f t="shared" si="56"/>
        <v>1.1432946587921711</v>
      </c>
      <c r="AK333" s="5">
        <f t="shared" si="57"/>
        <v>9.4313788713561192E-2</v>
      </c>
      <c r="AL333" s="5">
        <f t="shared" si="58"/>
        <v>1.0767347941659553</v>
      </c>
      <c r="AM333" s="10">
        <f t="shared" si="59"/>
        <v>9.6303359580661247</v>
      </c>
    </row>
    <row r="334" spans="1:39" x14ac:dyDescent="0.3">
      <c r="A334">
        <v>193</v>
      </c>
      <c r="B334" t="s">
        <v>271</v>
      </c>
      <c r="C334" t="s">
        <v>55</v>
      </c>
      <c r="D334" s="1">
        <v>37287</v>
      </c>
      <c r="E334">
        <v>0</v>
      </c>
      <c r="F334" t="s">
        <v>272</v>
      </c>
      <c r="G334" s="4">
        <v>-22.126000000000001</v>
      </c>
      <c r="H334" s="4">
        <v>-5.2960000000000003</v>
      </c>
      <c r="I334" s="4">
        <v>12.462</v>
      </c>
      <c r="J334" s="4">
        <v>37.482999999999997</v>
      </c>
      <c r="K334" s="4">
        <v>620.89599999999996</v>
      </c>
      <c r="L334" s="4">
        <v>554.34500000000003</v>
      </c>
      <c r="M334" s="4">
        <v>1324.796</v>
      </c>
      <c r="N334" s="4">
        <v>-703.9</v>
      </c>
      <c r="O334" s="4">
        <v>-19.628</v>
      </c>
      <c r="P334" s="4">
        <v>741.38300000000004</v>
      </c>
      <c r="Q334" s="4">
        <v>0</v>
      </c>
      <c r="R334" s="4">
        <v>12.202</v>
      </c>
      <c r="S334" s="4">
        <v>1350.396</v>
      </c>
      <c r="T334" s="4">
        <v>1324.796</v>
      </c>
      <c r="U334" s="4">
        <v>1362.279</v>
      </c>
      <c r="V334" s="4">
        <v>1410.0039999999999</v>
      </c>
      <c r="W334" s="4">
        <v>1252.442</v>
      </c>
      <c r="X334" s="4">
        <v>1257.0619999999999</v>
      </c>
      <c r="Y334">
        <v>2.7514921686379999E-2</v>
      </c>
      <c r="Z334">
        <v>1320.4467500000001</v>
      </c>
      <c r="AA334" t="s">
        <v>53</v>
      </c>
      <c r="AB334">
        <v>2</v>
      </c>
      <c r="AC334" t="s">
        <v>33</v>
      </c>
      <c r="AD334" s="5">
        <f t="shared" si="50"/>
        <v>-1.5962295335649357E-2</v>
      </c>
      <c r="AE334" s="5">
        <f t="shared" si="51"/>
        <v>-0.4249719146204462</v>
      </c>
      <c r="AF334" s="5">
        <f t="shared" si="52"/>
        <v>9.1223358921527879E-3</v>
      </c>
      <c r="AG334" s="5">
        <f t="shared" si="53"/>
        <v>-0.51670766414222047</v>
      </c>
      <c r="AH334" s="5">
        <f t="shared" si="54"/>
        <v>1.0282934127216568</v>
      </c>
      <c r="AI334" s="5">
        <f t="shared" si="55"/>
        <v>5.0558213500983967E-2</v>
      </c>
      <c r="AJ334" s="5">
        <f t="shared" si="56"/>
        <v>0.46867291265976041</v>
      </c>
      <c r="AK334" s="5">
        <f t="shared" si="57"/>
        <v>2.7514921686379954E-2</v>
      </c>
      <c r="AL334" s="5">
        <f t="shared" si="58"/>
        <v>0.46867291265976041</v>
      </c>
      <c r="AM334" s="10">
        <f t="shared" si="59"/>
        <v>-1.7704219349339394E-2</v>
      </c>
    </row>
    <row r="335" spans="1:39" x14ac:dyDescent="0.3">
      <c r="A335">
        <v>197</v>
      </c>
      <c r="B335" t="s">
        <v>275</v>
      </c>
      <c r="C335" t="s">
        <v>96</v>
      </c>
      <c r="D335" s="1">
        <v>41466</v>
      </c>
      <c r="E335">
        <v>5</v>
      </c>
      <c r="F335" t="s">
        <v>276</v>
      </c>
      <c r="G335" s="4">
        <v>-60.985999999999997</v>
      </c>
      <c r="H335" s="4">
        <v>-30.757000000000001</v>
      </c>
      <c r="I335" s="4">
        <v>1594.944</v>
      </c>
      <c r="J335" s="4">
        <v>64.727000000000004</v>
      </c>
      <c r="K335" s="4">
        <v>953.75900000000001</v>
      </c>
      <c r="L335" s="4">
        <v>0</v>
      </c>
      <c r="M335" s="4">
        <v>1226.3979999999999</v>
      </c>
      <c r="N335" s="4">
        <v>-272.63900000000001</v>
      </c>
      <c r="O335" s="4">
        <v>-44.093000000000004</v>
      </c>
      <c r="P335" s="4">
        <v>355.33699999999999</v>
      </c>
      <c r="Q335" s="4">
        <v>0</v>
      </c>
      <c r="R335" s="4">
        <v>13.336</v>
      </c>
      <c r="S335" s="4">
        <v>1165.7380000000001</v>
      </c>
      <c r="T335" s="4">
        <v>1226.3979999999999</v>
      </c>
      <c r="U335" s="4">
        <v>1317.5719999999999</v>
      </c>
      <c r="V335" s="4">
        <v>1309.335</v>
      </c>
      <c r="W335" s="4">
        <v>88.281999999999996</v>
      </c>
      <c r="X335" s="4">
        <v>87.069000000000003</v>
      </c>
      <c r="Y335">
        <v>4.9125968068538202E-2</v>
      </c>
      <c r="Z335">
        <v>700.56449999999995</v>
      </c>
      <c r="AA335" t="s">
        <v>53</v>
      </c>
      <c r="AB335">
        <v>2</v>
      </c>
      <c r="AC335" t="s">
        <v>33</v>
      </c>
      <c r="AD335" s="5">
        <f t="shared" si="50"/>
        <v>-4.6431792217996294E-2</v>
      </c>
      <c r="AE335" s="5">
        <f t="shared" si="51"/>
        <v>-1.9284062637935879E-2</v>
      </c>
      <c r="AF335" s="5">
        <f t="shared" si="52"/>
        <v>1.114986773327269E-2</v>
      </c>
      <c r="AG335" s="5">
        <f t="shared" si="53"/>
        <v>-0.20692531413843041</v>
      </c>
      <c r="AH335" s="5">
        <f t="shared" si="54"/>
        <v>1.0743429131489124</v>
      </c>
      <c r="AI335" s="5">
        <f t="shared" si="55"/>
        <v>0.18215665692005056</v>
      </c>
      <c r="AJ335" s="5">
        <f t="shared" si="56"/>
        <v>0.77769125520426496</v>
      </c>
      <c r="AK335" s="5">
        <f t="shared" si="57"/>
        <v>4.9125968068538195E-2</v>
      </c>
      <c r="AL335" s="5">
        <f t="shared" si="58"/>
        <v>0.77769125520426496</v>
      </c>
      <c r="AM335" s="10">
        <f t="shared" si="59"/>
        <v>-5.8500214569448978</v>
      </c>
    </row>
    <row r="336" spans="1:39" x14ac:dyDescent="0.3">
      <c r="A336">
        <v>210</v>
      </c>
      <c r="B336" t="s">
        <v>289</v>
      </c>
      <c r="C336" t="s">
        <v>96</v>
      </c>
      <c r="D336" s="1">
        <v>40568</v>
      </c>
      <c r="E336">
        <v>13</v>
      </c>
      <c r="F336" t="s">
        <v>290</v>
      </c>
      <c r="G336" s="4">
        <v>-1426.98</v>
      </c>
      <c r="H336" s="4">
        <v>-1362.713</v>
      </c>
      <c r="I336" s="4">
        <v>3025.5479999999998</v>
      </c>
      <c r="J336" s="4">
        <v>-1320.308</v>
      </c>
      <c r="K336" s="4">
        <v>1073.9580000000001</v>
      </c>
      <c r="L336" s="4">
        <v>0</v>
      </c>
      <c r="M336" s="4">
        <v>2209.1309999999999</v>
      </c>
      <c r="N336" s="4">
        <v>-1135.173</v>
      </c>
      <c r="O336" s="4">
        <v>-1410.633</v>
      </c>
      <c r="P336" s="4">
        <v>59.917999999999999</v>
      </c>
      <c r="Q336" s="4">
        <v>189.08099999999999</v>
      </c>
      <c r="R336" s="4">
        <v>47.923000000000002</v>
      </c>
      <c r="S336" s="4">
        <v>1366.2560000000001</v>
      </c>
      <c r="T336" s="4">
        <v>2398.212</v>
      </c>
      <c r="U336" s="4">
        <v>1152.576</v>
      </c>
      <c r="V336" s="4">
        <v>1558.1869999999999</v>
      </c>
      <c r="W336" s="4">
        <v>950.28700000000003</v>
      </c>
      <c r="X336" s="4">
        <v>477.00200000000001</v>
      </c>
      <c r="Y336">
        <v>-1.1455279304792001</v>
      </c>
      <c r="Z336">
        <v>1034.5129999999999</v>
      </c>
      <c r="AA336" t="s">
        <v>53</v>
      </c>
      <c r="AB336">
        <v>2</v>
      </c>
      <c r="AC336" t="s">
        <v>33</v>
      </c>
      <c r="AD336" s="5">
        <f t="shared" si="50"/>
        <v>-1.0528253484351084</v>
      </c>
      <c r="AE336" s="5">
        <f t="shared" si="51"/>
        <v>-0.45040204286958929</v>
      </c>
      <c r="AF336" s="5">
        <f t="shared" si="52"/>
        <v>2.5460702548142262E-2</v>
      </c>
      <c r="AG336" s="5">
        <f t="shared" si="53"/>
        <v>-0.984900778777278</v>
      </c>
      <c r="AH336" s="5">
        <f t="shared" si="54"/>
        <v>0.48059804554393026</v>
      </c>
      <c r="AI336" s="5">
        <f t="shared" si="55"/>
        <v>-22.035248172502421</v>
      </c>
      <c r="AJ336" s="5">
        <f t="shared" si="56"/>
        <v>0.48614500452893022</v>
      </c>
      <c r="AK336" s="5">
        <f t="shared" si="57"/>
        <v>-1.1455279304792048</v>
      </c>
      <c r="AL336" s="5">
        <f t="shared" si="58"/>
        <v>0.4478161230116437</v>
      </c>
      <c r="AM336" s="10">
        <f t="shared" si="59"/>
        <v>-2.6652748083331788</v>
      </c>
    </row>
    <row r="337" spans="1:39" x14ac:dyDescent="0.3">
      <c r="A337">
        <v>216</v>
      </c>
      <c r="B337" t="s">
        <v>297</v>
      </c>
      <c r="C337" t="s">
        <v>55</v>
      </c>
      <c r="D337" s="1">
        <v>36279</v>
      </c>
      <c r="E337">
        <v>0</v>
      </c>
      <c r="F337" t="s">
        <v>298</v>
      </c>
      <c r="G337" s="4">
        <v>0</v>
      </c>
      <c r="H337" s="4">
        <v>0</v>
      </c>
      <c r="I337" s="4">
        <v>12</v>
      </c>
      <c r="J337" s="4">
        <v>-1328.489</v>
      </c>
      <c r="K337" s="4">
        <v>1131.394</v>
      </c>
      <c r="L337" s="4">
        <v>564.79999999999995</v>
      </c>
      <c r="M337" s="4">
        <v>2459.8829999999998</v>
      </c>
      <c r="N337" s="4">
        <v>-1328.489</v>
      </c>
      <c r="O337" s="4">
        <v>0</v>
      </c>
      <c r="P337" s="4">
        <v>0</v>
      </c>
      <c r="Q337" s="4">
        <v>0</v>
      </c>
      <c r="R337" s="4">
        <v>0</v>
      </c>
      <c r="S337" s="4">
        <v>2459.8829999999998</v>
      </c>
      <c r="T337" s="4">
        <v>2459.8829999999998</v>
      </c>
      <c r="U337" s="4">
        <v>1131.394</v>
      </c>
      <c r="V337" s="4">
        <v>1131.232</v>
      </c>
      <c r="W337" s="4">
        <v>2769.473</v>
      </c>
      <c r="X337" s="4">
        <v>2769.0250000000001</v>
      </c>
      <c r="Y337">
        <v>-1.1742054492069101</v>
      </c>
      <c r="Z337">
        <v>1950.2809999999999</v>
      </c>
      <c r="AA337" t="s">
        <v>53</v>
      </c>
      <c r="AB337">
        <v>2</v>
      </c>
      <c r="AC337" t="s">
        <v>33</v>
      </c>
      <c r="AD337" s="5">
        <f t="shared" si="50"/>
        <v>0</v>
      </c>
      <c r="AE337" s="5">
        <f t="shared" si="51"/>
        <v>0</v>
      </c>
      <c r="AF337" s="5">
        <f t="shared" si="52"/>
        <v>0</v>
      </c>
      <c r="AG337" s="5">
        <f t="shared" si="53"/>
        <v>-1.1742054492069076</v>
      </c>
      <c r="AH337" s="5">
        <f t="shared" si="54"/>
        <v>0.45993813526903521</v>
      </c>
      <c r="AI337" s="5" t="e">
        <f t="shared" si="55"/>
        <v>#DIV/0!</v>
      </c>
      <c r="AJ337" s="5">
        <f t="shared" si="56"/>
        <v>0.45993813526903521</v>
      </c>
      <c r="AK337" s="5">
        <f t="shared" si="57"/>
        <v>-1.1742054492069076</v>
      </c>
      <c r="AL337" s="5">
        <f t="shared" si="58"/>
        <v>0.45993813526903521</v>
      </c>
      <c r="AM337" s="10">
        <f t="shared" si="59"/>
        <v>-9.0328184877706934E-3</v>
      </c>
    </row>
    <row r="338" spans="1:39" x14ac:dyDescent="0.3">
      <c r="A338">
        <v>226</v>
      </c>
      <c r="B338" t="s">
        <v>311</v>
      </c>
      <c r="C338" t="s">
        <v>96</v>
      </c>
      <c r="D338" s="1">
        <v>34281</v>
      </c>
      <c r="E338">
        <v>3</v>
      </c>
      <c r="F338" t="s">
        <v>312</v>
      </c>
      <c r="G338" s="4">
        <v>-1436.17</v>
      </c>
      <c r="H338" s="4">
        <v>-1426.203</v>
      </c>
      <c r="I338" s="4">
        <v>184.285</v>
      </c>
      <c r="J338" s="4">
        <v>-488.96499999999997</v>
      </c>
      <c r="K338" s="4">
        <v>995.82</v>
      </c>
      <c r="L338" s="4">
        <v>758.346</v>
      </c>
      <c r="M338" s="4">
        <v>641.55100000000004</v>
      </c>
      <c r="N338" s="4">
        <v>354.26900000000001</v>
      </c>
      <c r="O338" s="4">
        <v>-1434.4929999999999</v>
      </c>
      <c r="P338" s="4">
        <v>17.86</v>
      </c>
      <c r="Q338" s="4">
        <v>0</v>
      </c>
      <c r="R338" s="4">
        <v>8.2899999999999991</v>
      </c>
      <c r="S338" s="4">
        <v>540.83199999999999</v>
      </c>
      <c r="T338" s="4">
        <v>641.55100000000004</v>
      </c>
      <c r="U338" s="4">
        <v>1014.436</v>
      </c>
      <c r="V338" s="4">
        <v>1474.3019999999999</v>
      </c>
      <c r="W338" s="4">
        <v>1750.6210000000001</v>
      </c>
      <c r="X338" s="4">
        <v>1902.338</v>
      </c>
      <c r="Y338">
        <v>-0.48200675054907399</v>
      </c>
      <c r="Z338">
        <v>1535.42425</v>
      </c>
      <c r="AA338" t="s">
        <v>53</v>
      </c>
      <c r="AB338">
        <v>2</v>
      </c>
      <c r="AC338" t="s">
        <v>33</v>
      </c>
      <c r="AD338" s="5">
        <f t="shared" si="50"/>
        <v>-1.154135148014777</v>
      </c>
      <c r="AE338" s="5">
        <f t="shared" si="51"/>
        <v>-7.7391160430854384</v>
      </c>
      <c r="AF338" s="5">
        <f t="shared" si="52"/>
        <v>1.4022529078987095E-2</v>
      </c>
      <c r="AG338" s="5">
        <f t="shared" si="53"/>
        <v>0.3492275510727143</v>
      </c>
      <c r="AH338" s="5">
        <f t="shared" si="54"/>
        <v>1.581224251852152</v>
      </c>
      <c r="AI338" s="5">
        <f t="shared" si="55"/>
        <v>-27.377659574468083</v>
      </c>
      <c r="AJ338" s="5">
        <f t="shared" si="56"/>
        <v>1.552207073171112</v>
      </c>
      <c r="AK338" s="5">
        <f t="shared" si="57"/>
        <v>-0.48200675054907355</v>
      </c>
      <c r="AL338" s="5">
        <f t="shared" si="58"/>
        <v>1.552207073171112</v>
      </c>
      <c r="AM338" s="10">
        <f t="shared" si="59"/>
        <v>0.52018381512353606</v>
      </c>
    </row>
    <row r="339" spans="1:39" x14ac:dyDescent="0.3">
      <c r="A339">
        <v>243</v>
      </c>
      <c r="B339" t="s">
        <v>329</v>
      </c>
      <c r="C339" t="s">
        <v>162</v>
      </c>
      <c r="D339" s="1">
        <v>41887</v>
      </c>
      <c r="E339">
        <v>10</v>
      </c>
      <c r="F339" t="s">
        <v>330</v>
      </c>
      <c r="G339" s="4">
        <v>-526.81200000000001</v>
      </c>
      <c r="H339" s="4">
        <v>-516.03599999999994</v>
      </c>
      <c r="I339" s="4">
        <v>413.56400000000002</v>
      </c>
      <c r="J339" s="4">
        <v>-525.77700000000004</v>
      </c>
      <c r="K339" s="4">
        <v>785.95899999999995</v>
      </c>
      <c r="L339" s="4">
        <v>0</v>
      </c>
      <c r="M339" s="4">
        <v>1231.33</v>
      </c>
      <c r="N339" s="4">
        <v>-445.37099999999998</v>
      </c>
      <c r="O339" s="4">
        <v>-520.63</v>
      </c>
      <c r="P339" s="4">
        <v>41.874000000000002</v>
      </c>
      <c r="Q339" s="4">
        <v>79.525000000000006</v>
      </c>
      <c r="R339" s="4">
        <v>4.6139999999999999</v>
      </c>
      <c r="S339" s="4">
        <v>1107.703</v>
      </c>
      <c r="T339" s="4">
        <v>1310.855</v>
      </c>
      <c r="U339" s="4">
        <v>828.80799999999999</v>
      </c>
      <c r="V339" s="4">
        <v>1151.3409999999999</v>
      </c>
      <c r="W339" s="4">
        <v>744.41300000000001</v>
      </c>
      <c r="X339" s="4">
        <v>700.75599999999997</v>
      </c>
      <c r="Y339">
        <v>-0.63437732261271595</v>
      </c>
      <c r="Z339">
        <v>856.32950000000005</v>
      </c>
      <c r="AA339" t="s">
        <v>53</v>
      </c>
      <c r="AB339">
        <v>2</v>
      </c>
      <c r="AC339" t="s">
        <v>33</v>
      </c>
      <c r="AD339" s="5">
        <f t="shared" si="50"/>
        <v>-0.53209329196944277</v>
      </c>
      <c r="AE339" s="5">
        <f t="shared" si="51"/>
        <v>-1.2477778530046133</v>
      </c>
      <c r="AF339" s="5">
        <f t="shared" si="52"/>
        <v>3.8154966719838846E-3</v>
      </c>
      <c r="AG339" s="5">
        <f t="shared" si="53"/>
        <v>-0.5373632976515671</v>
      </c>
      <c r="AH339" s="5">
        <f t="shared" si="54"/>
        <v>0.63226520095662753</v>
      </c>
      <c r="AI339" s="5">
        <f t="shared" si="55"/>
        <v>-12.556168505516551</v>
      </c>
      <c r="AJ339" s="5">
        <f t="shared" si="56"/>
        <v>0.63830086166990163</v>
      </c>
      <c r="AK339" s="5">
        <f t="shared" si="57"/>
        <v>-0.63437732261271618</v>
      </c>
      <c r="AL339" s="5">
        <f t="shared" si="58"/>
        <v>0.59957737507199493</v>
      </c>
      <c r="AM339" s="10">
        <f t="shared" si="59"/>
        <v>-0.92858313630658496</v>
      </c>
    </row>
    <row r="340" spans="1:39" x14ac:dyDescent="0.3">
      <c r="A340">
        <v>257</v>
      </c>
      <c r="B340" t="s">
        <v>343</v>
      </c>
      <c r="C340" t="s">
        <v>55</v>
      </c>
      <c r="D340" s="1">
        <v>29759</v>
      </c>
      <c r="E340">
        <v>1</v>
      </c>
      <c r="F340" t="s">
        <v>344</v>
      </c>
      <c r="G340" s="4">
        <v>-10.145</v>
      </c>
      <c r="H340" s="4">
        <v>9.5370000000000008</v>
      </c>
      <c r="I340" s="4">
        <v>54.496000000000002</v>
      </c>
      <c r="J340" s="4">
        <v>77.120999999999995</v>
      </c>
      <c r="K340" s="4">
        <v>159.40700000000001</v>
      </c>
      <c r="L340" s="4">
        <v>53.804000000000002</v>
      </c>
      <c r="M340" s="4">
        <v>463.89800000000002</v>
      </c>
      <c r="N340" s="4">
        <v>-304.49099999999999</v>
      </c>
      <c r="O340" s="4">
        <v>1.353</v>
      </c>
      <c r="P340" s="4">
        <v>560.22699999999998</v>
      </c>
      <c r="Q340" s="4">
        <v>0</v>
      </c>
      <c r="R340" s="4">
        <v>8.1839999999999993</v>
      </c>
      <c r="S340" s="4">
        <v>502.76</v>
      </c>
      <c r="T340" s="4">
        <v>463.89800000000002</v>
      </c>
      <c r="U340" s="4">
        <v>719.86199999999997</v>
      </c>
      <c r="V340" s="4">
        <v>766.27300000000002</v>
      </c>
      <c r="W340" s="4">
        <v>917.34699999999998</v>
      </c>
      <c r="X340" s="4">
        <v>988.54399999999998</v>
      </c>
      <c r="Y340">
        <v>0.107133033831484</v>
      </c>
      <c r="Z340">
        <v>848.00649999999996</v>
      </c>
      <c r="AA340" t="s">
        <v>53</v>
      </c>
      <c r="AB340">
        <v>2</v>
      </c>
      <c r="AC340" t="s">
        <v>33</v>
      </c>
      <c r="AD340" s="5">
        <f t="shared" si="50"/>
        <v>-1.3652864645540276E-2</v>
      </c>
      <c r="AE340" s="5">
        <f t="shared" si="51"/>
        <v>0.17500366999412803</v>
      </c>
      <c r="AF340" s="5">
        <f t="shared" si="52"/>
        <v>1.6932565602312294E-2</v>
      </c>
      <c r="AG340" s="5">
        <f t="shared" si="53"/>
        <v>-0.42298523883744382</v>
      </c>
      <c r="AH340" s="5">
        <f t="shared" si="54"/>
        <v>1.5517678455177646</v>
      </c>
      <c r="AI340" s="5">
        <f t="shared" si="55"/>
        <v>0.1376602698548981</v>
      </c>
      <c r="AJ340" s="5">
        <f t="shared" si="56"/>
        <v>0.34362510724340267</v>
      </c>
      <c r="AK340" s="5">
        <f t="shared" si="57"/>
        <v>0.10713303383148437</v>
      </c>
      <c r="AL340" s="5">
        <f t="shared" si="58"/>
        <v>0.34362510724340267</v>
      </c>
      <c r="AM340" s="10">
        <f t="shared" si="59"/>
        <v>-0.17897409118824531</v>
      </c>
    </row>
    <row r="341" spans="1:39" x14ac:dyDescent="0.3">
      <c r="A341">
        <v>261</v>
      </c>
      <c r="B341" t="s">
        <v>347</v>
      </c>
      <c r="C341" t="s">
        <v>96</v>
      </c>
      <c r="D341" s="1">
        <v>30942</v>
      </c>
      <c r="E341">
        <v>0</v>
      </c>
      <c r="F341" t="s">
        <v>348</v>
      </c>
      <c r="G341" s="4">
        <v>-44.140999999999998</v>
      </c>
      <c r="H341" s="4">
        <v>-23.82</v>
      </c>
      <c r="I341" s="4">
        <v>110.5</v>
      </c>
      <c r="J341" s="4">
        <v>-2454.415</v>
      </c>
      <c r="K341" s="4">
        <v>659.00800000000004</v>
      </c>
      <c r="L341" s="4">
        <v>552.35</v>
      </c>
      <c r="M341" s="4">
        <v>3142.6410000000001</v>
      </c>
      <c r="N341" s="4">
        <v>-2483.6329999999998</v>
      </c>
      <c r="O341" s="4">
        <v>-44.140999999999998</v>
      </c>
      <c r="P341" s="4">
        <v>29.218</v>
      </c>
      <c r="Q341" s="4">
        <v>0</v>
      </c>
      <c r="R341" s="4">
        <v>20.321000000000002</v>
      </c>
      <c r="S341" s="4">
        <v>3088.944</v>
      </c>
      <c r="T341" s="4">
        <v>3142.6410000000001</v>
      </c>
      <c r="U341" s="4">
        <v>688.226</v>
      </c>
      <c r="V341" s="4">
        <v>767.93600000000004</v>
      </c>
      <c r="W341" s="4">
        <v>773.21400000000006</v>
      </c>
      <c r="X341" s="4">
        <v>2004.481</v>
      </c>
      <c r="Y341">
        <v>-3.5662921772789802</v>
      </c>
      <c r="Z341">
        <v>1058.46425</v>
      </c>
      <c r="AA341" t="s">
        <v>53</v>
      </c>
      <c r="AB341">
        <v>2</v>
      </c>
      <c r="AC341" t="s">
        <v>33</v>
      </c>
      <c r="AD341" s="5">
        <f t="shared" si="50"/>
        <v>-6.0626496227754872E-2</v>
      </c>
      <c r="AE341" s="5">
        <f t="shared" si="51"/>
        <v>-0.2155656108597285</v>
      </c>
      <c r="AF341" s="5">
        <f t="shared" si="52"/>
        <v>6.5219362329166659E-3</v>
      </c>
      <c r="AG341" s="5">
        <f t="shared" si="53"/>
        <v>-3.6087462548639544</v>
      </c>
      <c r="AH341" s="5">
        <f t="shared" si="54"/>
        <v>0.21899606095637394</v>
      </c>
      <c r="AI341" s="5">
        <f t="shared" si="55"/>
        <v>-84.003525224176883</v>
      </c>
      <c r="AJ341" s="5">
        <f t="shared" si="56"/>
        <v>0.2096987851937272</v>
      </c>
      <c r="AK341" s="5">
        <f t="shared" si="57"/>
        <v>-3.5662921772789753</v>
      </c>
      <c r="AL341" s="5">
        <f t="shared" si="58"/>
        <v>0.2096987851937272</v>
      </c>
      <c r="AM341" s="10">
        <f t="shared" si="59"/>
        <v>-4.4491275482327709E-2</v>
      </c>
    </row>
    <row r="342" spans="1:39" x14ac:dyDescent="0.3">
      <c r="A342">
        <v>270</v>
      </c>
      <c r="B342" t="s">
        <v>358</v>
      </c>
      <c r="C342" t="s">
        <v>55</v>
      </c>
      <c r="D342" s="1">
        <v>24759</v>
      </c>
      <c r="E342">
        <v>0</v>
      </c>
      <c r="F342" t="s">
        <v>359</v>
      </c>
      <c r="G342" s="4">
        <v>-38.613</v>
      </c>
      <c r="H342" s="4">
        <v>-36.377000000000002</v>
      </c>
      <c r="I342" s="4">
        <v>182.86</v>
      </c>
      <c r="J342" s="4">
        <v>-1867.8810000000001</v>
      </c>
      <c r="K342" s="4">
        <v>618.82000000000005</v>
      </c>
      <c r="L342" s="4">
        <v>396.30500000000001</v>
      </c>
      <c r="M342" s="4">
        <v>1941.8240000000001</v>
      </c>
      <c r="N342" s="4">
        <v>-1323.0039999999999</v>
      </c>
      <c r="O342" s="4">
        <v>-38.613</v>
      </c>
      <c r="P342" s="4">
        <v>1E-3</v>
      </c>
      <c r="Q342" s="4">
        <v>544.87800000000004</v>
      </c>
      <c r="R342" s="4">
        <v>1.597</v>
      </c>
      <c r="S342" s="4">
        <v>2445.13</v>
      </c>
      <c r="T342" s="4">
        <v>2486.7020000000002</v>
      </c>
      <c r="U342" s="4">
        <v>618.82100000000003</v>
      </c>
      <c r="V342" s="4">
        <v>615.86300000000006</v>
      </c>
      <c r="W342" s="4">
        <v>2242.2240000000002</v>
      </c>
      <c r="X342" s="4">
        <v>2629.4340000000002</v>
      </c>
      <c r="Y342">
        <v>-3.0184512161028798</v>
      </c>
      <c r="Z342">
        <v>1526.5854999999999</v>
      </c>
      <c r="AA342" t="s">
        <v>53</v>
      </c>
      <c r="AB342">
        <v>2</v>
      </c>
      <c r="AC342" t="s">
        <v>33</v>
      </c>
      <c r="AD342" s="5">
        <f t="shared" si="50"/>
        <v>-6.2547178063374911E-2</v>
      </c>
      <c r="AE342" s="5">
        <f t="shared" si="51"/>
        <v>-0.19893361041233731</v>
      </c>
      <c r="AF342" s="5">
        <f t="shared" si="52"/>
        <v>6.4762952184908157E-4</v>
      </c>
      <c r="AG342" s="5">
        <f t="shared" si="53"/>
        <v>-2.1379429592725518</v>
      </c>
      <c r="AH342" s="5">
        <f t="shared" si="54"/>
        <v>0.24885209405871711</v>
      </c>
      <c r="AI342" s="5">
        <f t="shared" si="55"/>
        <v>-1867881</v>
      </c>
      <c r="AJ342" s="5">
        <f t="shared" si="56"/>
        <v>0.31867975676477378</v>
      </c>
      <c r="AK342" s="5">
        <f t="shared" si="57"/>
        <v>-3.0184512161028794</v>
      </c>
      <c r="AL342" s="5">
        <f t="shared" si="58"/>
        <v>0.24885169191965906</v>
      </c>
      <c r="AM342" s="10">
        <f t="shared" si="59"/>
        <v>-0.13821575747314446</v>
      </c>
    </row>
    <row r="343" spans="1:39" x14ac:dyDescent="0.3">
      <c r="A343">
        <v>281</v>
      </c>
      <c r="B343" t="s">
        <v>368</v>
      </c>
      <c r="C343" t="s">
        <v>96</v>
      </c>
      <c r="D343" s="1">
        <v>40263</v>
      </c>
      <c r="E343">
        <v>6</v>
      </c>
      <c r="F343" t="s">
        <v>369</v>
      </c>
      <c r="G343" s="4">
        <v>-1913.894</v>
      </c>
      <c r="H343" s="4">
        <v>-1713.3679999999999</v>
      </c>
      <c r="I343" s="4">
        <v>399.5</v>
      </c>
      <c r="J343" s="4">
        <v>-1898.694</v>
      </c>
      <c r="K343" s="4">
        <v>86.046999999999997</v>
      </c>
      <c r="L343" s="4">
        <v>26.116</v>
      </c>
      <c r="M343" s="4">
        <v>1868.0619999999999</v>
      </c>
      <c r="N343" s="4">
        <v>-1782.0150000000001</v>
      </c>
      <c r="O343" s="4">
        <v>-1772.86</v>
      </c>
      <c r="P343" s="4">
        <v>446.74599999999998</v>
      </c>
      <c r="Q343" s="4">
        <v>467.03300000000002</v>
      </c>
      <c r="R343" s="4">
        <v>59.491999999999997</v>
      </c>
      <c r="S343" s="4">
        <v>2022.694</v>
      </c>
      <c r="T343" s="4">
        <v>2335.0949999999998</v>
      </c>
      <c r="U343" s="4">
        <v>532.79300000000001</v>
      </c>
      <c r="V343" s="4">
        <v>2131.7649999999999</v>
      </c>
      <c r="W343" s="4">
        <v>2057.616</v>
      </c>
      <c r="X343" s="4">
        <v>1768.415</v>
      </c>
      <c r="Y343">
        <v>-3.5636616847443601</v>
      </c>
      <c r="Z343">
        <v>1622.64725</v>
      </c>
      <c r="AA343" t="s">
        <v>53</v>
      </c>
      <c r="AB343">
        <v>2</v>
      </c>
      <c r="AC343" t="s">
        <v>33</v>
      </c>
      <c r="AD343" s="5">
        <f t="shared" si="50"/>
        <v>-1.4365564570183873</v>
      </c>
      <c r="AE343" s="5">
        <f t="shared" si="51"/>
        <v>-4.2887809762202753</v>
      </c>
      <c r="AF343" s="5">
        <f t="shared" si="52"/>
        <v>2.7303754266211604E-2</v>
      </c>
      <c r="AG343" s="5">
        <f t="shared" si="53"/>
        <v>-3.3446666904407532</v>
      </c>
      <c r="AH343" s="5">
        <f t="shared" si="54"/>
        <v>0.22816759061194514</v>
      </c>
      <c r="AI343" s="5">
        <f t="shared" si="55"/>
        <v>-4.2500526025974494</v>
      </c>
      <c r="AJ343" s="5">
        <f t="shared" si="56"/>
        <v>4.6062175666546398E-2</v>
      </c>
      <c r="AK343" s="5">
        <f t="shared" si="57"/>
        <v>-3.5636616847443565</v>
      </c>
      <c r="AL343" s="5">
        <f t="shared" si="58"/>
        <v>3.6849464368687357E-2</v>
      </c>
      <c r="AM343" s="10">
        <f t="shared" si="59"/>
        <v>-0.22418442044539466</v>
      </c>
    </row>
    <row r="344" spans="1:39" x14ac:dyDescent="0.3">
      <c r="A344">
        <v>277</v>
      </c>
      <c r="B344" t="s">
        <v>364</v>
      </c>
      <c r="C344" t="s">
        <v>96</v>
      </c>
      <c r="D344" s="1">
        <v>40886</v>
      </c>
      <c r="E344">
        <v>15</v>
      </c>
      <c r="F344" t="s">
        <v>365</v>
      </c>
      <c r="G344" s="4">
        <v>-385.44</v>
      </c>
      <c r="H344" s="4">
        <v>-376.34899999999999</v>
      </c>
      <c r="I344" s="4">
        <v>655.57399999999996</v>
      </c>
      <c r="J344" s="4">
        <v>-288.59399999999999</v>
      </c>
      <c r="K344" s="4">
        <v>561.21299999999997</v>
      </c>
      <c r="L344" s="4">
        <v>28.285</v>
      </c>
      <c r="M344" s="4">
        <v>834.50699999999995</v>
      </c>
      <c r="N344" s="4">
        <v>-273.29399999999998</v>
      </c>
      <c r="O344" s="4">
        <v>-383.23200000000003</v>
      </c>
      <c r="P344" s="4">
        <v>10.458</v>
      </c>
      <c r="Q344" s="4">
        <v>0</v>
      </c>
      <c r="R344" s="4">
        <v>7.4909999999999997</v>
      </c>
      <c r="S344" s="4">
        <v>328.37799999999999</v>
      </c>
      <c r="T344" s="4">
        <v>834.50699999999995</v>
      </c>
      <c r="U344" s="4">
        <v>572.31200000000001</v>
      </c>
      <c r="V344" s="4">
        <v>384.05700000000002</v>
      </c>
      <c r="W344" s="4">
        <v>87.463999999999999</v>
      </c>
      <c r="X344" s="4">
        <v>47.250999999999998</v>
      </c>
      <c r="Y344">
        <v>-0.50425991417268901</v>
      </c>
      <c r="Z344">
        <v>272.77100000000002</v>
      </c>
      <c r="AA344" t="s">
        <v>53</v>
      </c>
      <c r="AB344">
        <v>1</v>
      </c>
      <c r="AC344" t="s">
        <v>33</v>
      </c>
      <c r="AD344" s="5">
        <f t="shared" si="50"/>
        <v>-0.80604871132376721</v>
      </c>
      <c r="AE344" s="5">
        <f t="shared" si="51"/>
        <v>-0.57407554295929986</v>
      </c>
      <c r="AF344" s="5">
        <f t="shared" si="52"/>
        <v>1.2883475150165321E-2</v>
      </c>
      <c r="AG344" s="5">
        <f t="shared" si="53"/>
        <v>-0.47752624442611719</v>
      </c>
      <c r="AH344" s="5">
        <f t="shared" si="54"/>
        <v>0.6858085072983211</v>
      </c>
      <c r="AI344" s="5">
        <f t="shared" si="55"/>
        <v>-27.595524956970738</v>
      </c>
      <c r="AJ344" s="5">
        <f t="shared" si="56"/>
        <v>0.67250843911435132</v>
      </c>
      <c r="AK344" s="5">
        <f t="shared" si="57"/>
        <v>-0.50425991417268901</v>
      </c>
      <c r="AL344" s="5">
        <f t="shared" si="58"/>
        <v>0.67250843911435132</v>
      </c>
      <c r="AM344" s="10">
        <f t="shared" si="59"/>
        <v>-2.3987866546649395</v>
      </c>
    </row>
    <row r="345" spans="1:39" x14ac:dyDescent="0.3">
      <c r="A345">
        <v>285</v>
      </c>
      <c r="B345" t="s">
        <v>372</v>
      </c>
      <c r="C345" t="s">
        <v>96</v>
      </c>
      <c r="D345" s="1">
        <v>42412</v>
      </c>
      <c r="E345">
        <v>4</v>
      </c>
      <c r="F345" t="s">
        <v>373</v>
      </c>
      <c r="G345" s="4">
        <v>-228.06700000000001</v>
      </c>
      <c r="H345" s="4">
        <v>-214.42599999999999</v>
      </c>
      <c r="I345" s="4">
        <v>692.88400000000001</v>
      </c>
      <c r="J345" s="4">
        <v>-173.47800000000001</v>
      </c>
      <c r="K345" s="4">
        <v>491.65199999999999</v>
      </c>
      <c r="L345" s="4">
        <v>133.19999999999999</v>
      </c>
      <c r="M345" s="4">
        <v>667.41800000000001</v>
      </c>
      <c r="N345" s="4">
        <v>-175.76599999999999</v>
      </c>
      <c r="O345" s="4">
        <v>-226.31100000000001</v>
      </c>
      <c r="P345" s="4">
        <v>2.585</v>
      </c>
      <c r="Q345" s="4">
        <v>0</v>
      </c>
      <c r="R345" s="4">
        <v>11.885</v>
      </c>
      <c r="S345" s="4">
        <v>692.76700000000005</v>
      </c>
      <c r="T345" s="4">
        <v>667.41800000000001</v>
      </c>
      <c r="U345" s="4">
        <v>494.23700000000002</v>
      </c>
      <c r="V345" s="4">
        <v>764.423</v>
      </c>
      <c r="W345" s="4">
        <v>906.65200000000004</v>
      </c>
      <c r="X345" s="4">
        <v>632.26099999999997</v>
      </c>
      <c r="Y345">
        <v>-0.35100164495980701</v>
      </c>
      <c r="Z345">
        <v>699.39324999999997</v>
      </c>
      <c r="AA345" t="s">
        <v>53</v>
      </c>
      <c r="AB345">
        <v>1</v>
      </c>
      <c r="AC345" t="s">
        <v>33</v>
      </c>
      <c r="AD345" s="5">
        <f t="shared" si="50"/>
        <v>-0.36239651693070407</v>
      </c>
      <c r="AE345" s="5">
        <f t="shared" si="51"/>
        <v>-0.30946882883715021</v>
      </c>
      <c r="AF345" s="5">
        <f t="shared" si="52"/>
        <v>1.7475563985781345E-2</v>
      </c>
      <c r="AG345" s="5">
        <f t="shared" si="53"/>
        <v>-0.35563100293988509</v>
      </c>
      <c r="AH345" s="5">
        <f t="shared" si="54"/>
        <v>0.74052093290861198</v>
      </c>
      <c r="AI345" s="5">
        <f t="shared" si="55"/>
        <v>-67.109477756286267</v>
      </c>
      <c r="AJ345" s="5">
        <f t="shared" si="56"/>
        <v>0.73664779793173096</v>
      </c>
      <c r="AK345" s="5">
        <f t="shared" si="57"/>
        <v>-0.35100164495980674</v>
      </c>
      <c r="AL345" s="5">
        <f t="shared" si="58"/>
        <v>0.73664779793173096</v>
      </c>
      <c r="AM345" s="10">
        <f t="shared" si="59"/>
        <v>-3.9420820864103412</v>
      </c>
    </row>
    <row r="346" spans="1:39" x14ac:dyDescent="0.3">
      <c r="A346">
        <v>292</v>
      </c>
      <c r="B346" t="s">
        <v>376</v>
      </c>
      <c r="C346" t="s">
        <v>51</v>
      </c>
      <c r="D346" s="1">
        <v>38122</v>
      </c>
      <c r="E346">
        <v>0</v>
      </c>
      <c r="F346" t="s">
        <v>377</v>
      </c>
      <c r="G346" s="4">
        <v>5.9669999999999996</v>
      </c>
      <c r="H346" s="4">
        <v>6.3959999999999999</v>
      </c>
      <c r="I346" s="4">
        <v>7.1360000000000001</v>
      </c>
      <c r="J346" s="4">
        <v>-63.435000000000002</v>
      </c>
      <c r="K346" s="4">
        <v>462.20100000000002</v>
      </c>
      <c r="L346" s="4">
        <v>399</v>
      </c>
      <c r="M346" s="4">
        <v>362.35399999999998</v>
      </c>
      <c r="N346" s="4">
        <v>99.846999999999994</v>
      </c>
      <c r="O346" s="4">
        <v>6.0949999999999998</v>
      </c>
      <c r="P346" s="4">
        <v>0.95599999999999996</v>
      </c>
      <c r="Q346" s="4">
        <v>164.00399999999999</v>
      </c>
      <c r="R346" s="4">
        <v>0</v>
      </c>
      <c r="S346" s="4">
        <v>524.35299999999995</v>
      </c>
      <c r="T346" s="4">
        <v>526.35799999999995</v>
      </c>
      <c r="U346" s="4">
        <v>463.15699999999998</v>
      </c>
      <c r="V346" s="4">
        <v>454.95100000000002</v>
      </c>
      <c r="W346" s="4">
        <v>453.26</v>
      </c>
      <c r="X346" s="4">
        <v>443.476</v>
      </c>
      <c r="Y346">
        <v>-0.13696219640424301</v>
      </c>
      <c r="Z346">
        <v>453.71100000000001</v>
      </c>
      <c r="AA346" t="s">
        <v>53</v>
      </c>
      <c r="AB346">
        <v>1</v>
      </c>
      <c r="AC346" t="s">
        <v>33</v>
      </c>
      <c r="AD346" s="5">
        <f t="shared" si="50"/>
        <v>1.2998470768144924E-2</v>
      </c>
      <c r="AE346" s="5">
        <f t="shared" si="51"/>
        <v>0.89630044843049328</v>
      </c>
      <c r="AF346" s="5">
        <f t="shared" si="52"/>
        <v>0</v>
      </c>
      <c r="AG346" s="5">
        <f t="shared" si="53"/>
        <v>0.21557916645975339</v>
      </c>
      <c r="AH346" s="5">
        <f t="shared" si="54"/>
        <v>0.87992772979607037</v>
      </c>
      <c r="AI346" s="5">
        <f t="shared" si="55"/>
        <v>-66.354602510460253</v>
      </c>
      <c r="AJ346" s="5">
        <f t="shared" si="56"/>
        <v>1.2755509805328491</v>
      </c>
      <c r="AK346" s="5">
        <f t="shared" si="57"/>
        <v>-0.13696219640424306</v>
      </c>
      <c r="AL346" s="5">
        <f t="shared" si="58"/>
        <v>0.87811147545966828</v>
      </c>
      <c r="AM346" s="10">
        <f t="shared" si="59"/>
        <v>7.1469348102596975E-2</v>
      </c>
    </row>
    <row r="347" spans="1:39" x14ac:dyDescent="0.3">
      <c r="A347">
        <v>296</v>
      </c>
      <c r="B347" t="s">
        <v>380</v>
      </c>
      <c r="C347" t="s">
        <v>55</v>
      </c>
      <c r="D347" s="1">
        <v>41326</v>
      </c>
      <c r="E347">
        <v>6</v>
      </c>
      <c r="F347" t="s">
        <v>381</v>
      </c>
      <c r="G347" s="4">
        <v>-24.734999999999999</v>
      </c>
      <c r="H347" s="4">
        <v>-10.111000000000001</v>
      </c>
      <c r="I347" s="4">
        <v>261.84399999999999</v>
      </c>
      <c r="J347" s="4">
        <v>15.379</v>
      </c>
      <c r="K347" s="4">
        <v>363.286</v>
      </c>
      <c r="L347" s="4">
        <v>158.05699999999999</v>
      </c>
      <c r="M347" s="4">
        <v>341.334</v>
      </c>
      <c r="N347" s="4">
        <v>21.952000000000002</v>
      </c>
      <c r="O347" s="4">
        <v>-17.239999999999998</v>
      </c>
      <c r="P347" s="4">
        <v>93.028000000000006</v>
      </c>
      <c r="Q347" s="4">
        <v>84.533000000000001</v>
      </c>
      <c r="R347" s="4">
        <v>7.1289999999999996</v>
      </c>
      <c r="S347" s="4">
        <v>305.995</v>
      </c>
      <c r="T347" s="4">
        <v>425.86700000000002</v>
      </c>
      <c r="U347" s="4">
        <v>456.31400000000002</v>
      </c>
      <c r="V347" s="4">
        <v>364.44499999999999</v>
      </c>
      <c r="W347" s="4">
        <v>263.596</v>
      </c>
      <c r="X347" s="4">
        <v>288.286</v>
      </c>
      <c r="Y347">
        <v>3.3702669652914401E-2</v>
      </c>
      <c r="Z347">
        <v>343.16025000000002</v>
      </c>
      <c r="AA347" t="s">
        <v>53</v>
      </c>
      <c r="AB347">
        <v>1</v>
      </c>
      <c r="AC347" t="s">
        <v>33</v>
      </c>
      <c r="AD347" s="5">
        <f t="shared" si="50"/>
        <v>-6.0273478572881928E-2</v>
      </c>
      <c r="AE347" s="5">
        <f t="shared" si="51"/>
        <v>-3.8614594949664689E-2</v>
      </c>
      <c r="AF347" s="5">
        <f t="shared" si="52"/>
        <v>1.9481814877668192E-2</v>
      </c>
      <c r="AG347" s="5">
        <f t="shared" si="53"/>
        <v>4.8107224411260668E-2</v>
      </c>
      <c r="AH347" s="5">
        <f t="shared" si="54"/>
        <v>1.0714941519300627</v>
      </c>
      <c r="AI347" s="5">
        <f t="shared" si="55"/>
        <v>0.16531581889323643</v>
      </c>
      <c r="AJ347" s="5">
        <f t="shared" si="56"/>
        <v>1.0643123743898937</v>
      </c>
      <c r="AK347" s="5">
        <f t="shared" si="57"/>
        <v>3.3702669652914435E-2</v>
      </c>
      <c r="AL347" s="5">
        <f t="shared" si="58"/>
        <v>0.85305036548969515</v>
      </c>
      <c r="AM347" s="10">
        <f t="shared" si="59"/>
        <v>11.928024781341106</v>
      </c>
    </row>
    <row r="348" spans="1:39" x14ac:dyDescent="0.3">
      <c r="A348">
        <v>307</v>
      </c>
      <c r="B348" t="s">
        <v>394</v>
      </c>
      <c r="C348" t="s">
        <v>55</v>
      </c>
      <c r="D348" s="1">
        <v>39226</v>
      </c>
      <c r="E348">
        <v>2</v>
      </c>
      <c r="F348" t="s">
        <v>395</v>
      </c>
      <c r="G348" s="4">
        <v>-16.167999999999999</v>
      </c>
      <c r="H348" s="4">
        <v>1.853</v>
      </c>
      <c r="I348" s="4">
        <v>86.823999999999998</v>
      </c>
      <c r="J348" s="4">
        <v>-14.778</v>
      </c>
      <c r="K348" s="4">
        <v>392.26</v>
      </c>
      <c r="L348" s="4">
        <v>0</v>
      </c>
      <c r="M348" s="4">
        <v>389.55200000000002</v>
      </c>
      <c r="N348" s="4">
        <v>2.7080000000000002</v>
      </c>
      <c r="O348" s="4">
        <v>-13.694000000000001</v>
      </c>
      <c r="P348" s="4">
        <v>6.9539999999999997</v>
      </c>
      <c r="Q348" s="4">
        <v>17.09</v>
      </c>
      <c r="R348" s="4">
        <v>15.547000000000001</v>
      </c>
      <c r="S348" s="4">
        <v>367.95299999999997</v>
      </c>
      <c r="T348" s="4">
        <v>406.642</v>
      </c>
      <c r="U348" s="4">
        <v>400.11799999999999</v>
      </c>
      <c r="V348" s="4">
        <v>393.74900000000002</v>
      </c>
      <c r="W348" s="4">
        <v>420.39499999999998</v>
      </c>
      <c r="X348" s="4">
        <v>393.49900000000002</v>
      </c>
      <c r="Y348">
        <v>-3.6934104439190402E-2</v>
      </c>
      <c r="Z348">
        <v>401.94024999999999</v>
      </c>
      <c r="AA348" t="s">
        <v>53</v>
      </c>
      <c r="AB348">
        <v>1</v>
      </c>
      <c r="AC348" t="s">
        <v>33</v>
      </c>
      <c r="AD348" s="5">
        <f t="shared" si="50"/>
        <v>-4.0732263716718294E-2</v>
      </c>
      <c r="AE348" s="5">
        <f t="shared" si="51"/>
        <v>2.1342025246475629E-2</v>
      </c>
      <c r="AF348" s="5">
        <f t="shared" si="52"/>
        <v>4.0142267894835368E-2</v>
      </c>
      <c r="AG348" s="5">
        <f t="shared" si="53"/>
        <v>6.7680034389854997E-3</v>
      </c>
      <c r="AH348" s="5">
        <f t="shared" si="54"/>
        <v>0.98395640391302419</v>
      </c>
      <c r="AI348" s="5">
        <f t="shared" si="55"/>
        <v>-2.1251078515962036</v>
      </c>
      <c r="AJ348" s="5">
        <f t="shared" si="56"/>
        <v>1.006951575142728</v>
      </c>
      <c r="AK348" s="5">
        <f t="shared" si="57"/>
        <v>-3.6934104439190443E-2</v>
      </c>
      <c r="AL348" s="5">
        <f t="shared" si="58"/>
        <v>0.96463228097441978</v>
      </c>
      <c r="AM348" s="10">
        <f t="shared" si="59"/>
        <v>32.062038404726735</v>
      </c>
    </row>
    <row r="349" spans="1:39" x14ac:dyDescent="0.3">
      <c r="A349">
        <v>321</v>
      </c>
      <c r="B349" t="s">
        <v>408</v>
      </c>
      <c r="C349" t="s">
        <v>96</v>
      </c>
      <c r="D349" s="1">
        <v>39749</v>
      </c>
      <c r="E349">
        <v>3</v>
      </c>
      <c r="F349" t="s">
        <v>409</v>
      </c>
      <c r="G349" s="4">
        <v>-42.612000000000002</v>
      </c>
      <c r="H349" s="4">
        <v>-42.521000000000001</v>
      </c>
      <c r="I349" s="4">
        <v>25.055</v>
      </c>
      <c r="J349" s="4">
        <v>-45.941000000000003</v>
      </c>
      <c r="K349" s="4">
        <v>229.261</v>
      </c>
      <c r="L349" s="4">
        <v>128.99600000000001</v>
      </c>
      <c r="M349" s="4">
        <v>395.19900000000001</v>
      </c>
      <c r="N349" s="4">
        <v>-165.93799999999999</v>
      </c>
      <c r="O349" s="4">
        <v>-42.612000000000002</v>
      </c>
      <c r="P349" s="4">
        <v>120</v>
      </c>
      <c r="Q349" s="4">
        <v>0</v>
      </c>
      <c r="R349" s="4">
        <v>9.0999999999999998E-2</v>
      </c>
      <c r="S349" s="4">
        <v>407.43900000000002</v>
      </c>
      <c r="T349" s="4">
        <v>395.19900000000001</v>
      </c>
      <c r="U349" s="4">
        <v>349.26100000000002</v>
      </c>
      <c r="V349" s="4">
        <v>404.22500000000002</v>
      </c>
      <c r="W349" s="4">
        <v>302.38600000000002</v>
      </c>
      <c r="X349" s="4">
        <v>51.731000000000002</v>
      </c>
      <c r="Y349">
        <v>-0.131537732526678</v>
      </c>
      <c r="Z349">
        <v>276.90075000000002</v>
      </c>
      <c r="AA349" t="s">
        <v>53</v>
      </c>
      <c r="AB349">
        <v>1</v>
      </c>
      <c r="AC349" t="s">
        <v>33</v>
      </c>
      <c r="AD349" s="5">
        <f t="shared" si="50"/>
        <v>-0.11310628200125813</v>
      </c>
      <c r="AE349" s="5">
        <f t="shared" si="51"/>
        <v>-1.6971063659948116</v>
      </c>
      <c r="AF349" s="5">
        <f t="shared" si="52"/>
        <v>2.2675228434238098E-4</v>
      </c>
      <c r="AG349" s="5">
        <f t="shared" si="53"/>
        <v>-0.47511173592241901</v>
      </c>
      <c r="AH349" s="5">
        <f t="shared" si="54"/>
        <v>0.88375982732749836</v>
      </c>
      <c r="AI349" s="5">
        <f t="shared" si="55"/>
        <v>-0.38284166666666669</v>
      </c>
      <c r="AJ349" s="5">
        <f t="shared" si="56"/>
        <v>0.58011533429993489</v>
      </c>
      <c r="AK349" s="5">
        <f t="shared" si="57"/>
        <v>-0.13153773252667775</v>
      </c>
      <c r="AL349" s="5">
        <f t="shared" si="58"/>
        <v>0.58011533429993489</v>
      </c>
      <c r="AM349" s="10">
        <f t="shared" si="59"/>
        <v>-0.15099012884330293</v>
      </c>
    </row>
    <row r="350" spans="1:39" x14ac:dyDescent="0.3">
      <c r="A350">
        <v>326</v>
      </c>
      <c r="B350" t="s">
        <v>412</v>
      </c>
      <c r="C350" t="s">
        <v>96</v>
      </c>
      <c r="D350" s="1">
        <v>40150</v>
      </c>
      <c r="E350">
        <v>1</v>
      </c>
      <c r="F350" t="s">
        <v>413</v>
      </c>
      <c r="G350" s="4">
        <v>-240.31</v>
      </c>
      <c r="H350" s="4">
        <v>-228.15</v>
      </c>
      <c r="I350" s="4">
        <v>158.69399999999999</v>
      </c>
      <c r="J350" s="4">
        <v>-163.82300000000001</v>
      </c>
      <c r="K350" s="4">
        <v>106.217</v>
      </c>
      <c r="L350" s="4">
        <v>19.864999999999998</v>
      </c>
      <c r="M350" s="4">
        <v>295.34500000000003</v>
      </c>
      <c r="N350" s="4">
        <v>-189.12799999999999</v>
      </c>
      <c r="O350" s="4">
        <v>-234.80199999999999</v>
      </c>
      <c r="P350" s="4">
        <v>216.23500000000001</v>
      </c>
      <c r="Q350" s="4">
        <v>190.65</v>
      </c>
      <c r="R350" s="4">
        <v>6.6520000000000001</v>
      </c>
      <c r="S350" s="4">
        <v>431.19799999999998</v>
      </c>
      <c r="T350" s="4">
        <v>485.995</v>
      </c>
      <c r="U350" s="4">
        <v>322.452</v>
      </c>
      <c r="V350" s="4">
        <v>533.66700000000003</v>
      </c>
      <c r="W350" s="4">
        <v>528.11900000000003</v>
      </c>
      <c r="X350" s="4">
        <v>515.822</v>
      </c>
      <c r="Y350">
        <v>-0.50805391190006599</v>
      </c>
      <c r="Z350">
        <v>475.01499999999999</v>
      </c>
      <c r="AA350" t="s">
        <v>53</v>
      </c>
      <c r="AB350">
        <v>1</v>
      </c>
      <c r="AC350" t="s">
        <v>33</v>
      </c>
      <c r="AD350" s="5">
        <f t="shared" si="50"/>
        <v>-0.56139391836882491</v>
      </c>
      <c r="AE350" s="5">
        <f t="shared" si="51"/>
        <v>-1.4376725017959093</v>
      </c>
      <c r="AF350" s="5">
        <f t="shared" si="52"/>
        <v>1.4505125965854515E-2</v>
      </c>
      <c r="AG350" s="5">
        <f t="shared" si="53"/>
        <v>-0.58653070844652844</v>
      </c>
      <c r="AH350" s="5">
        <f t="shared" si="54"/>
        <v>0.66348830749287546</v>
      </c>
      <c r="AI350" s="5">
        <f t="shared" si="55"/>
        <v>-0.75761555714847273</v>
      </c>
      <c r="AJ350" s="5">
        <f t="shared" si="56"/>
        <v>0.35963703465438718</v>
      </c>
      <c r="AK350" s="5">
        <f t="shared" si="57"/>
        <v>-0.50805391190006577</v>
      </c>
      <c r="AL350" s="5">
        <f t="shared" si="58"/>
        <v>0.2185557464582969</v>
      </c>
      <c r="AM350" s="10">
        <f t="shared" si="59"/>
        <v>-0.83908252611987644</v>
      </c>
    </row>
    <row r="351" spans="1:39" x14ac:dyDescent="0.3">
      <c r="A351">
        <v>332</v>
      </c>
      <c r="B351" t="s">
        <v>420</v>
      </c>
      <c r="C351" t="s">
        <v>55</v>
      </c>
      <c r="D351" s="1">
        <v>41435</v>
      </c>
      <c r="E351">
        <v>8</v>
      </c>
      <c r="F351" t="s">
        <v>421</v>
      </c>
      <c r="G351" s="4">
        <v>-247.48</v>
      </c>
      <c r="H351" s="4">
        <v>-247.09100000000001</v>
      </c>
      <c r="I351" s="4">
        <v>262.30200000000002</v>
      </c>
      <c r="J351" s="4">
        <v>-192.07499999999999</v>
      </c>
      <c r="K351" s="4">
        <v>278.29500000000002</v>
      </c>
      <c r="L351" s="4">
        <v>135.53299999999999</v>
      </c>
      <c r="M351" s="4">
        <v>482.05</v>
      </c>
      <c r="N351" s="4">
        <v>-203.755</v>
      </c>
      <c r="O351" s="4">
        <v>-247.48</v>
      </c>
      <c r="P351" s="4">
        <v>17.414999999999999</v>
      </c>
      <c r="Q351" s="4">
        <v>0</v>
      </c>
      <c r="R351" s="4">
        <v>0.38900000000000001</v>
      </c>
      <c r="S351" s="4">
        <v>444.61099999999999</v>
      </c>
      <c r="T351" s="4">
        <v>482.05</v>
      </c>
      <c r="U351" s="4">
        <v>295.70999999999998</v>
      </c>
      <c r="V351" s="4">
        <v>554.78099999999995</v>
      </c>
      <c r="W351" s="4">
        <v>271.12</v>
      </c>
      <c r="X351" s="4">
        <v>446.63200000000001</v>
      </c>
      <c r="Y351">
        <v>-0.64953839910723299</v>
      </c>
      <c r="Z351">
        <v>392.06074999999998</v>
      </c>
      <c r="AA351" t="s">
        <v>53</v>
      </c>
      <c r="AB351">
        <v>1</v>
      </c>
      <c r="AC351" t="s">
        <v>33</v>
      </c>
      <c r="AD351" s="5">
        <f t="shared" si="50"/>
        <v>-0.5819697092620616</v>
      </c>
      <c r="AE351" s="5">
        <f t="shared" si="51"/>
        <v>-0.94200959199701106</v>
      </c>
      <c r="AF351" s="5">
        <f t="shared" si="52"/>
        <v>8.3957347940616898E-4</v>
      </c>
      <c r="AG351" s="5">
        <f t="shared" si="53"/>
        <v>-0.68903655608535397</v>
      </c>
      <c r="AH351" s="5">
        <f t="shared" si="54"/>
        <v>0.61344258894305559</v>
      </c>
      <c r="AI351" s="5">
        <f t="shared" si="55"/>
        <v>-11.02928509905254</v>
      </c>
      <c r="AJ351" s="5">
        <f t="shared" si="56"/>
        <v>0.57731563115859352</v>
      </c>
      <c r="AK351" s="5">
        <f t="shared" si="57"/>
        <v>-0.64953839910723343</v>
      </c>
      <c r="AL351" s="5">
        <f t="shared" si="58"/>
        <v>0.57731563115859352</v>
      </c>
      <c r="AM351" s="10">
        <f t="shared" si="59"/>
        <v>-1.2873401879708475</v>
      </c>
    </row>
    <row r="352" spans="1:39" x14ac:dyDescent="0.3">
      <c r="A352">
        <v>338</v>
      </c>
      <c r="B352" t="s">
        <v>426</v>
      </c>
      <c r="C352" t="s">
        <v>55</v>
      </c>
      <c r="D352" s="1">
        <v>41718</v>
      </c>
      <c r="E352">
        <v>0</v>
      </c>
      <c r="F352" t="s">
        <v>427</v>
      </c>
      <c r="G352" s="4">
        <v>29.86</v>
      </c>
      <c r="H352" s="4">
        <v>51.057000000000002</v>
      </c>
      <c r="I352" s="4">
        <v>350</v>
      </c>
      <c r="J352" s="4">
        <v>57.048000000000002</v>
      </c>
      <c r="K352" s="4">
        <v>273.63099999999997</v>
      </c>
      <c r="L352" s="4">
        <v>0</v>
      </c>
      <c r="M352" s="4">
        <v>219.42599999999999</v>
      </c>
      <c r="N352" s="4">
        <v>54.204999999999998</v>
      </c>
      <c r="O352" s="4">
        <v>31.831</v>
      </c>
      <c r="P352" s="4">
        <v>2.839</v>
      </c>
      <c r="Q352" s="4">
        <v>0</v>
      </c>
      <c r="R352" s="4">
        <v>0</v>
      </c>
      <c r="S352" s="4">
        <v>221.69200000000001</v>
      </c>
      <c r="T352" s="4">
        <v>219.42599999999999</v>
      </c>
      <c r="U352" s="4">
        <v>276.47399999999999</v>
      </c>
      <c r="V352" s="4">
        <v>348.87900000000002</v>
      </c>
      <c r="W352" s="4">
        <v>209.10300000000001</v>
      </c>
      <c r="X352" s="4">
        <v>183.25399999999999</v>
      </c>
      <c r="Y352">
        <v>0.20634128344799199</v>
      </c>
      <c r="Z352">
        <v>254.42750000000001</v>
      </c>
      <c r="AA352" t="s">
        <v>53</v>
      </c>
      <c r="AB352">
        <v>1</v>
      </c>
      <c r="AC352" t="s">
        <v>33</v>
      </c>
      <c r="AD352" s="5">
        <f t="shared" si="50"/>
        <v>9.5498062694190311E-2</v>
      </c>
      <c r="AE352" s="5">
        <f t="shared" si="51"/>
        <v>0.14587714285714287</v>
      </c>
      <c r="AF352" s="5">
        <f t="shared" si="52"/>
        <v>0</v>
      </c>
      <c r="AG352" s="5">
        <f t="shared" si="53"/>
        <v>0.19605821885602262</v>
      </c>
      <c r="AH352" s="5">
        <f t="shared" si="54"/>
        <v>1.2599874217275984</v>
      </c>
      <c r="AI352" s="5">
        <f t="shared" si="55"/>
        <v>20.094399436421277</v>
      </c>
      <c r="AJ352" s="5">
        <f t="shared" si="56"/>
        <v>1.2470308896849052</v>
      </c>
      <c r="AK352" s="5">
        <f t="shared" si="57"/>
        <v>0.20634128344799152</v>
      </c>
      <c r="AL352" s="5">
        <f t="shared" si="58"/>
        <v>1.2470308896849052</v>
      </c>
      <c r="AM352" s="10">
        <f t="shared" si="59"/>
        <v>6.4569689143067981</v>
      </c>
    </row>
    <row r="353" spans="1:39" x14ac:dyDescent="0.3">
      <c r="A353">
        <v>349</v>
      </c>
      <c r="B353" t="s">
        <v>430</v>
      </c>
      <c r="C353" t="s">
        <v>55</v>
      </c>
      <c r="D353" s="1">
        <v>42334</v>
      </c>
      <c r="E353">
        <v>2</v>
      </c>
      <c r="F353" t="s">
        <v>431</v>
      </c>
      <c r="G353" s="4">
        <v>0.40799999999999997</v>
      </c>
      <c r="H353" s="4">
        <v>15.496</v>
      </c>
      <c r="I353" s="4">
        <v>348.86900000000003</v>
      </c>
      <c r="J353" s="4">
        <v>57.368000000000002</v>
      </c>
      <c r="K353" s="4">
        <v>235.07499999999999</v>
      </c>
      <c r="L353" s="4">
        <v>78.403999999999996</v>
      </c>
      <c r="M353" s="4">
        <v>184.51900000000001</v>
      </c>
      <c r="N353" s="4">
        <v>50.555999999999997</v>
      </c>
      <c r="O353" s="4">
        <v>6.9539999999999997</v>
      </c>
      <c r="P353" s="4">
        <v>6.8120000000000003</v>
      </c>
      <c r="Q353" s="4">
        <v>0</v>
      </c>
      <c r="R353" s="4">
        <v>0.81699999999999995</v>
      </c>
      <c r="S353" s="4">
        <v>56.877000000000002</v>
      </c>
      <c r="T353" s="4">
        <v>184.51900000000001</v>
      </c>
      <c r="U353" s="4">
        <v>241.887</v>
      </c>
      <c r="V353" s="4">
        <v>113.83499999999999</v>
      </c>
      <c r="W353" s="4">
        <v>92.227999999999994</v>
      </c>
      <c r="X353" s="4">
        <v>40.502000000000002</v>
      </c>
      <c r="Y353">
        <v>0.23716859525315501</v>
      </c>
      <c r="Z353">
        <v>122.113</v>
      </c>
      <c r="AA353" t="s">
        <v>53</v>
      </c>
      <c r="AB353">
        <v>1</v>
      </c>
      <c r="AC353" t="s">
        <v>33</v>
      </c>
      <c r="AD353" s="5">
        <f t="shared" si="50"/>
        <v>2.2939261558183074E-3</v>
      </c>
      <c r="AE353" s="5">
        <f t="shared" si="51"/>
        <v>4.4417818722787064E-2</v>
      </c>
      <c r="AF353" s="5">
        <f t="shared" si="52"/>
        <v>6.768960546156522E-3</v>
      </c>
      <c r="AG353" s="5">
        <f t="shared" si="53"/>
        <v>0.2090066849396619</v>
      </c>
      <c r="AH353" s="5">
        <f t="shared" si="54"/>
        <v>1.3109056519924778</v>
      </c>
      <c r="AI353" s="5">
        <f t="shared" si="55"/>
        <v>8.4216089254257191</v>
      </c>
      <c r="AJ353" s="5">
        <f t="shared" si="56"/>
        <v>1.2739880445916139</v>
      </c>
      <c r="AK353" s="5">
        <f t="shared" si="57"/>
        <v>0.2371685952531554</v>
      </c>
      <c r="AL353" s="5">
        <f t="shared" si="58"/>
        <v>1.2739880445916139</v>
      </c>
      <c r="AM353" s="10">
        <f t="shared" si="59"/>
        <v>6.900644829496005</v>
      </c>
    </row>
    <row r="354" spans="1:39" x14ac:dyDescent="0.3">
      <c r="A354">
        <v>356</v>
      </c>
      <c r="B354" t="s">
        <v>436</v>
      </c>
      <c r="C354" t="s">
        <v>162</v>
      </c>
      <c r="D354" s="1">
        <v>41571</v>
      </c>
      <c r="E354">
        <v>4</v>
      </c>
      <c r="F354" t="s">
        <v>437</v>
      </c>
      <c r="G354" s="4">
        <v>-47.18</v>
      </c>
      <c r="H354" s="4">
        <v>-45.036999999999999</v>
      </c>
      <c r="I354" s="4">
        <v>24.533999999999999</v>
      </c>
      <c r="J354" s="4">
        <v>-127.699</v>
      </c>
      <c r="K354" s="4">
        <v>215.501</v>
      </c>
      <c r="L354" s="4">
        <v>165.136</v>
      </c>
      <c r="M354" s="4">
        <v>331.53800000000001</v>
      </c>
      <c r="N354" s="4">
        <v>-116.03700000000001</v>
      </c>
      <c r="O354" s="4">
        <v>-47.18</v>
      </c>
      <c r="P354" s="4">
        <v>0.58799999999999997</v>
      </c>
      <c r="Q354" s="4">
        <v>0</v>
      </c>
      <c r="R354" s="4">
        <v>2.1429999999999998</v>
      </c>
      <c r="S354" s="4">
        <v>275.17099999999999</v>
      </c>
      <c r="T354" s="4">
        <v>331.53800000000001</v>
      </c>
      <c r="U354" s="4">
        <v>216.46700000000001</v>
      </c>
      <c r="V354" s="4">
        <v>240.655</v>
      </c>
      <c r="W354" s="4">
        <v>376.81900000000002</v>
      </c>
      <c r="X354" s="4">
        <v>276.23200000000003</v>
      </c>
      <c r="Y354">
        <v>-0.58992363732116204</v>
      </c>
      <c r="Z354">
        <v>277.54325</v>
      </c>
      <c r="AA354" t="s">
        <v>53</v>
      </c>
      <c r="AB354">
        <v>1</v>
      </c>
      <c r="AC354" t="s">
        <v>33</v>
      </c>
      <c r="AD354" s="5">
        <f t="shared" si="50"/>
        <v>-0.20642191800000875</v>
      </c>
      <c r="AE354" s="5">
        <f t="shared" si="51"/>
        <v>-1.8356973995271868</v>
      </c>
      <c r="AF354" s="5">
        <f t="shared" si="52"/>
        <v>7.0643422134829036E-3</v>
      </c>
      <c r="AG354" s="5">
        <f t="shared" si="53"/>
        <v>-0.53604937473148329</v>
      </c>
      <c r="AH354" s="5">
        <f t="shared" si="54"/>
        <v>0.65291761427046069</v>
      </c>
      <c r="AI354" s="5">
        <f t="shared" si="55"/>
        <v>-217.17517006802723</v>
      </c>
      <c r="AJ354" s="5">
        <f t="shared" si="56"/>
        <v>0.65000392111914773</v>
      </c>
      <c r="AK354" s="5">
        <f t="shared" si="57"/>
        <v>-0.58992363732116204</v>
      </c>
      <c r="AL354" s="5">
        <f t="shared" si="58"/>
        <v>0.65000392111914773</v>
      </c>
      <c r="AM354" s="10">
        <f t="shared" si="59"/>
        <v>-0.21143256030404092</v>
      </c>
    </row>
    <row r="355" spans="1:39" x14ac:dyDescent="0.3">
      <c r="A355">
        <v>359</v>
      </c>
      <c r="B355" t="s">
        <v>440</v>
      </c>
      <c r="C355" t="s">
        <v>51</v>
      </c>
      <c r="D355" s="1">
        <v>33791</v>
      </c>
      <c r="E355">
        <v>12</v>
      </c>
      <c r="F355" t="s">
        <v>441</v>
      </c>
      <c r="G355" s="4">
        <v>-34.405000000000001</v>
      </c>
      <c r="H355" s="4">
        <v>-26.962</v>
      </c>
      <c r="I355" s="4">
        <v>13.074</v>
      </c>
      <c r="J355" s="4">
        <v>-349.65</v>
      </c>
      <c r="K355" s="4">
        <v>178.73599999999999</v>
      </c>
      <c r="L355" s="4">
        <v>8</v>
      </c>
      <c r="M355" s="4">
        <v>299.55500000000001</v>
      </c>
      <c r="N355" s="4">
        <v>-120.819</v>
      </c>
      <c r="O355" s="4">
        <v>-24.335999999999999</v>
      </c>
      <c r="P355" s="4">
        <v>26.41</v>
      </c>
      <c r="Q355" s="4">
        <v>252.47300000000001</v>
      </c>
      <c r="R355" s="4">
        <v>2.91</v>
      </c>
      <c r="S355" s="4">
        <v>671.28099999999995</v>
      </c>
      <c r="T355" s="4">
        <v>552.02800000000002</v>
      </c>
      <c r="U355" s="4">
        <v>205.14599999999999</v>
      </c>
      <c r="V355" s="4">
        <v>360.86200000000002</v>
      </c>
      <c r="W355" s="4">
        <v>920.25199999999995</v>
      </c>
      <c r="X355" s="4">
        <v>1015.654</v>
      </c>
      <c r="Y355">
        <v>-1.70439589365623</v>
      </c>
      <c r="Z355">
        <v>625.47850000000005</v>
      </c>
      <c r="AA355" t="s">
        <v>53</v>
      </c>
      <c r="AB355">
        <v>1</v>
      </c>
      <c r="AC355" t="s">
        <v>33</v>
      </c>
      <c r="AD355" s="5">
        <f t="shared" si="50"/>
        <v>-0.12157071984848271</v>
      </c>
      <c r="AE355" s="5">
        <f t="shared" si="51"/>
        <v>-2.0622609759828667</v>
      </c>
      <c r="AF355" s="5">
        <f t="shared" si="52"/>
        <v>4.7575878212291417E-3</v>
      </c>
      <c r="AG355" s="5">
        <f t="shared" si="53"/>
        <v>-0.58894153432189766</v>
      </c>
      <c r="AH355" s="5">
        <f t="shared" si="54"/>
        <v>0.37162245393349608</v>
      </c>
      <c r="AI355" s="5">
        <f t="shared" si="55"/>
        <v>-13.239303294206739</v>
      </c>
      <c r="AJ355" s="5">
        <f t="shared" si="56"/>
        <v>0.59667172973243643</v>
      </c>
      <c r="AK355" s="5">
        <f t="shared" si="57"/>
        <v>-1.7043958936562253</v>
      </c>
      <c r="AL355" s="5">
        <f t="shared" si="58"/>
        <v>0.32378067779170616</v>
      </c>
      <c r="AM355" s="10">
        <f t="shared" si="59"/>
        <v>-0.10821145680729025</v>
      </c>
    </row>
    <row r="356" spans="1:39" x14ac:dyDescent="0.3">
      <c r="A356">
        <v>361</v>
      </c>
      <c r="B356" t="s">
        <v>442</v>
      </c>
      <c r="C356" t="s">
        <v>162</v>
      </c>
      <c r="D356" s="1">
        <v>38568</v>
      </c>
      <c r="E356">
        <v>7</v>
      </c>
      <c r="F356" t="s">
        <v>443</v>
      </c>
      <c r="G356" s="4">
        <v>-83.495000000000005</v>
      </c>
      <c r="H356" s="4">
        <v>61.091000000000001</v>
      </c>
      <c r="I356" s="4">
        <v>450.77699999999999</v>
      </c>
      <c r="J356" s="4">
        <v>7.5960000000000001</v>
      </c>
      <c r="K356" s="4">
        <v>199.13499999999999</v>
      </c>
      <c r="L356" s="4">
        <v>38.299999999999997</v>
      </c>
      <c r="M356" s="4">
        <v>82.332999999999998</v>
      </c>
      <c r="N356" s="4">
        <v>116.80200000000001</v>
      </c>
      <c r="O356" s="4">
        <v>58.593000000000004</v>
      </c>
      <c r="P356" s="4">
        <v>2.4340000000000002</v>
      </c>
      <c r="Q356" s="4">
        <v>0</v>
      </c>
      <c r="R356" s="4">
        <v>0</v>
      </c>
      <c r="S356" s="4">
        <v>167.73699999999999</v>
      </c>
      <c r="T356" s="4">
        <v>82.332999999999998</v>
      </c>
      <c r="U356" s="4">
        <v>201.56899999999999</v>
      </c>
      <c r="V356" s="4">
        <v>357.952</v>
      </c>
      <c r="W356" s="4">
        <v>349.03300000000002</v>
      </c>
      <c r="X356" s="4">
        <v>336.15699999999998</v>
      </c>
      <c r="Y356">
        <v>3.7684366147572299E-2</v>
      </c>
      <c r="Z356">
        <v>311.17775</v>
      </c>
      <c r="AA356" t="s">
        <v>53</v>
      </c>
      <c r="AB356">
        <v>1</v>
      </c>
      <c r="AC356" t="s">
        <v>33</v>
      </c>
      <c r="AD356" s="5">
        <f t="shared" si="50"/>
        <v>-0.29845171137455079</v>
      </c>
      <c r="AE356" s="5">
        <f t="shared" si="51"/>
        <v>0.13552377339571453</v>
      </c>
      <c r="AF356" s="5">
        <f t="shared" si="52"/>
        <v>0</v>
      </c>
      <c r="AG356" s="5">
        <f t="shared" si="53"/>
        <v>0.57946410410330962</v>
      </c>
      <c r="AH356" s="5">
        <f t="shared" si="54"/>
        <v>2.4482163895400384</v>
      </c>
      <c r="AI356" s="5">
        <f t="shared" si="55"/>
        <v>3.1207888249794573</v>
      </c>
      <c r="AJ356" s="5">
        <f t="shared" si="56"/>
        <v>2.4186535168158576</v>
      </c>
      <c r="AK356" s="5">
        <f t="shared" si="57"/>
        <v>3.7684366147572299E-2</v>
      </c>
      <c r="AL356" s="5">
        <f t="shared" si="58"/>
        <v>2.4186535168158576</v>
      </c>
      <c r="AM356" s="10">
        <f t="shared" si="59"/>
        <v>3.8593260389376889</v>
      </c>
    </row>
    <row r="357" spans="1:39" x14ac:dyDescent="0.3">
      <c r="A357">
        <v>363</v>
      </c>
      <c r="B357" t="s">
        <v>444</v>
      </c>
      <c r="C357" t="s">
        <v>55</v>
      </c>
      <c r="D357" s="1">
        <v>41081</v>
      </c>
      <c r="E357">
        <v>6</v>
      </c>
      <c r="F357" t="s">
        <v>445</v>
      </c>
      <c r="G357" s="4">
        <v>-310.14299999999997</v>
      </c>
      <c r="H357" s="4">
        <v>-310.14299999999997</v>
      </c>
      <c r="I357" s="4">
        <v>147.38999999999999</v>
      </c>
      <c r="J357" s="4">
        <v>-231.036</v>
      </c>
      <c r="K357" s="4">
        <v>190.88499999999999</v>
      </c>
      <c r="L357" s="4">
        <v>0</v>
      </c>
      <c r="M357" s="4">
        <v>401.45800000000003</v>
      </c>
      <c r="N357" s="4">
        <v>-210.57300000000001</v>
      </c>
      <c r="O357" s="4">
        <v>-310.14299999999997</v>
      </c>
      <c r="P357" s="4">
        <v>1</v>
      </c>
      <c r="Q357" s="4">
        <v>0</v>
      </c>
      <c r="R357" s="4">
        <v>0</v>
      </c>
      <c r="S357" s="4">
        <v>142.125</v>
      </c>
      <c r="T357" s="4">
        <v>401.45800000000003</v>
      </c>
      <c r="U357" s="4">
        <v>191.88499999999999</v>
      </c>
      <c r="V357" s="4">
        <v>232.76400000000001</v>
      </c>
      <c r="W357" s="4">
        <v>178.42400000000001</v>
      </c>
      <c r="X357" s="4">
        <v>151.756</v>
      </c>
      <c r="Y357">
        <v>-1.2040336659978601</v>
      </c>
      <c r="Z357">
        <v>188.70724999999999</v>
      </c>
      <c r="AA357" t="s">
        <v>53</v>
      </c>
      <c r="AB357">
        <v>1</v>
      </c>
      <c r="AC357" t="s">
        <v>33</v>
      </c>
      <c r="AD357" s="5">
        <f t="shared" si="50"/>
        <v>-1.4607028392860926</v>
      </c>
      <c r="AE357" s="5">
        <f t="shared" si="51"/>
        <v>-2.104233665784653</v>
      </c>
      <c r="AF357" s="5">
        <f t="shared" si="52"/>
        <v>0</v>
      </c>
      <c r="AG357" s="5">
        <f t="shared" si="53"/>
        <v>-1.0973916668838106</v>
      </c>
      <c r="AH357" s="5">
        <f t="shared" si="54"/>
        <v>0.47797029826283194</v>
      </c>
      <c r="AI357" s="5">
        <f t="shared" si="55"/>
        <v>-231.036</v>
      </c>
      <c r="AJ357" s="5">
        <f t="shared" si="56"/>
        <v>0.47547937766839865</v>
      </c>
      <c r="AK357" s="5">
        <f t="shared" si="57"/>
        <v>-1.2040336659978634</v>
      </c>
      <c r="AL357" s="5">
        <f t="shared" si="58"/>
        <v>0.47547937766839865</v>
      </c>
      <c r="AM357" s="10">
        <f t="shared" si="59"/>
        <v>-0.69994728668917661</v>
      </c>
    </row>
    <row r="358" spans="1:39" x14ac:dyDescent="0.3">
      <c r="A358">
        <v>371</v>
      </c>
      <c r="B358" t="s">
        <v>452</v>
      </c>
      <c r="C358" t="s">
        <v>55</v>
      </c>
      <c r="D358" s="1">
        <v>42731</v>
      </c>
      <c r="E358">
        <v>3</v>
      </c>
      <c r="F358" t="s">
        <v>453</v>
      </c>
      <c r="G358" s="4">
        <v>3.5449999999999999</v>
      </c>
      <c r="H358" s="4">
        <v>8.359</v>
      </c>
      <c r="I358" s="4">
        <v>150.69300000000001</v>
      </c>
      <c r="J358" s="4">
        <v>-117.352</v>
      </c>
      <c r="K358" s="4">
        <v>107.584</v>
      </c>
      <c r="L358" s="4">
        <v>64</v>
      </c>
      <c r="M358" s="4">
        <v>279.78199999999998</v>
      </c>
      <c r="N358" s="4">
        <v>-172.19800000000001</v>
      </c>
      <c r="O358" s="4">
        <v>7.4630000000000001</v>
      </c>
      <c r="P358" s="4">
        <v>59.417999999999999</v>
      </c>
      <c r="Q358" s="4">
        <v>0.1</v>
      </c>
      <c r="R358" s="4">
        <v>0.89600000000000002</v>
      </c>
      <c r="S358" s="4">
        <v>338.97699999999998</v>
      </c>
      <c r="T358" s="4">
        <v>279.88200000000001</v>
      </c>
      <c r="U358" s="4">
        <v>167.00200000000001</v>
      </c>
      <c r="V358" s="4">
        <v>222.57599999999999</v>
      </c>
      <c r="W358" s="4">
        <v>229.024</v>
      </c>
      <c r="X358" s="4">
        <v>81.88</v>
      </c>
      <c r="Y358">
        <v>-0.70269817127938605</v>
      </c>
      <c r="Z358">
        <v>175.12049999999999</v>
      </c>
      <c r="AA358" t="s">
        <v>53</v>
      </c>
      <c r="AB358">
        <v>1</v>
      </c>
      <c r="AC358" t="s">
        <v>33</v>
      </c>
      <c r="AD358" s="5">
        <f t="shared" si="50"/>
        <v>1.8199179625132837E-2</v>
      </c>
      <c r="AE358" s="5">
        <f t="shared" si="51"/>
        <v>5.5470393448932592E-2</v>
      </c>
      <c r="AF358" s="5">
        <f t="shared" si="52"/>
        <v>2.8956515135111554E-3</v>
      </c>
      <c r="AG358" s="5">
        <f t="shared" si="53"/>
        <v>-1.0311133998395228</v>
      </c>
      <c r="AH358" s="5">
        <f t="shared" si="54"/>
        <v>0.59668717530959481</v>
      </c>
      <c r="AI358" s="5">
        <f t="shared" si="55"/>
        <v>-1.9750244033794473</v>
      </c>
      <c r="AJ358" s="5">
        <f t="shared" si="56"/>
        <v>0.38452795390697048</v>
      </c>
      <c r="AK358" s="5">
        <f t="shared" si="57"/>
        <v>-0.70269817127938583</v>
      </c>
      <c r="AL358" s="5">
        <f t="shared" si="58"/>
        <v>0.38439056459507936</v>
      </c>
      <c r="AM358" s="10">
        <f t="shared" si="59"/>
        <v>-0.8751146935504478</v>
      </c>
    </row>
    <row r="359" spans="1:39" x14ac:dyDescent="0.3">
      <c r="A359">
        <v>374</v>
      </c>
      <c r="B359" t="s">
        <v>456</v>
      </c>
      <c r="C359" t="s">
        <v>55</v>
      </c>
      <c r="D359" s="1">
        <v>41254</v>
      </c>
      <c r="E359">
        <v>0</v>
      </c>
      <c r="F359" t="s">
        <v>457</v>
      </c>
      <c r="G359" s="4">
        <v>170.79</v>
      </c>
      <c r="H359" s="4">
        <v>170.846</v>
      </c>
      <c r="I359" s="4">
        <v>152</v>
      </c>
      <c r="J359" s="4">
        <v>-315.01799999999997</v>
      </c>
      <c r="K359" s="4">
        <v>148.07400000000001</v>
      </c>
      <c r="L359" s="4">
        <v>0</v>
      </c>
      <c r="M359" s="4">
        <v>295.10199999999998</v>
      </c>
      <c r="N359" s="4">
        <v>-147.02799999999999</v>
      </c>
      <c r="O359" s="4">
        <v>170.79</v>
      </c>
      <c r="P359" s="4">
        <v>6.5389999999999997</v>
      </c>
      <c r="Q359" s="4">
        <v>73.912999999999997</v>
      </c>
      <c r="R359" s="4">
        <v>5.6000000000000001E-2</v>
      </c>
      <c r="S359" s="4">
        <v>552.79700000000003</v>
      </c>
      <c r="T359" s="4">
        <v>369.01499999999999</v>
      </c>
      <c r="U359" s="4">
        <v>154.613</v>
      </c>
      <c r="V359" s="4">
        <v>161.20500000000001</v>
      </c>
      <c r="W359" s="4">
        <v>258.315</v>
      </c>
      <c r="X359" s="4">
        <v>677.68200000000002</v>
      </c>
      <c r="Y359">
        <v>-2.03746127427836</v>
      </c>
      <c r="Z359">
        <v>312.95375000000001</v>
      </c>
      <c r="AA359" t="s">
        <v>53</v>
      </c>
      <c r="AB359">
        <v>1</v>
      </c>
      <c r="AC359" t="s">
        <v>33</v>
      </c>
      <c r="AD359" s="5">
        <f t="shared" si="50"/>
        <v>1.0815722979690834</v>
      </c>
      <c r="AE359" s="5">
        <f t="shared" si="51"/>
        <v>1.1239868421052632</v>
      </c>
      <c r="AF359" s="5">
        <f t="shared" si="52"/>
        <v>1.2149982859845608E-4</v>
      </c>
      <c r="AG359" s="5">
        <f t="shared" si="53"/>
        <v>-0.9509420294541856</v>
      </c>
      <c r="AH359" s="5">
        <f t="shared" si="54"/>
        <v>0.41898838800590765</v>
      </c>
      <c r="AI359" s="5">
        <f t="shared" si="55"/>
        <v>-48.175256155375436</v>
      </c>
      <c r="AJ359" s="5">
        <f t="shared" si="56"/>
        <v>0.50177226857154489</v>
      </c>
      <c r="AK359" s="5">
        <f t="shared" si="57"/>
        <v>-2.0374612742783595</v>
      </c>
      <c r="AL359" s="5">
        <f t="shared" si="58"/>
        <v>0.40126824112840948</v>
      </c>
      <c r="AM359" s="10">
        <f t="shared" si="59"/>
        <v>-1.0338166879778001</v>
      </c>
    </row>
    <row r="360" spans="1:39" x14ac:dyDescent="0.3">
      <c r="A360">
        <v>3</v>
      </c>
      <c r="B360" t="s">
        <v>37</v>
      </c>
      <c r="C360" t="s">
        <v>38</v>
      </c>
      <c r="D360" s="1">
        <v>35578</v>
      </c>
      <c r="E360">
        <v>15</v>
      </c>
      <c r="F360" t="s">
        <v>39</v>
      </c>
      <c r="G360" s="4">
        <v>-4767.3710000000001</v>
      </c>
      <c r="H360" s="4">
        <v>-3169.288</v>
      </c>
      <c r="I360" s="4">
        <v>39723.186000000002</v>
      </c>
      <c r="J360" s="4">
        <v>-1417.58</v>
      </c>
      <c r="K360" s="4">
        <v>136791.39799999999</v>
      </c>
      <c r="L360" s="4">
        <v>126484.94100000001</v>
      </c>
      <c r="M360" s="4">
        <v>124928.925</v>
      </c>
      <c r="N360" s="4">
        <v>11862.473</v>
      </c>
      <c r="O360" s="4">
        <v>-3622.7890000000002</v>
      </c>
      <c r="P360" s="4">
        <v>123.107</v>
      </c>
      <c r="Q360" s="4">
        <v>480.88200000000001</v>
      </c>
      <c r="R360" s="4">
        <v>39.42</v>
      </c>
      <c r="S360" s="4">
        <v>165005.391</v>
      </c>
      <c r="T360" s="4">
        <v>125409.807</v>
      </c>
      <c r="U360" s="4">
        <v>136941.50399999999</v>
      </c>
      <c r="V360" s="4">
        <v>181300.894</v>
      </c>
      <c r="W360" s="4">
        <v>184123.47500000001</v>
      </c>
      <c r="X360" s="4">
        <v>210583.40700000001</v>
      </c>
      <c r="Y360">
        <v>-1.0351719227503201E-2</v>
      </c>
      <c r="Z360">
        <v>178237.32</v>
      </c>
      <c r="AA360" t="s">
        <v>40</v>
      </c>
      <c r="AB360">
        <v>4</v>
      </c>
      <c r="AC360" t="s">
        <v>33</v>
      </c>
      <c r="AD360" s="5">
        <f t="shared" si="50"/>
        <v>-2.9960627684812759E-2</v>
      </c>
      <c r="AE360" s="5">
        <f t="shared" si="51"/>
        <v>-7.9784335526359842E-2</v>
      </c>
      <c r="AF360" s="5">
        <f t="shared" si="52"/>
        <v>2.7147339582414006E-4</v>
      </c>
      <c r="AG360" s="5">
        <f t="shared" si="53"/>
        <v>8.6624380874333037E-2</v>
      </c>
      <c r="AH360" s="5">
        <f t="shared" si="54"/>
        <v>1.0919521150367451</v>
      </c>
      <c r="AI360" s="5">
        <f t="shared" si="55"/>
        <v>-11.515023516128245</v>
      </c>
      <c r="AJ360" s="5">
        <f t="shared" si="56"/>
        <v>1.0949537747163036</v>
      </c>
      <c r="AK360" s="5">
        <f t="shared" si="57"/>
        <v>-1.0351719227503154E-2</v>
      </c>
      <c r="AL360" s="5">
        <f t="shared" si="58"/>
        <v>1.0907551910992095</v>
      </c>
      <c r="AM360" s="10">
        <f t="shared" si="59"/>
        <v>3.3486429010207233</v>
      </c>
    </row>
    <row r="361" spans="1:39" x14ac:dyDescent="0.3">
      <c r="A361">
        <v>6</v>
      </c>
      <c r="B361" t="s">
        <v>47</v>
      </c>
      <c r="C361" t="s">
        <v>48</v>
      </c>
      <c r="D361" s="1">
        <v>37609</v>
      </c>
      <c r="E361">
        <v>0</v>
      </c>
      <c r="F361" t="s">
        <v>49</v>
      </c>
      <c r="G361" s="4">
        <v>-749.40499999999997</v>
      </c>
      <c r="H361" s="4">
        <v>1255.075</v>
      </c>
      <c r="I361" s="4">
        <v>1618.5360000000001</v>
      </c>
      <c r="J361" s="4">
        <v>2559.2730000000001</v>
      </c>
      <c r="K361" s="4">
        <v>5687.7839999999997</v>
      </c>
      <c r="L361" s="4">
        <v>0</v>
      </c>
      <c r="M361" s="4">
        <v>37884.817000000003</v>
      </c>
      <c r="N361" s="4">
        <v>-32197.032999999999</v>
      </c>
      <c r="O361" s="4">
        <v>304.41699999999997</v>
      </c>
      <c r="P361" s="4">
        <v>38763.578000000001</v>
      </c>
      <c r="Q361" s="4">
        <v>0</v>
      </c>
      <c r="R361" s="4">
        <v>942.43100000000004</v>
      </c>
      <c r="S361" s="4">
        <v>37366.163999999997</v>
      </c>
      <c r="T361" s="4">
        <v>37884.817000000003</v>
      </c>
      <c r="U361" s="4">
        <v>44451.362000000001</v>
      </c>
      <c r="V361" s="4">
        <v>44918.307999999997</v>
      </c>
      <c r="W361" s="4">
        <v>45910.989000000001</v>
      </c>
      <c r="X361" s="4">
        <v>46122.690999999999</v>
      </c>
      <c r="Y361">
        <v>5.7574681288730799E-2</v>
      </c>
      <c r="Z361">
        <v>45350.837500000001</v>
      </c>
      <c r="AA361" t="s">
        <v>40</v>
      </c>
      <c r="AB361">
        <v>4</v>
      </c>
      <c r="AC361" t="s">
        <v>33</v>
      </c>
      <c r="AD361" s="5">
        <f t="shared" si="50"/>
        <v>-1.6770902253527398E-2</v>
      </c>
      <c r="AE361" s="5">
        <f t="shared" si="51"/>
        <v>0.77543842089394366</v>
      </c>
      <c r="AF361" s="5">
        <f t="shared" si="52"/>
        <v>2.5047673464881477E-2</v>
      </c>
      <c r="AG361" s="5">
        <f t="shared" si="53"/>
        <v>-0.72432050563490047</v>
      </c>
      <c r="AH361" s="5">
        <f t="shared" si="54"/>
        <v>1.1733291993993267</v>
      </c>
      <c r="AI361" s="5">
        <f t="shared" si="55"/>
        <v>6.6022620512482103E-2</v>
      </c>
      <c r="AJ361" s="5">
        <f t="shared" si="56"/>
        <v>0.15013360101488676</v>
      </c>
      <c r="AK361" s="5">
        <f t="shared" si="57"/>
        <v>5.757468128873082E-2</v>
      </c>
      <c r="AL361" s="5">
        <f t="shared" si="58"/>
        <v>0.15013360101488676</v>
      </c>
      <c r="AM361" s="10">
        <f t="shared" si="59"/>
        <v>-5.0269725163806248E-2</v>
      </c>
    </row>
    <row r="362" spans="1:39" x14ac:dyDescent="0.3">
      <c r="A362">
        <v>13</v>
      </c>
      <c r="B362" t="s">
        <v>60</v>
      </c>
      <c r="C362" t="s">
        <v>61</v>
      </c>
      <c r="D362" s="1">
        <v>29741</v>
      </c>
      <c r="E362">
        <v>24</v>
      </c>
      <c r="F362" t="s">
        <v>62</v>
      </c>
      <c r="G362" s="4">
        <v>-12599.476000000001</v>
      </c>
      <c r="H362" s="4">
        <v>-12578.370999999999</v>
      </c>
      <c r="I362" s="4">
        <v>520.24</v>
      </c>
      <c r="J362" s="4">
        <v>-14103.718999999999</v>
      </c>
      <c r="K362" s="4">
        <v>16541.526000000002</v>
      </c>
      <c r="L362" s="4">
        <v>10079.579</v>
      </c>
      <c r="M362" s="4">
        <v>645.50400000000002</v>
      </c>
      <c r="N362" s="4">
        <v>15896.022000000001</v>
      </c>
      <c r="O362" s="4">
        <v>-12598.866</v>
      </c>
      <c r="P362" s="4">
        <v>2714.86</v>
      </c>
      <c r="Q362" s="4">
        <v>26877.263999999999</v>
      </c>
      <c r="R362" s="4">
        <v>20.518000000000001</v>
      </c>
      <c r="S362" s="4">
        <v>26613.53</v>
      </c>
      <c r="T362" s="4">
        <v>27522.768</v>
      </c>
      <c r="U362" s="4">
        <v>19256.417000000001</v>
      </c>
      <c r="V362" s="4">
        <v>26752.236000000001</v>
      </c>
      <c r="W362" s="4">
        <v>27314.885999999999</v>
      </c>
      <c r="X362" s="4">
        <v>29534.960999999999</v>
      </c>
      <c r="Y362">
        <v>-0.73241657573161201</v>
      </c>
      <c r="Z362">
        <v>25714.625</v>
      </c>
      <c r="AA362" t="s">
        <v>40</v>
      </c>
      <c r="AB362">
        <v>4</v>
      </c>
      <c r="AC362" t="s">
        <v>33</v>
      </c>
      <c r="AD362" s="5">
        <f t="shared" si="50"/>
        <v>-0.54770027716308056</v>
      </c>
      <c r="AE362" s="5">
        <f t="shared" si="51"/>
        <v>-24.178015915731198</v>
      </c>
      <c r="AF362" s="5">
        <f t="shared" si="52"/>
        <v>7.580126738625535E-4</v>
      </c>
      <c r="AG362" s="5">
        <f t="shared" si="53"/>
        <v>0.82549219826305176</v>
      </c>
      <c r="AH362" s="5">
        <f t="shared" si="54"/>
        <v>0.69965408275795515</v>
      </c>
      <c r="AI362" s="5">
        <f t="shared" si="55"/>
        <v>-5.1950078457084334</v>
      </c>
      <c r="AJ362" s="5">
        <f t="shared" si="56"/>
        <v>25.625752900059489</v>
      </c>
      <c r="AK362" s="5">
        <f t="shared" si="57"/>
        <v>-0.7324165757316119</v>
      </c>
      <c r="AL362" s="5">
        <f t="shared" si="58"/>
        <v>0.6010124417718451</v>
      </c>
      <c r="AM362" s="10">
        <f t="shared" si="59"/>
        <v>3.2727684951618714E-2</v>
      </c>
    </row>
    <row r="363" spans="1:39" x14ac:dyDescent="0.3">
      <c r="A363">
        <v>17</v>
      </c>
      <c r="B363" t="s">
        <v>69</v>
      </c>
      <c r="C363" t="s">
        <v>70</v>
      </c>
      <c r="D363" s="1">
        <v>34331</v>
      </c>
      <c r="E363">
        <v>1</v>
      </c>
      <c r="F363" t="s">
        <v>71</v>
      </c>
      <c r="G363" s="4">
        <v>-159.66</v>
      </c>
      <c r="H363" s="4">
        <v>-159.62299999999999</v>
      </c>
      <c r="I363" s="4">
        <v>38.694000000000003</v>
      </c>
      <c r="J363" s="4">
        <v>-2825.194</v>
      </c>
      <c r="K363" s="4">
        <v>14555.231</v>
      </c>
      <c r="L363" s="4">
        <v>13219.989</v>
      </c>
      <c r="M363" s="4">
        <v>16287.768</v>
      </c>
      <c r="N363" s="4">
        <v>-1732.537</v>
      </c>
      <c r="O363" s="4">
        <v>-159.66</v>
      </c>
      <c r="P363" s="4">
        <v>75.882000000000005</v>
      </c>
      <c r="Q363" s="4">
        <v>0</v>
      </c>
      <c r="R363" s="4">
        <v>3.6999999999999998E-2</v>
      </c>
      <c r="S363" s="4">
        <v>15962.958000000001</v>
      </c>
      <c r="T363" s="4">
        <v>16287.768</v>
      </c>
      <c r="U363" s="4">
        <v>14632.540999999999</v>
      </c>
      <c r="V363" s="4">
        <v>14606.913</v>
      </c>
      <c r="W363" s="4">
        <v>14573.352000000001</v>
      </c>
      <c r="X363" s="4">
        <v>13461.163</v>
      </c>
      <c r="Y363">
        <v>-0.19307610346008899</v>
      </c>
      <c r="Z363">
        <v>14318.492249999999</v>
      </c>
      <c r="AA363" t="s">
        <v>40</v>
      </c>
      <c r="AB363">
        <v>4</v>
      </c>
      <c r="AC363" t="s">
        <v>33</v>
      </c>
      <c r="AD363" s="5">
        <f t="shared" si="50"/>
        <v>-1.0920860560528935E-2</v>
      </c>
      <c r="AE363" s="5">
        <f t="shared" si="51"/>
        <v>-4.125264898950741</v>
      </c>
      <c r="AF363" s="5">
        <f t="shared" si="52"/>
        <v>2.2945219899855896E-6</v>
      </c>
      <c r="AG363" s="5">
        <f t="shared" si="53"/>
        <v>-0.11840301694695406</v>
      </c>
      <c r="AH363" s="5">
        <f t="shared" si="54"/>
        <v>0.89837606969843864</v>
      </c>
      <c r="AI363" s="5">
        <f t="shared" si="55"/>
        <v>-37.231411929047731</v>
      </c>
      <c r="AJ363" s="5">
        <f t="shared" si="56"/>
        <v>0.89362956299475782</v>
      </c>
      <c r="AK363" s="5">
        <f t="shared" si="57"/>
        <v>-0.19307610346008941</v>
      </c>
      <c r="AL363" s="5">
        <f t="shared" si="58"/>
        <v>0.89362956299475782</v>
      </c>
      <c r="AM363" s="10">
        <f t="shared" si="59"/>
        <v>-2.2333722165818106E-2</v>
      </c>
    </row>
    <row r="364" spans="1:39" x14ac:dyDescent="0.3">
      <c r="A364">
        <v>24</v>
      </c>
      <c r="B364" t="s">
        <v>84</v>
      </c>
      <c r="C364" t="s">
        <v>70</v>
      </c>
      <c r="D364" s="1">
        <v>30809</v>
      </c>
      <c r="E364">
        <v>73</v>
      </c>
      <c r="F364" t="s">
        <v>85</v>
      </c>
      <c r="G364" s="4">
        <v>-902.86599999999999</v>
      </c>
      <c r="H364" s="4">
        <v>-140.57</v>
      </c>
      <c r="I364" s="4">
        <v>3170.9679999999998</v>
      </c>
      <c r="J364" s="4">
        <v>-3983.5140000000001</v>
      </c>
      <c r="K364" s="4">
        <v>1850.8440000000001</v>
      </c>
      <c r="L364" s="4">
        <v>483.53500000000003</v>
      </c>
      <c r="M364" s="4">
        <v>8172.0039999999999</v>
      </c>
      <c r="N364" s="4">
        <v>-6321.16</v>
      </c>
      <c r="O364" s="4">
        <v>-706.33500000000004</v>
      </c>
      <c r="P364" s="4">
        <v>8944.1260000000002</v>
      </c>
      <c r="Q364" s="4">
        <v>4225.7860000000001</v>
      </c>
      <c r="R364" s="4">
        <v>559.29600000000005</v>
      </c>
      <c r="S364" s="4">
        <v>13142.663</v>
      </c>
      <c r="T364" s="4">
        <v>12397.79</v>
      </c>
      <c r="U364" s="4">
        <v>10795.619000000001</v>
      </c>
      <c r="V364" s="4">
        <v>12491.539000000001</v>
      </c>
      <c r="W364" s="4">
        <v>13362.334000000001</v>
      </c>
      <c r="X364" s="4">
        <v>13754.403</v>
      </c>
      <c r="Y364">
        <v>-0.36899357044741898</v>
      </c>
      <c r="Z364">
        <v>12600.973749999999</v>
      </c>
      <c r="AA364" t="s">
        <v>40</v>
      </c>
      <c r="AB364">
        <v>4</v>
      </c>
      <c r="AC364" t="s">
        <v>33</v>
      </c>
      <c r="AD364" s="5">
        <f t="shared" si="50"/>
        <v>-7.7541965404279892E-2</v>
      </c>
      <c r="AE364" s="5">
        <f t="shared" si="51"/>
        <v>-4.4330311753382562E-2</v>
      </c>
      <c r="AF364" s="5">
        <f t="shared" si="52"/>
        <v>4.3796873923888507E-2</v>
      </c>
      <c r="AG364" s="5">
        <f t="shared" si="53"/>
        <v>-0.58553011179812842</v>
      </c>
      <c r="AH364" s="5">
        <f t="shared" si="54"/>
        <v>0.87076962910325151</v>
      </c>
      <c r="AI364" s="5">
        <f t="shared" si="55"/>
        <v>-0.44537767021618435</v>
      </c>
      <c r="AJ364" s="5">
        <f t="shared" si="56"/>
        <v>0.22648593906708808</v>
      </c>
      <c r="AK364" s="5">
        <f t="shared" si="57"/>
        <v>-0.36899357044741943</v>
      </c>
      <c r="AL364" s="5">
        <f t="shared" si="58"/>
        <v>0.14928821991661417</v>
      </c>
      <c r="AM364" s="10">
        <f t="shared" si="59"/>
        <v>-0.50164336925501019</v>
      </c>
    </row>
    <row r="365" spans="1:39" x14ac:dyDescent="0.3">
      <c r="A365">
        <v>25</v>
      </c>
      <c r="B365" t="s">
        <v>86</v>
      </c>
      <c r="C365" t="s">
        <v>38</v>
      </c>
      <c r="D365" s="1">
        <v>38483</v>
      </c>
      <c r="E365">
        <v>0</v>
      </c>
      <c r="F365" t="s">
        <v>87</v>
      </c>
      <c r="G365" s="4">
        <v>-633.31200000000001</v>
      </c>
      <c r="H365" s="4">
        <v>-621.18499999999995</v>
      </c>
      <c r="I365" s="4">
        <v>64.8</v>
      </c>
      <c r="J365" s="4">
        <v>4294.3050000000003</v>
      </c>
      <c r="K365" s="4">
        <v>6022.38</v>
      </c>
      <c r="L365" s="4">
        <v>5816.5420000000004</v>
      </c>
      <c r="M365" s="4">
        <v>5172.8609999999999</v>
      </c>
      <c r="N365" s="4">
        <v>849.51900000000001</v>
      </c>
      <c r="O365" s="4">
        <v>-625.89</v>
      </c>
      <c r="P365" s="4">
        <v>4571.5780000000004</v>
      </c>
      <c r="Q365" s="4">
        <v>0</v>
      </c>
      <c r="R365" s="4">
        <v>4.7050000000000001</v>
      </c>
      <c r="S365" s="4">
        <v>4548.9229999999998</v>
      </c>
      <c r="T365" s="4">
        <v>5172.8609999999999</v>
      </c>
      <c r="U365" s="4">
        <v>10593.958000000001</v>
      </c>
      <c r="V365" s="4">
        <v>10603.284</v>
      </c>
      <c r="W365" s="4">
        <v>10648.295</v>
      </c>
      <c r="X365" s="4">
        <v>6580.143</v>
      </c>
      <c r="Y365">
        <v>0.40535416508164401</v>
      </c>
      <c r="Z365">
        <v>9606.42</v>
      </c>
      <c r="AA365" t="s">
        <v>40</v>
      </c>
      <c r="AB365">
        <v>4</v>
      </c>
      <c r="AC365" t="s">
        <v>33</v>
      </c>
      <c r="AD365" s="5">
        <f t="shared" si="50"/>
        <v>-5.975418877606814E-2</v>
      </c>
      <c r="AE365" s="5">
        <f t="shared" si="51"/>
        <v>-9.5861882716049376</v>
      </c>
      <c r="AF365" s="5">
        <f t="shared" si="52"/>
        <v>9.6792934300947236E-4</v>
      </c>
      <c r="AG365" s="5">
        <f t="shared" si="53"/>
        <v>8.0189009622277152E-2</v>
      </c>
      <c r="AH365" s="5">
        <f t="shared" si="54"/>
        <v>2.0479881442783792</v>
      </c>
      <c r="AI365" s="5">
        <f t="shared" si="55"/>
        <v>0.93934851379545525</v>
      </c>
      <c r="AJ365" s="5">
        <f t="shared" si="56"/>
        <v>1.1642261410078485</v>
      </c>
      <c r="AK365" s="5">
        <f t="shared" si="57"/>
        <v>0.40535416508164374</v>
      </c>
      <c r="AL365" s="5">
        <f t="shared" si="58"/>
        <v>1.1642261410078485</v>
      </c>
      <c r="AM365" s="10">
        <f t="shared" si="59"/>
        <v>7.6278458751364006E-2</v>
      </c>
    </row>
    <row r="366" spans="1:39" x14ac:dyDescent="0.3">
      <c r="A366">
        <v>28</v>
      </c>
      <c r="B366" t="s">
        <v>90</v>
      </c>
      <c r="C366" t="s">
        <v>61</v>
      </c>
      <c r="D366" s="1">
        <v>39763</v>
      </c>
      <c r="E366">
        <v>0</v>
      </c>
      <c r="F366" t="s">
        <v>91</v>
      </c>
      <c r="G366" s="4">
        <v>-267.01600000000002</v>
      </c>
      <c r="H366" s="4">
        <v>-172.17</v>
      </c>
      <c r="I366" s="4">
        <v>391.22699999999998</v>
      </c>
      <c r="J366" s="4">
        <v>-3439.384</v>
      </c>
      <c r="K366" s="4">
        <v>8037.3990000000003</v>
      </c>
      <c r="L366" s="4">
        <v>3919.8009999999999</v>
      </c>
      <c r="M366" s="4">
        <v>12893.856</v>
      </c>
      <c r="N366" s="4">
        <v>-4856.4570000000003</v>
      </c>
      <c r="O366" s="4">
        <v>-251.82300000000001</v>
      </c>
      <c r="P366" s="4">
        <v>2468.7890000000002</v>
      </c>
      <c r="Q366" s="4">
        <v>864.62599999999998</v>
      </c>
      <c r="R366" s="4">
        <v>79.653000000000006</v>
      </c>
      <c r="S366" s="4">
        <v>13865.423000000001</v>
      </c>
      <c r="T366" s="4">
        <v>13758.482</v>
      </c>
      <c r="U366" s="4">
        <v>10506.188</v>
      </c>
      <c r="V366" s="4">
        <v>10815.145</v>
      </c>
      <c r="W366" s="4">
        <v>17237.419999999998</v>
      </c>
      <c r="X366" s="4">
        <v>23506.118999999999</v>
      </c>
      <c r="Y366">
        <v>-0.32736745240043302</v>
      </c>
      <c r="Z366">
        <v>15516.218000000001</v>
      </c>
      <c r="AA366" t="s">
        <v>40</v>
      </c>
      <c r="AB366">
        <v>4</v>
      </c>
      <c r="AC366" t="s">
        <v>33</v>
      </c>
      <c r="AD366" s="5">
        <f t="shared" si="50"/>
        <v>-2.5046839238428483E-2</v>
      </c>
      <c r="AE366" s="5">
        <f t="shared" si="51"/>
        <v>-0.44007698855140365</v>
      </c>
      <c r="AF366" s="5">
        <f t="shared" si="52"/>
        <v>5.766961622551193E-3</v>
      </c>
      <c r="AG366" s="5">
        <f t="shared" si="53"/>
        <v>-0.46224729654561675</v>
      </c>
      <c r="AH366" s="5">
        <f t="shared" si="54"/>
        <v>0.76361534651860574</v>
      </c>
      <c r="AI366" s="5">
        <f t="shared" si="55"/>
        <v>-1.3931461943487271</v>
      </c>
      <c r="AJ366" s="5">
        <f t="shared" si="56"/>
        <v>0.62335107511670673</v>
      </c>
      <c r="AK366" s="5">
        <f t="shared" si="57"/>
        <v>-0.32736745240043297</v>
      </c>
      <c r="AL366" s="5">
        <f t="shared" si="58"/>
        <v>0.58417774577166293</v>
      </c>
      <c r="AM366" s="10">
        <f t="shared" si="59"/>
        <v>-8.0558110573201808E-2</v>
      </c>
    </row>
    <row r="367" spans="1:39" x14ac:dyDescent="0.3">
      <c r="A367">
        <v>30</v>
      </c>
      <c r="B367" t="s">
        <v>92</v>
      </c>
      <c r="C367" t="s">
        <v>93</v>
      </c>
      <c r="D367" s="1">
        <v>29619</v>
      </c>
      <c r="E367">
        <v>1</v>
      </c>
      <c r="F367" t="s">
        <v>94</v>
      </c>
      <c r="G367" s="4">
        <v>-2938.5720000000001</v>
      </c>
      <c r="H367" s="4">
        <v>-1882.1320000000001</v>
      </c>
      <c r="I367" s="4">
        <v>111.839</v>
      </c>
      <c r="J367" s="4">
        <v>-321.90699999999998</v>
      </c>
      <c r="K367" s="4">
        <v>6010.6549999999997</v>
      </c>
      <c r="L367" s="4">
        <v>3708.6390000000001</v>
      </c>
      <c r="M367" s="4">
        <v>9580.2369999999992</v>
      </c>
      <c r="N367" s="4">
        <v>-3569.5819999999999</v>
      </c>
      <c r="O367" s="4">
        <v>-2037.5640000000001</v>
      </c>
      <c r="P367" s="4">
        <v>3257.24</v>
      </c>
      <c r="Q367" s="4">
        <v>0</v>
      </c>
      <c r="R367" s="4">
        <v>248.011</v>
      </c>
      <c r="S367" s="4">
        <v>7873.7219999999998</v>
      </c>
      <c r="T367" s="4">
        <v>9580.2369999999992</v>
      </c>
      <c r="U367" s="4">
        <v>9267.8950000000004</v>
      </c>
      <c r="V367" s="4">
        <v>11442.925999999999</v>
      </c>
      <c r="W367" s="4">
        <v>11449.35</v>
      </c>
      <c r="X367" s="4">
        <v>11059.173000000001</v>
      </c>
      <c r="Y367">
        <v>-3.4733561396627803E-2</v>
      </c>
      <c r="Z367">
        <v>10804.835999999999</v>
      </c>
      <c r="AA367" t="s">
        <v>40</v>
      </c>
      <c r="AB367">
        <v>4</v>
      </c>
      <c r="AC367" t="s">
        <v>33</v>
      </c>
      <c r="AD367" s="5">
        <f t="shared" si="50"/>
        <v>-0.28377165733796839</v>
      </c>
      <c r="AE367" s="5">
        <f t="shared" si="51"/>
        <v>-16.828941603555112</v>
      </c>
      <c r="AF367" s="5">
        <f t="shared" si="52"/>
        <v>2.8418881928163119E-2</v>
      </c>
      <c r="AG367" s="5">
        <f t="shared" si="53"/>
        <v>-0.38515563674383446</v>
      </c>
      <c r="AH367" s="5">
        <f t="shared" si="54"/>
        <v>0.96739725749999728</v>
      </c>
      <c r="AI367" s="5">
        <f t="shared" si="55"/>
        <v>-9.882814898503027E-2</v>
      </c>
      <c r="AJ367" s="5">
        <f t="shared" si="56"/>
        <v>0.62740149330334938</v>
      </c>
      <c r="AK367" s="5">
        <f t="shared" si="57"/>
        <v>-3.4733561396627817E-2</v>
      </c>
      <c r="AL367" s="5">
        <f t="shared" si="58"/>
        <v>0.62740149330334938</v>
      </c>
      <c r="AM367" s="10">
        <f t="shared" si="59"/>
        <v>-3.1331119441996291E-2</v>
      </c>
    </row>
    <row r="368" spans="1:39" x14ac:dyDescent="0.3">
      <c r="A368">
        <v>34</v>
      </c>
      <c r="B368" t="s">
        <v>98</v>
      </c>
      <c r="C368" t="s">
        <v>70</v>
      </c>
      <c r="D368" s="1">
        <v>33869</v>
      </c>
      <c r="E368">
        <v>0</v>
      </c>
      <c r="F368" t="s">
        <v>99</v>
      </c>
      <c r="G368" s="4">
        <v>-832.29</v>
      </c>
      <c r="H368" s="4">
        <v>-228.416</v>
      </c>
      <c r="I368" s="4">
        <v>114</v>
      </c>
      <c r="J368" s="4">
        <v>655.93899999999996</v>
      </c>
      <c r="K368" s="4">
        <v>488.90600000000001</v>
      </c>
      <c r="L368" s="4">
        <v>0</v>
      </c>
      <c r="M368" s="4">
        <v>934.59199999999998</v>
      </c>
      <c r="N368" s="4">
        <v>-445.68599999999998</v>
      </c>
      <c r="O368" s="4">
        <v>-832.29</v>
      </c>
      <c r="P368" s="4">
        <v>7833.1750000000002</v>
      </c>
      <c r="Q368" s="4">
        <v>6206.4870000000001</v>
      </c>
      <c r="R368" s="4">
        <v>572.846</v>
      </c>
      <c r="S368" s="4">
        <v>5691.1530000000002</v>
      </c>
      <c r="T368" s="4">
        <v>7141.0789999999997</v>
      </c>
      <c r="U368" s="4">
        <v>8322.0810000000001</v>
      </c>
      <c r="V368" s="4">
        <v>7694.4769999999999</v>
      </c>
      <c r="W368" s="4">
        <v>7425.4639999999999</v>
      </c>
      <c r="X368" s="4">
        <v>8203.2579999999998</v>
      </c>
      <c r="Y368">
        <v>7.8819107864967902E-2</v>
      </c>
      <c r="Z368">
        <v>7911.32</v>
      </c>
      <c r="AA368" t="s">
        <v>40</v>
      </c>
      <c r="AB368">
        <v>4</v>
      </c>
      <c r="AC368" t="s">
        <v>33</v>
      </c>
      <c r="AD368" s="5">
        <f t="shared" si="50"/>
        <v>-0.10392869678990953</v>
      </c>
      <c r="AE368" s="5">
        <f t="shared" si="51"/>
        <v>-2.0036491228070177</v>
      </c>
      <c r="AF368" s="5">
        <f t="shared" si="52"/>
        <v>8.9282363348792318E-2</v>
      </c>
      <c r="AG368" s="5">
        <f t="shared" si="53"/>
        <v>-5.3554633750861107E-2</v>
      </c>
      <c r="AH368" s="5">
        <f t="shared" si="54"/>
        <v>1.1653814500581776</v>
      </c>
      <c r="AI368" s="5">
        <f t="shared" si="55"/>
        <v>8.3738586205465843E-2</v>
      </c>
      <c r="AJ368" s="5">
        <f t="shared" si="56"/>
        <v>0.52312238923508869</v>
      </c>
      <c r="AK368" s="5">
        <f t="shared" si="57"/>
        <v>7.8819107864967902E-2</v>
      </c>
      <c r="AL368" s="5">
        <f t="shared" si="58"/>
        <v>6.8463883399133382E-2</v>
      </c>
      <c r="AM368" s="10">
        <f t="shared" si="59"/>
        <v>-0.25578546330824842</v>
      </c>
    </row>
    <row r="369" spans="1:39" x14ac:dyDescent="0.3">
      <c r="A369">
        <v>43</v>
      </c>
      <c r="B369" t="s">
        <v>109</v>
      </c>
      <c r="C369" t="s">
        <v>93</v>
      </c>
      <c r="D369" s="1">
        <v>29568</v>
      </c>
      <c r="E369">
        <v>0</v>
      </c>
      <c r="F369" t="s">
        <v>110</v>
      </c>
      <c r="G369" s="4">
        <v>-762.12900000000002</v>
      </c>
      <c r="H369" s="4">
        <v>-675.76</v>
      </c>
      <c r="I369" s="4">
        <v>50.351999999999997</v>
      </c>
      <c r="J369" s="4">
        <v>-14064.576999999999</v>
      </c>
      <c r="K369" s="4">
        <v>5474.5050000000001</v>
      </c>
      <c r="L369" s="4">
        <v>0</v>
      </c>
      <c r="M369" s="4">
        <v>17336.481</v>
      </c>
      <c r="N369" s="4">
        <v>-11861.976000000001</v>
      </c>
      <c r="O369" s="4">
        <v>-762.12900000000002</v>
      </c>
      <c r="P369" s="4">
        <v>1600.962</v>
      </c>
      <c r="Q369" s="4">
        <v>3302.4380000000001</v>
      </c>
      <c r="R369" s="4">
        <v>8.4920000000000009</v>
      </c>
      <c r="S369" s="4">
        <v>16781.534</v>
      </c>
      <c r="T369" s="4">
        <v>20638.919000000002</v>
      </c>
      <c r="U369" s="4">
        <v>7092.4610000000002</v>
      </c>
      <c r="V369" s="4">
        <v>7466.4409999999998</v>
      </c>
      <c r="W369" s="4">
        <v>8022.2929999999997</v>
      </c>
      <c r="X369" s="4">
        <v>22484.335999999999</v>
      </c>
      <c r="Y369">
        <v>-1.9830319828336</v>
      </c>
      <c r="Z369">
        <v>11266.382750000001</v>
      </c>
      <c r="AA369" t="s">
        <v>40</v>
      </c>
      <c r="AB369">
        <v>4</v>
      </c>
      <c r="AC369" t="s">
        <v>33</v>
      </c>
      <c r="AD369" s="5">
        <f t="shared" si="50"/>
        <v>-0.10469594479034203</v>
      </c>
      <c r="AE369" s="5">
        <f t="shared" si="51"/>
        <v>-13.420718144264379</v>
      </c>
      <c r="AF369" s="5">
        <f t="shared" si="52"/>
        <v>4.5386943872646334E-4</v>
      </c>
      <c r="AG369" s="5">
        <f t="shared" si="53"/>
        <v>-1.6724767326884138</v>
      </c>
      <c r="AH369" s="5">
        <f t="shared" si="54"/>
        <v>0.34364498450718273</v>
      </c>
      <c r="AI369" s="5">
        <f t="shared" si="55"/>
        <v>-8.7850785964938574</v>
      </c>
      <c r="AJ369" s="5">
        <f t="shared" si="56"/>
        <v>0.31577948258357624</v>
      </c>
      <c r="AK369" s="5">
        <f t="shared" si="57"/>
        <v>-1.9830319828336029</v>
      </c>
      <c r="AL369" s="5">
        <f t="shared" si="58"/>
        <v>0.26525153764109444</v>
      </c>
      <c r="AM369" s="10">
        <f t="shared" si="59"/>
        <v>-4.2448239652482849E-3</v>
      </c>
    </row>
    <row r="370" spans="1:39" x14ac:dyDescent="0.3">
      <c r="A370">
        <v>56</v>
      </c>
      <c r="B370" t="s">
        <v>125</v>
      </c>
      <c r="C370" t="s">
        <v>126</v>
      </c>
      <c r="D370" s="1">
        <v>37712</v>
      </c>
      <c r="E370">
        <v>390</v>
      </c>
      <c r="F370" t="s">
        <v>127</v>
      </c>
      <c r="G370" s="4">
        <v>41.813000000000002</v>
      </c>
      <c r="H370" s="4">
        <v>120.976</v>
      </c>
      <c r="I370" s="4">
        <v>3963.83</v>
      </c>
      <c r="J370" s="4">
        <v>-1034.761</v>
      </c>
      <c r="K370" s="4">
        <v>5454.3639999999996</v>
      </c>
      <c r="L370" s="4">
        <v>11.773</v>
      </c>
      <c r="M370" s="4">
        <v>5540.8320000000003</v>
      </c>
      <c r="N370" s="4">
        <v>-86.468000000000004</v>
      </c>
      <c r="O370" s="4">
        <v>106.02200000000001</v>
      </c>
      <c r="P370" s="4">
        <v>550.32799999999997</v>
      </c>
      <c r="Q370" s="4">
        <v>417.435</v>
      </c>
      <c r="R370" s="4">
        <v>4.9649999999999999</v>
      </c>
      <c r="S370" s="4">
        <v>4579.8590000000004</v>
      </c>
      <c r="T370" s="4">
        <v>5958.2669999999998</v>
      </c>
      <c r="U370" s="4">
        <v>6005.2359999999999</v>
      </c>
      <c r="V370" s="4">
        <v>4564.6710000000003</v>
      </c>
      <c r="W370" s="4">
        <v>6868.5619999999999</v>
      </c>
      <c r="X370" s="4">
        <v>6208.9170000000004</v>
      </c>
      <c r="Y370">
        <v>-0.172309797649917</v>
      </c>
      <c r="Z370">
        <v>5911.8464999999997</v>
      </c>
      <c r="AA370" t="s">
        <v>40</v>
      </c>
      <c r="AB370">
        <v>4</v>
      </c>
      <c r="AC370" t="s">
        <v>33</v>
      </c>
      <c r="AD370" s="5">
        <f t="shared" si="50"/>
        <v>7.911706318702711E-3</v>
      </c>
      <c r="AE370" s="5">
        <f t="shared" si="51"/>
        <v>3.0519976891037203E-2</v>
      </c>
      <c r="AF370" s="5">
        <f t="shared" si="52"/>
        <v>9.4229277577436441E-4</v>
      </c>
      <c r="AG370" s="5">
        <f t="shared" si="53"/>
        <v>-1.4398768008451293E-2</v>
      </c>
      <c r="AH370" s="5">
        <f t="shared" si="54"/>
        <v>1.0078829968512657</v>
      </c>
      <c r="AI370" s="5">
        <f t="shared" si="55"/>
        <v>-1.8802623162913754</v>
      </c>
      <c r="AJ370" s="5">
        <f t="shared" si="56"/>
        <v>0.98439440141841505</v>
      </c>
      <c r="AK370" s="5">
        <f t="shared" si="57"/>
        <v>-0.1723097976499175</v>
      </c>
      <c r="AL370" s="5">
        <f t="shared" si="58"/>
        <v>0.91542792560319963</v>
      </c>
      <c r="AM370" s="10">
        <f t="shared" si="59"/>
        <v>-45.841583013369103</v>
      </c>
    </row>
    <row r="371" spans="1:39" x14ac:dyDescent="0.3">
      <c r="A371">
        <v>57</v>
      </c>
      <c r="B371" t="s">
        <v>128</v>
      </c>
      <c r="C371" t="s">
        <v>70</v>
      </c>
      <c r="D371" s="1">
        <v>38693</v>
      </c>
      <c r="E371">
        <v>26</v>
      </c>
      <c r="F371" t="s">
        <v>129</v>
      </c>
      <c r="G371" s="4">
        <v>-1796.5319999999999</v>
      </c>
      <c r="H371" s="4">
        <v>-981.59100000000001</v>
      </c>
      <c r="I371" s="4">
        <v>1781.712</v>
      </c>
      <c r="J371" s="4">
        <v>149.29499999999999</v>
      </c>
      <c r="K371" s="4">
        <v>5098.6859999999997</v>
      </c>
      <c r="L371" s="4">
        <v>2852.8420000000001</v>
      </c>
      <c r="M371" s="4">
        <v>2905.16</v>
      </c>
      <c r="N371" s="4">
        <v>2193.5259999999998</v>
      </c>
      <c r="O371" s="4">
        <v>-1046.5319999999999</v>
      </c>
      <c r="P371" s="4">
        <v>876.82500000000005</v>
      </c>
      <c r="Q371" s="4">
        <v>2149.1680000000001</v>
      </c>
      <c r="R371" s="4">
        <v>64.941000000000003</v>
      </c>
      <c r="S371" s="4">
        <v>4601.5330000000004</v>
      </c>
      <c r="T371" s="4">
        <v>5054.3280000000004</v>
      </c>
      <c r="U371" s="4">
        <v>5986.866</v>
      </c>
      <c r="V371" s="4">
        <v>6594.3779999999997</v>
      </c>
      <c r="W371" s="4">
        <v>5660.2439999999997</v>
      </c>
      <c r="X371" s="4">
        <v>5617.5709999999999</v>
      </c>
      <c r="Y371">
        <v>2.49370872840648E-2</v>
      </c>
      <c r="Z371">
        <v>5964.7647500000003</v>
      </c>
      <c r="AA371" t="s">
        <v>40</v>
      </c>
      <c r="AB371">
        <v>4</v>
      </c>
      <c r="AC371" t="s">
        <v>33</v>
      </c>
      <c r="AD371" s="5">
        <f t="shared" si="50"/>
        <v>-0.2855889290439006</v>
      </c>
      <c r="AE371" s="5">
        <f t="shared" si="51"/>
        <v>-0.55092573883994722</v>
      </c>
      <c r="AF371" s="5">
        <f t="shared" si="52"/>
        <v>1.3451104981730784E-2</v>
      </c>
      <c r="AG371" s="5">
        <f t="shared" si="53"/>
        <v>0.36638969370618951</v>
      </c>
      <c r="AH371" s="5">
        <f t="shared" si="54"/>
        <v>1.1845028656628536</v>
      </c>
      <c r="AI371" s="5">
        <f t="shared" si="55"/>
        <v>0.17026772731160719</v>
      </c>
      <c r="AJ371" s="5">
        <f t="shared" si="56"/>
        <v>1.7550448168087127</v>
      </c>
      <c r="AK371" s="5">
        <f t="shared" si="57"/>
        <v>2.4937087284064817E-2</v>
      </c>
      <c r="AL371" s="5">
        <f t="shared" si="58"/>
        <v>1.0087762408771253</v>
      </c>
      <c r="AM371" s="10">
        <f t="shared" si="59"/>
        <v>0.81225934864688187</v>
      </c>
    </row>
    <row r="372" spans="1:39" x14ac:dyDescent="0.3">
      <c r="A372">
        <v>69</v>
      </c>
      <c r="B372" t="s">
        <v>140</v>
      </c>
      <c r="C372" t="s">
        <v>70</v>
      </c>
      <c r="D372" s="1">
        <v>40694</v>
      </c>
      <c r="E372">
        <v>18</v>
      </c>
      <c r="F372" t="s">
        <v>141</v>
      </c>
      <c r="G372" s="4">
        <v>184.279</v>
      </c>
      <c r="H372" s="4">
        <v>286.60700000000003</v>
      </c>
      <c r="I372" s="4">
        <v>577.33699999999999</v>
      </c>
      <c r="J372" s="4">
        <v>548.00699999999995</v>
      </c>
      <c r="K372" s="4">
        <v>4186.0140000000001</v>
      </c>
      <c r="L372" s="4">
        <v>2016.806</v>
      </c>
      <c r="M372" s="4">
        <v>4106.3130000000001</v>
      </c>
      <c r="N372" s="4">
        <v>79.700999999999993</v>
      </c>
      <c r="O372" s="4">
        <v>266.80200000000002</v>
      </c>
      <c r="P372" s="4">
        <v>672.99900000000002</v>
      </c>
      <c r="Q372" s="4">
        <v>25</v>
      </c>
      <c r="R372" s="4">
        <v>1.829</v>
      </c>
      <c r="S372" s="4">
        <v>3834.4290000000001</v>
      </c>
      <c r="T372" s="4">
        <v>4131.3130000000001</v>
      </c>
      <c r="U372" s="4">
        <v>4859.0129999999999</v>
      </c>
      <c r="V372" s="4">
        <v>4321.0619999999999</v>
      </c>
      <c r="W372" s="4">
        <v>4043.3510000000001</v>
      </c>
      <c r="X372" s="4">
        <v>3575.761</v>
      </c>
      <c r="Y372">
        <v>0.112781546375776</v>
      </c>
      <c r="Z372">
        <v>4199.7967500000004</v>
      </c>
      <c r="AA372" t="s">
        <v>40</v>
      </c>
      <c r="AB372">
        <v>3</v>
      </c>
      <c r="AC372" t="s">
        <v>33</v>
      </c>
      <c r="AD372" s="5">
        <f t="shared" si="50"/>
        <v>4.0147602279937793E-2</v>
      </c>
      <c r="AE372" s="5">
        <f t="shared" si="51"/>
        <v>0.4964292951950075</v>
      </c>
      <c r="AF372" s="5">
        <f t="shared" si="52"/>
        <v>4.5921647977049718E-4</v>
      </c>
      <c r="AG372" s="5">
        <f t="shared" si="53"/>
        <v>1.6402713884486417E-2</v>
      </c>
      <c r="AH372" s="5">
        <f t="shared" si="54"/>
        <v>1.1761425483859489</v>
      </c>
      <c r="AI372" s="5">
        <f t="shared" si="55"/>
        <v>0.81427609847860094</v>
      </c>
      <c r="AJ372" s="5">
        <f t="shared" si="56"/>
        <v>1.0194093825775092</v>
      </c>
      <c r="AK372" s="5">
        <f t="shared" si="57"/>
        <v>0.11278154637577631</v>
      </c>
      <c r="AL372" s="5">
        <f t="shared" si="58"/>
        <v>1.0132405847729282</v>
      </c>
      <c r="AM372" s="10">
        <f t="shared" si="59"/>
        <v>7.2437861507383854</v>
      </c>
    </row>
    <row r="373" spans="1:39" x14ac:dyDescent="0.3">
      <c r="A373">
        <v>72</v>
      </c>
      <c r="B373" t="s">
        <v>145</v>
      </c>
      <c r="C373" t="s">
        <v>61</v>
      </c>
      <c r="D373" s="1">
        <v>32671</v>
      </c>
      <c r="E373">
        <v>3</v>
      </c>
      <c r="F373" t="s">
        <v>146</v>
      </c>
      <c r="G373" s="4">
        <v>-543.74099999999999</v>
      </c>
      <c r="H373" s="4">
        <v>-522.22699999999998</v>
      </c>
      <c r="I373" s="4">
        <v>13.462</v>
      </c>
      <c r="J373" s="4">
        <v>-408.98899999999998</v>
      </c>
      <c r="K373" s="4">
        <v>4590.7460000000001</v>
      </c>
      <c r="L373" s="4">
        <v>4025.2669999999998</v>
      </c>
      <c r="M373" s="4">
        <v>3793.2469999999998</v>
      </c>
      <c r="N373" s="4">
        <v>797.49900000000002</v>
      </c>
      <c r="O373" s="4">
        <v>-543.74</v>
      </c>
      <c r="P373" s="4">
        <v>23.58</v>
      </c>
      <c r="Q373" s="4">
        <v>1232.143</v>
      </c>
      <c r="R373" s="4">
        <v>21.513000000000002</v>
      </c>
      <c r="S373" s="4">
        <v>4294.8379999999997</v>
      </c>
      <c r="T373" s="4">
        <v>5025.3900000000003</v>
      </c>
      <c r="U373" s="4">
        <v>4616.4009999999998</v>
      </c>
      <c r="V373" s="4">
        <v>4567.6450000000004</v>
      </c>
      <c r="W373" s="4">
        <v>3655.971</v>
      </c>
      <c r="X373" s="4">
        <v>4458.6639999999998</v>
      </c>
      <c r="Y373">
        <v>-8.8594773287675802E-2</v>
      </c>
      <c r="Z373">
        <v>4324.6702500000001</v>
      </c>
      <c r="AA373" t="s">
        <v>40</v>
      </c>
      <c r="AB373">
        <v>3</v>
      </c>
      <c r="AC373" t="s">
        <v>33</v>
      </c>
      <c r="AD373" s="5">
        <f t="shared" si="50"/>
        <v>-0.11840990343471711</v>
      </c>
      <c r="AE373" s="5">
        <f t="shared" si="51"/>
        <v>-38.79267567969098</v>
      </c>
      <c r="AF373" s="5">
        <f t="shared" si="52"/>
        <v>4.6164106714985951E-3</v>
      </c>
      <c r="AG373" s="5">
        <f t="shared" si="53"/>
        <v>0.17275340682059467</v>
      </c>
      <c r="AH373" s="5">
        <f t="shared" si="54"/>
        <v>0.91861547064008953</v>
      </c>
      <c r="AI373" s="5">
        <f t="shared" si="55"/>
        <v>-17.34474130619169</v>
      </c>
      <c r="AJ373" s="5">
        <f t="shared" si="56"/>
        <v>1.2102417796679206</v>
      </c>
      <c r="AK373" s="5">
        <f t="shared" si="57"/>
        <v>-8.8594773287675829E-2</v>
      </c>
      <c r="AL373" s="5">
        <f t="shared" si="58"/>
        <v>0.91351039421816016</v>
      </c>
      <c r="AM373" s="10">
        <f t="shared" si="59"/>
        <v>1.6880271950184263E-2</v>
      </c>
    </row>
    <row r="374" spans="1:39" x14ac:dyDescent="0.3">
      <c r="A374">
        <v>73</v>
      </c>
      <c r="B374" t="s">
        <v>147</v>
      </c>
      <c r="C374" t="s">
        <v>93</v>
      </c>
      <c r="D374" s="1">
        <v>40373</v>
      </c>
      <c r="E374">
        <v>6</v>
      </c>
      <c r="F374" t="s">
        <v>148</v>
      </c>
      <c r="G374" s="4">
        <v>-599.93200000000002</v>
      </c>
      <c r="H374" s="4">
        <v>-524.61500000000001</v>
      </c>
      <c r="I374" s="4">
        <v>2061.5239999999999</v>
      </c>
      <c r="J374" s="4">
        <v>-942.04600000000005</v>
      </c>
      <c r="K374" s="4">
        <v>4340.4080000000004</v>
      </c>
      <c r="L374" s="4">
        <v>3599.9749999999999</v>
      </c>
      <c r="M374" s="4">
        <v>5259.5119999999997</v>
      </c>
      <c r="N374" s="4">
        <v>-919.10400000000004</v>
      </c>
      <c r="O374" s="4">
        <v>-562.19299999999998</v>
      </c>
      <c r="P374" s="4">
        <v>141.405</v>
      </c>
      <c r="Q374" s="4">
        <v>18.949000000000002</v>
      </c>
      <c r="R374" s="4">
        <v>30.4</v>
      </c>
      <c r="S374" s="4">
        <v>6652.4359999999997</v>
      </c>
      <c r="T374" s="4">
        <v>5278.4610000000002</v>
      </c>
      <c r="U374" s="4">
        <v>4505.7520000000004</v>
      </c>
      <c r="V374" s="4">
        <v>6528.6049999999996</v>
      </c>
      <c r="W374" s="4">
        <v>5004.1220000000003</v>
      </c>
      <c r="X374" s="4">
        <v>3097.7249999999999</v>
      </c>
      <c r="Y374">
        <v>-0.20907630957052201</v>
      </c>
      <c r="Z374">
        <v>4784.0510000000004</v>
      </c>
      <c r="AA374" t="s">
        <v>40</v>
      </c>
      <c r="AB374">
        <v>3</v>
      </c>
      <c r="AC374" t="s">
        <v>33</v>
      </c>
      <c r="AD374" s="5">
        <f t="shared" si="50"/>
        <v>-0.10873891428381373</v>
      </c>
      <c r="AE374" s="5">
        <f t="shared" si="51"/>
        <v>-0.25447921052580519</v>
      </c>
      <c r="AF374" s="5">
        <f t="shared" si="52"/>
        <v>5.0960124791958215E-3</v>
      </c>
      <c r="AG374" s="5">
        <f t="shared" si="53"/>
        <v>-0.20398459569013119</v>
      </c>
      <c r="AH374" s="5">
        <f t="shared" si="54"/>
        <v>0.85361092939779226</v>
      </c>
      <c r="AI374" s="5">
        <f t="shared" si="55"/>
        <v>-6.6620416534068809</v>
      </c>
      <c r="AJ374" s="5">
        <f t="shared" si="56"/>
        <v>0.82524918661655311</v>
      </c>
      <c r="AK374" s="5">
        <f t="shared" si="57"/>
        <v>-0.20907630957052228</v>
      </c>
      <c r="AL374" s="5">
        <f t="shared" si="58"/>
        <v>0.82228664756640246</v>
      </c>
      <c r="AM374" s="10">
        <f t="shared" si="59"/>
        <v>-2.242971415639579</v>
      </c>
    </row>
    <row r="375" spans="1:39" x14ac:dyDescent="0.3">
      <c r="A375">
        <v>76</v>
      </c>
      <c r="B375" t="s">
        <v>153</v>
      </c>
      <c r="C375" t="s">
        <v>126</v>
      </c>
      <c r="D375" s="1">
        <v>37568</v>
      </c>
      <c r="E375">
        <v>0</v>
      </c>
      <c r="F375" t="s">
        <v>154</v>
      </c>
      <c r="G375" s="4">
        <v>14.396000000000001</v>
      </c>
      <c r="H375" s="4">
        <v>14.731</v>
      </c>
      <c r="I375" s="4">
        <v>20.184000000000001</v>
      </c>
      <c r="J375" s="4">
        <v>679.23400000000004</v>
      </c>
      <c r="K375" s="4">
        <v>524.79700000000003</v>
      </c>
      <c r="L375" s="4">
        <v>0</v>
      </c>
      <c r="M375" s="4">
        <v>3580.527</v>
      </c>
      <c r="N375" s="4">
        <v>-3055.73</v>
      </c>
      <c r="O375" s="4">
        <v>14.396000000000001</v>
      </c>
      <c r="P375" s="4">
        <v>3735.6469999999999</v>
      </c>
      <c r="Q375" s="4">
        <v>0</v>
      </c>
      <c r="R375" s="4">
        <v>0.33500000000000002</v>
      </c>
      <c r="S375" s="4">
        <v>3558.355</v>
      </c>
      <c r="T375" s="4">
        <v>3580.527</v>
      </c>
      <c r="U375" s="4">
        <v>4260.4440000000004</v>
      </c>
      <c r="V375" s="4">
        <v>4223.3029999999999</v>
      </c>
      <c r="W375" s="4">
        <v>4171.8069999999998</v>
      </c>
      <c r="X375" s="4">
        <v>3995.2130000000002</v>
      </c>
      <c r="Y375">
        <v>0.15942798450114601</v>
      </c>
      <c r="Z375">
        <v>4162.69175</v>
      </c>
      <c r="AA375" t="s">
        <v>40</v>
      </c>
      <c r="AB375">
        <v>3</v>
      </c>
      <c r="AC375" t="s">
        <v>33</v>
      </c>
      <c r="AD375" s="5">
        <f t="shared" si="50"/>
        <v>3.3937834308354555E-3</v>
      </c>
      <c r="AE375" s="5">
        <f t="shared" si="51"/>
        <v>0.72983551327784379</v>
      </c>
      <c r="AF375" s="5">
        <f t="shared" si="52"/>
        <v>9.3852230643397673E-5</v>
      </c>
      <c r="AG375" s="5">
        <f t="shared" si="53"/>
        <v>-0.71723275790035024</v>
      </c>
      <c r="AH375" s="5">
        <f t="shared" si="54"/>
        <v>1.1898929961986044</v>
      </c>
      <c r="AI375" s="5">
        <f t="shared" si="55"/>
        <v>0.18182499577717059</v>
      </c>
      <c r="AJ375" s="5">
        <f t="shared" si="56"/>
        <v>0.14656976473016403</v>
      </c>
      <c r="AK375" s="5">
        <f t="shared" si="57"/>
        <v>0.15942798450114587</v>
      </c>
      <c r="AL375" s="5">
        <f t="shared" si="58"/>
        <v>0.14656976473016403</v>
      </c>
      <c r="AM375" s="10">
        <f t="shared" si="59"/>
        <v>-6.6052956249406857E-3</v>
      </c>
    </row>
    <row r="376" spans="1:39" x14ac:dyDescent="0.3">
      <c r="A376">
        <v>90</v>
      </c>
      <c r="B376" t="s">
        <v>174</v>
      </c>
      <c r="C376" t="s">
        <v>93</v>
      </c>
      <c r="D376" s="1">
        <v>34022</v>
      </c>
      <c r="E376">
        <v>0</v>
      </c>
      <c r="F376" t="s">
        <v>175</v>
      </c>
      <c r="G376" s="4">
        <v>0.35199999999999998</v>
      </c>
      <c r="H376" s="4">
        <v>0.36899999999999999</v>
      </c>
      <c r="I376" s="4">
        <v>2.2789999999999999</v>
      </c>
      <c r="J376" s="4">
        <v>493.36799999999999</v>
      </c>
      <c r="K376" s="4">
        <v>1174.55</v>
      </c>
      <c r="L376" s="4">
        <v>1139.5740000000001</v>
      </c>
      <c r="M376" s="4">
        <v>763.697</v>
      </c>
      <c r="N376" s="4">
        <v>410.85300000000001</v>
      </c>
      <c r="O376" s="4">
        <v>0.35199999999999998</v>
      </c>
      <c r="P376" s="4">
        <v>2609.806</v>
      </c>
      <c r="Q376" s="4">
        <v>2541.9319999999998</v>
      </c>
      <c r="R376" s="4">
        <v>0</v>
      </c>
      <c r="S376" s="4">
        <v>3438.6610000000001</v>
      </c>
      <c r="T376" s="4">
        <v>3305.6289999999999</v>
      </c>
      <c r="U376" s="4">
        <v>3798.9969999999998</v>
      </c>
      <c r="V376" s="4">
        <v>3931.6790000000001</v>
      </c>
      <c r="W376" s="4">
        <v>4116.7929999999997</v>
      </c>
      <c r="X376" s="4">
        <v>4481.8220000000001</v>
      </c>
      <c r="Y376">
        <v>0.12986796251747501</v>
      </c>
      <c r="Z376">
        <v>4082.3227499999998</v>
      </c>
      <c r="AA376" t="s">
        <v>40</v>
      </c>
      <c r="AB376">
        <v>3</v>
      </c>
      <c r="AC376" t="s">
        <v>33</v>
      </c>
      <c r="AD376" s="5">
        <f t="shared" si="50"/>
        <v>9.1065774842976222E-5</v>
      </c>
      <c r="AE376" s="5">
        <f t="shared" si="51"/>
        <v>0.1619131197893813</v>
      </c>
      <c r="AF376" s="5">
        <f t="shared" si="52"/>
        <v>0</v>
      </c>
      <c r="AG376" s="5">
        <f t="shared" si="53"/>
        <v>0.1081477558418709</v>
      </c>
      <c r="AH376" s="5">
        <f t="shared" si="54"/>
        <v>1.1492508687454037</v>
      </c>
      <c r="AI376" s="5">
        <f t="shared" si="55"/>
        <v>0.18904393659911886</v>
      </c>
      <c r="AJ376" s="5">
        <f t="shared" si="56"/>
        <v>1.537979067614512</v>
      </c>
      <c r="AK376" s="5">
        <f t="shared" si="57"/>
        <v>0.12986796251747501</v>
      </c>
      <c r="AL376" s="5">
        <f t="shared" si="58"/>
        <v>0.35531815578820247</v>
      </c>
      <c r="AM376" s="10">
        <f t="shared" si="59"/>
        <v>5.5469961275687405E-3</v>
      </c>
    </row>
    <row r="377" spans="1:39" x14ac:dyDescent="0.3">
      <c r="A377">
        <v>105</v>
      </c>
      <c r="B377" t="s">
        <v>190</v>
      </c>
      <c r="C377" t="s">
        <v>48</v>
      </c>
      <c r="D377" s="1">
        <v>42254</v>
      </c>
      <c r="E377">
        <v>26</v>
      </c>
      <c r="F377" t="s">
        <v>191</v>
      </c>
      <c r="G377" s="4">
        <v>18.928000000000001</v>
      </c>
      <c r="H377" s="4">
        <v>89.516000000000005</v>
      </c>
      <c r="I377" s="4">
        <v>3294.498</v>
      </c>
      <c r="J377" s="4">
        <v>1069.499</v>
      </c>
      <c r="K377" s="4">
        <v>2771.6080000000002</v>
      </c>
      <c r="L377" s="4">
        <v>903.80700000000002</v>
      </c>
      <c r="M377" s="4">
        <v>1186.367</v>
      </c>
      <c r="N377" s="4">
        <v>1585.241</v>
      </c>
      <c r="O377" s="4">
        <v>55.930999999999997</v>
      </c>
      <c r="P377" s="4">
        <v>453.56400000000002</v>
      </c>
      <c r="Q377" s="4">
        <v>867.96</v>
      </c>
      <c r="R377" s="4">
        <v>25.920999999999999</v>
      </c>
      <c r="S377" s="4">
        <v>1173.3699999999999</v>
      </c>
      <c r="T377" s="4">
        <v>2054.3270000000002</v>
      </c>
      <c r="U377" s="4">
        <v>3225.172</v>
      </c>
      <c r="V377" s="4">
        <v>2359.5340000000001</v>
      </c>
      <c r="W377" s="4">
        <v>1973.415</v>
      </c>
      <c r="X377" s="4">
        <v>1258.374</v>
      </c>
      <c r="Y377">
        <v>0.33160991103730297</v>
      </c>
      <c r="Z377">
        <v>2204.1237500000002</v>
      </c>
      <c r="AA377" t="s">
        <v>40</v>
      </c>
      <c r="AB377">
        <v>3</v>
      </c>
      <c r="AC377" t="s">
        <v>33</v>
      </c>
      <c r="AD377" s="5">
        <f t="shared" si="50"/>
        <v>6.7785126020957955E-3</v>
      </c>
      <c r="AE377" s="5">
        <f t="shared" si="51"/>
        <v>2.7171362678016502E-2</v>
      </c>
      <c r="AF377" s="5">
        <f t="shared" si="52"/>
        <v>1.606160677411789E-2</v>
      </c>
      <c r="AG377" s="5">
        <f t="shared" si="53"/>
        <v>0.49152138242549542</v>
      </c>
      <c r="AH377" s="5">
        <f t="shared" si="54"/>
        <v>1.5699409100888027</v>
      </c>
      <c r="AI377" s="5">
        <f t="shared" si="55"/>
        <v>2.3579891702163311</v>
      </c>
      <c r="AJ377" s="5">
        <f t="shared" si="56"/>
        <v>2.3362146789315621</v>
      </c>
      <c r="AK377" s="5">
        <f t="shared" si="57"/>
        <v>0.33160991103730281</v>
      </c>
      <c r="AL377" s="5">
        <f t="shared" si="58"/>
        <v>1.3491561956786819</v>
      </c>
      <c r="AM377" s="10">
        <f t="shared" si="59"/>
        <v>2.0782316379654575</v>
      </c>
    </row>
    <row r="378" spans="1:39" x14ac:dyDescent="0.3">
      <c r="A378">
        <v>106</v>
      </c>
      <c r="B378" t="s">
        <v>192</v>
      </c>
      <c r="C378" t="s">
        <v>38</v>
      </c>
      <c r="D378" s="1">
        <v>39659</v>
      </c>
      <c r="E378">
        <v>0</v>
      </c>
      <c r="F378" t="s">
        <v>193</v>
      </c>
      <c r="G378" s="4">
        <v>-162.12100000000001</v>
      </c>
      <c r="H378" s="4">
        <v>-107.021</v>
      </c>
      <c r="I378" s="4">
        <v>89.34</v>
      </c>
      <c r="J378" s="4">
        <v>-118.374</v>
      </c>
      <c r="K378" s="4">
        <v>3219.931</v>
      </c>
      <c r="L378" s="4">
        <v>3071</v>
      </c>
      <c r="M378" s="4">
        <v>3338.134</v>
      </c>
      <c r="N378" s="4">
        <v>-118.203</v>
      </c>
      <c r="O378" s="4">
        <v>-162.12100000000001</v>
      </c>
      <c r="P378" s="4">
        <v>0</v>
      </c>
      <c r="Q378" s="4">
        <v>0</v>
      </c>
      <c r="R378" s="4">
        <v>55.1</v>
      </c>
      <c r="S378" s="4">
        <v>3212.8339999999998</v>
      </c>
      <c r="T378" s="4">
        <v>3338.134</v>
      </c>
      <c r="U378" s="4">
        <v>3220.4229999999998</v>
      </c>
      <c r="V378" s="4">
        <v>3357.8359999999998</v>
      </c>
      <c r="W378" s="4">
        <v>3190.35</v>
      </c>
      <c r="X378" s="4">
        <v>3286.1979999999999</v>
      </c>
      <c r="Y378">
        <v>-3.6757283127092297E-2</v>
      </c>
      <c r="Z378">
        <v>3263.7017500000002</v>
      </c>
      <c r="AA378" t="s">
        <v>40</v>
      </c>
      <c r="AB378">
        <v>3</v>
      </c>
      <c r="AC378" t="s">
        <v>33</v>
      </c>
      <c r="AD378" s="5">
        <f t="shared" si="50"/>
        <v>-4.928994130513864E-2</v>
      </c>
      <c r="AE378" s="5">
        <f t="shared" si="51"/>
        <v>-1.1979068726214461</v>
      </c>
      <c r="AF378" s="5">
        <f t="shared" si="52"/>
        <v>1.6821941429113987E-2</v>
      </c>
      <c r="AG378" s="5">
        <f t="shared" si="53"/>
        <v>-3.6704184512407222E-2</v>
      </c>
      <c r="AH378" s="5">
        <f t="shared" si="54"/>
        <v>0.96473748507399637</v>
      </c>
      <c r="AI378" s="5" t="e">
        <f t="shared" si="55"/>
        <v>#DIV/0!</v>
      </c>
      <c r="AJ378" s="5">
        <f t="shared" si="56"/>
        <v>0.96459009734180834</v>
      </c>
      <c r="AK378" s="5">
        <f t="shared" si="57"/>
        <v>-3.6757283127092311E-2</v>
      </c>
      <c r="AL378" s="5">
        <f t="shared" si="58"/>
        <v>0.96459009734180834</v>
      </c>
      <c r="AM378" s="10">
        <f t="shared" si="59"/>
        <v>-0.75581838024415626</v>
      </c>
    </row>
    <row r="379" spans="1:39" x14ac:dyDescent="0.3">
      <c r="A379">
        <v>119</v>
      </c>
      <c r="B379" t="s">
        <v>206</v>
      </c>
      <c r="C379" t="s">
        <v>93</v>
      </c>
      <c r="D379" s="1">
        <v>41274</v>
      </c>
      <c r="E379">
        <v>35</v>
      </c>
      <c r="F379" t="s">
        <v>207</v>
      </c>
      <c r="G379" s="4">
        <v>-551.30600000000004</v>
      </c>
      <c r="H379" s="4">
        <v>-451.60199999999998</v>
      </c>
      <c r="I379" s="4">
        <v>1417.4480000000001</v>
      </c>
      <c r="J379" s="4">
        <v>-260.09500000000003</v>
      </c>
      <c r="K379" s="4">
        <v>1127.5930000000001</v>
      </c>
      <c r="L379" s="4">
        <v>59.997</v>
      </c>
      <c r="M379" s="4">
        <v>2276.7350000000001</v>
      </c>
      <c r="N379" s="4">
        <v>-1149.1420000000001</v>
      </c>
      <c r="O379" s="4">
        <v>-475.20299999999997</v>
      </c>
      <c r="P379" s="4">
        <v>1603.4659999999999</v>
      </c>
      <c r="Q379" s="4">
        <v>514.68700000000001</v>
      </c>
      <c r="R379" s="4">
        <v>23.600999999999999</v>
      </c>
      <c r="S379" s="4">
        <v>2686.6289999999999</v>
      </c>
      <c r="T379" s="4">
        <v>2791.422</v>
      </c>
      <c r="U379" s="4">
        <v>2731.0590000000002</v>
      </c>
      <c r="V379" s="4">
        <v>3082.1039999999998</v>
      </c>
      <c r="W379" s="4">
        <v>2537.0920000000001</v>
      </c>
      <c r="X379" s="4">
        <v>2468.3380000000002</v>
      </c>
      <c r="Y379">
        <v>-9.5235950596453595E-2</v>
      </c>
      <c r="Z379">
        <v>2704.6482500000002</v>
      </c>
      <c r="AA379" t="s">
        <v>40</v>
      </c>
      <c r="AB379">
        <v>3</v>
      </c>
      <c r="AC379" t="s">
        <v>33</v>
      </c>
      <c r="AD379" s="5">
        <f t="shared" si="50"/>
        <v>-0.18967505297890322</v>
      </c>
      <c r="AE379" s="5">
        <f t="shared" si="51"/>
        <v>-0.31860216388890455</v>
      </c>
      <c r="AF379" s="5">
        <f t="shared" si="52"/>
        <v>8.616568191862399E-3</v>
      </c>
      <c r="AG379" s="5">
        <f t="shared" si="53"/>
        <v>-0.42076791457086793</v>
      </c>
      <c r="AH379" s="5">
        <f t="shared" si="54"/>
        <v>0.97837553762920837</v>
      </c>
      <c r="AI379" s="5">
        <f t="shared" si="55"/>
        <v>-0.16220799193746549</v>
      </c>
      <c r="AJ379" s="5">
        <f t="shared" si="56"/>
        <v>0.49526756517556941</v>
      </c>
      <c r="AK379" s="5">
        <f t="shared" si="57"/>
        <v>-9.5235950596453608E-2</v>
      </c>
      <c r="AL379" s="5">
        <f t="shared" si="58"/>
        <v>0.40394931328906919</v>
      </c>
      <c r="AM379" s="10">
        <f t="shared" si="59"/>
        <v>-1.2334837644085761</v>
      </c>
    </row>
    <row r="380" spans="1:39" x14ac:dyDescent="0.3">
      <c r="A380">
        <v>123</v>
      </c>
      <c r="B380" t="s">
        <v>210</v>
      </c>
      <c r="C380" t="s">
        <v>70</v>
      </c>
      <c r="D380" s="1">
        <v>33308</v>
      </c>
      <c r="E380">
        <v>0</v>
      </c>
      <c r="F380" t="s">
        <v>211</v>
      </c>
      <c r="G380" s="4">
        <v>-12.105</v>
      </c>
      <c r="H380" s="4">
        <v>-10.363</v>
      </c>
      <c r="I380" s="4">
        <v>49</v>
      </c>
      <c r="J380" s="4">
        <v>74.427000000000007</v>
      </c>
      <c r="K380" s="4">
        <v>2629.4520000000002</v>
      </c>
      <c r="L380" s="4">
        <v>2345.36</v>
      </c>
      <c r="M380" s="4">
        <v>733.24900000000002</v>
      </c>
      <c r="N380" s="4">
        <v>1896.203</v>
      </c>
      <c r="O380" s="4">
        <v>-11.795</v>
      </c>
      <c r="P380" s="4">
        <v>7.3810000000000002</v>
      </c>
      <c r="Q380" s="4">
        <v>1802.89</v>
      </c>
      <c r="R380" s="4">
        <v>0</v>
      </c>
      <c r="S380" s="4">
        <v>2497.8519999999999</v>
      </c>
      <c r="T380" s="4">
        <v>2536.1390000000001</v>
      </c>
      <c r="U380" s="4">
        <v>2636.8330000000001</v>
      </c>
      <c r="V380" s="4">
        <v>2607.5309999999999</v>
      </c>
      <c r="W380" s="4">
        <v>2525.7269999999999</v>
      </c>
      <c r="X380" s="4">
        <v>2521.6489999999999</v>
      </c>
      <c r="Y380">
        <v>2.82259058499344E-2</v>
      </c>
      <c r="Z380">
        <v>2572.9349999999999</v>
      </c>
      <c r="AA380" t="s">
        <v>40</v>
      </c>
      <c r="AB380">
        <v>3</v>
      </c>
      <c r="AC380" t="s">
        <v>33</v>
      </c>
      <c r="AD380" s="5">
        <f t="shared" si="50"/>
        <v>-4.6163843699636416E-3</v>
      </c>
      <c r="AE380" s="5">
        <f t="shared" si="51"/>
        <v>-0.21148979591836733</v>
      </c>
      <c r="AF380" s="5">
        <f t="shared" si="52"/>
        <v>0</v>
      </c>
      <c r="AG380" s="5">
        <f t="shared" si="53"/>
        <v>0.719121385389215</v>
      </c>
      <c r="AH380" s="5">
        <f t="shared" si="54"/>
        <v>1.0397036597757456</v>
      </c>
      <c r="AI380" s="5">
        <f t="shared" si="55"/>
        <v>10.083593009077362</v>
      </c>
      <c r="AJ380" s="5">
        <f t="shared" si="56"/>
        <v>3.5860287569434122</v>
      </c>
      <c r="AK380" s="5">
        <f t="shared" si="57"/>
        <v>2.8225905849934375E-2</v>
      </c>
      <c r="AL380" s="5">
        <f t="shared" si="58"/>
        <v>1.0367933303340235</v>
      </c>
      <c r="AM380" s="10">
        <f t="shared" si="59"/>
        <v>2.5841115112675173E-2</v>
      </c>
    </row>
    <row r="381" spans="1:39" x14ac:dyDescent="0.3">
      <c r="A381">
        <v>129</v>
      </c>
      <c r="B381" t="s">
        <v>216</v>
      </c>
      <c r="C381" t="s">
        <v>126</v>
      </c>
      <c r="D381" s="1">
        <v>42788</v>
      </c>
      <c r="E381">
        <v>50</v>
      </c>
      <c r="F381" t="s">
        <v>217</v>
      </c>
      <c r="G381" s="4">
        <v>-133.571</v>
      </c>
      <c r="H381" s="4">
        <v>-62.167000000000002</v>
      </c>
      <c r="I381" s="4">
        <v>287.90899999999999</v>
      </c>
      <c r="J381" s="4">
        <v>-132.34800000000001</v>
      </c>
      <c r="K381" s="4">
        <v>1369.241</v>
      </c>
      <c r="L381" s="4">
        <v>0</v>
      </c>
      <c r="M381" s="4">
        <v>2447.23</v>
      </c>
      <c r="N381" s="4">
        <v>-1077.989</v>
      </c>
      <c r="O381" s="4">
        <v>-93.198999999999998</v>
      </c>
      <c r="P381" s="4">
        <v>1131.5260000000001</v>
      </c>
      <c r="Q381" s="4">
        <v>0</v>
      </c>
      <c r="R381" s="4">
        <v>31.033999999999999</v>
      </c>
      <c r="S381" s="4">
        <v>2657.9070000000002</v>
      </c>
      <c r="T381" s="4">
        <v>2447.23</v>
      </c>
      <c r="U381" s="4">
        <v>2505.2249999999999</v>
      </c>
      <c r="V381" s="4">
        <v>2954.7089999999998</v>
      </c>
      <c r="W381" s="4">
        <v>2185.8409999999999</v>
      </c>
      <c r="X381" s="4">
        <v>2168.6610000000001</v>
      </c>
      <c r="Y381">
        <v>-5.2828787833428099E-2</v>
      </c>
      <c r="Z381">
        <v>2453.6089999999999</v>
      </c>
      <c r="AA381" t="s">
        <v>40</v>
      </c>
      <c r="AB381">
        <v>3</v>
      </c>
      <c r="AC381" t="s">
        <v>33</v>
      </c>
      <c r="AD381" s="5">
        <f t="shared" si="50"/>
        <v>-4.8927697660814222E-2</v>
      </c>
      <c r="AE381" s="5">
        <f t="shared" si="51"/>
        <v>-0.21592586546443496</v>
      </c>
      <c r="AF381" s="5">
        <f t="shared" si="52"/>
        <v>1.2157949923772856E-2</v>
      </c>
      <c r="AG381" s="5">
        <f t="shared" si="53"/>
        <v>-0.43029628077318405</v>
      </c>
      <c r="AH381" s="5">
        <f t="shared" si="54"/>
        <v>1.0236982220714848</v>
      </c>
      <c r="AI381" s="5">
        <f t="shared" si="55"/>
        <v>-0.11696417050955966</v>
      </c>
      <c r="AJ381" s="5">
        <f t="shared" si="56"/>
        <v>0.55950646240851898</v>
      </c>
      <c r="AK381" s="5">
        <f t="shared" si="57"/>
        <v>-5.2828787833428141E-2</v>
      </c>
      <c r="AL381" s="5">
        <f t="shared" si="58"/>
        <v>0.55950646240851898</v>
      </c>
      <c r="AM381" s="10">
        <f t="shared" si="59"/>
        <v>-0.26707971973739991</v>
      </c>
    </row>
    <row r="382" spans="1:39" x14ac:dyDescent="0.3">
      <c r="A382">
        <v>138</v>
      </c>
      <c r="B382" t="s">
        <v>224</v>
      </c>
      <c r="C382" t="s">
        <v>70</v>
      </c>
      <c r="D382" s="1">
        <v>38463</v>
      </c>
      <c r="E382">
        <v>0</v>
      </c>
      <c r="F382" t="s">
        <v>225</v>
      </c>
      <c r="G382" s="4">
        <v>-3039.78</v>
      </c>
      <c r="H382" s="4">
        <v>-1872.229</v>
      </c>
      <c r="I382" s="4">
        <v>16.510999999999999</v>
      </c>
      <c r="J382" s="4">
        <v>-3244.5349999999999</v>
      </c>
      <c r="K382" s="4">
        <v>1901.7750000000001</v>
      </c>
      <c r="L382" s="4">
        <v>86.25</v>
      </c>
      <c r="M382" s="4">
        <v>611.68499999999995</v>
      </c>
      <c r="N382" s="4">
        <v>1290.0899999999999</v>
      </c>
      <c r="O382" s="4">
        <v>-3012.05</v>
      </c>
      <c r="P382" s="4">
        <v>493.762</v>
      </c>
      <c r="Q382" s="4">
        <v>5003.7879999999996</v>
      </c>
      <c r="R382" s="4">
        <v>3.5999999999999997E-2</v>
      </c>
      <c r="S382" s="4">
        <v>2993.8820000000001</v>
      </c>
      <c r="T382" s="4">
        <v>5615.473</v>
      </c>
      <c r="U382" s="4">
        <v>2395.9380000000001</v>
      </c>
      <c r="V382" s="4">
        <v>2940.1590000000001</v>
      </c>
      <c r="W382" s="4">
        <v>3820.076</v>
      </c>
      <c r="X382" s="4">
        <v>3873.26</v>
      </c>
      <c r="Y382">
        <v>-1.3541815355823099</v>
      </c>
      <c r="Z382">
        <v>3257.3582500000002</v>
      </c>
      <c r="AA382" t="s">
        <v>40</v>
      </c>
      <c r="AB382">
        <v>3</v>
      </c>
      <c r="AC382" t="s">
        <v>33</v>
      </c>
      <c r="AD382" s="5">
        <f t="shared" si="50"/>
        <v>-1.1393271149306321</v>
      </c>
      <c r="AE382" s="5">
        <f t="shared" si="51"/>
        <v>-113.39282902307554</v>
      </c>
      <c r="AF382" s="5">
        <f t="shared" si="52"/>
        <v>8.3629958341826992E-6</v>
      </c>
      <c r="AG382" s="5">
        <f t="shared" si="53"/>
        <v>0.53844882463569588</v>
      </c>
      <c r="AH382" s="5">
        <f t="shared" si="54"/>
        <v>0.42666717478652288</v>
      </c>
      <c r="AI382" s="5">
        <f t="shared" si="55"/>
        <v>-6.5710504251035919</v>
      </c>
      <c r="AJ382" s="5">
        <f t="shared" si="56"/>
        <v>3.1090757497731678</v>
      </c>
      <c r="AK382" s="5">
        <f t="shared" si="57"/>
        <v>-1.3541815355823064</v>
      </c>
      <c r="AL382" s="5">
        <f t="shared" si="58"/>
        <v>0.33866692974928381</v>
      </c>
      <c r="AM382" s="10">
        <f t="shared" si="59"/>
        <v>1.2798331899324854E-2</v>
      </c>
    </row>
    <row r="383" spans="1:39" x14ac:dyDescent="0.3">
      <c r="A383">
        <v>239</v>
      </c>
      <c r="B383" t="s">
        <v>327</v>
      </c>
      <c r="C383" t="s">
        <v>38</v>
      </c>
      <c r="D383" s="1">
        <v>37762</v>
      </c>
      <c r="E383">
        <v>0</v>
      </c>
      <c r="F383" t="s">
        <v>328</v>
      </c>
      <c r="G383" s="4">
        <v>-9.8859999999999992</v>
      </c>
      <c r="H383" s="4">
        <v>-9.516</v>
      </c>
      <c r="I383" s="4">
        <v>847.43299999999999</v>
      </c>
      <c r="J383" s="4">
        <v>223.42699999999999</v>
      </c>
      <c r="K383" s="4">
        <v>852.35400000000004</v>
      </c>
      <c r="L383" s="4">
        <v>540.22500000000002</v>
      </c>
      <c r="M383" s="4">
        <v>595.447</v>
      </c>
      <c r="N383" s="4">
        <v>256.90699999999998</v>
      </c>
      <c r="O383" s="4">
        <v>-9.8859999999999992</v>
      </c>
      <c r="P383" s="4">
        <v>9.0890000000000004</v>
      </c>
      <c r="Q383" s="4">
        <v>41.933</v>
      </c>
      <c r="R383" s="4">
        <v>0.37</v>
      </c>
      <c r="S383" s="4">
        <v>1495.502</v>
      </c>
      <c r="T383" s="4">
        <v>637.38</v>
      </c>
      <c r="U383" s="4">
        <v>861.44299999999998</v>
      </c>
      <c r="V383" s="4">
        <v>1729.45</v>
      </c>
      <c r="W383" s="4">
        <v>2394.576</v>
      </c>
      <c r="X383" s="4">
        <v>3446.4070000000002</v>
      </c>
      <c r="Y383">
        <v>0.25936364913290799</v>
      </c>
      <c r="Z383">
        <v>2107.9690000000001</v>
      </c>
      <c r="AA383" t="s">
        <v>40</v>
      </c>
      <c r="AB383">
        <v>3</v>
      </c>
      <c r="AC383" t="s">
        <v>33</v>
      </c>
      <c r="AD383" s="5">
        <f t="shared" si="50"/>
        <v>-7.6313456402869583E-3</v>
      </c>
      <c r="AE383" s="5">
        <f t="shared" si="51"/>
        <v>-1.1229206320735681E-2</v>
      </c>
      <c r="AF383" s="5">
        <f t="shared" si="52"/>
        <v>3.4694840127114389E-4</v>
      </c>
      <c r="AG383" s="5">
        <f t="shared" si="53"/>
        <v>0.29822866980171642</v>
      </c>
      <c r="AH383" s="5">
        <f t="shared" si="54"/>
        <v>1.3515375443220685</v>
      </c>
      <c r="AI383" s="5">
        <f t="shared" si="55"/>
        <v>24.58213224777203</v>
      </c>
      <c r="AJ383" s="5">
        <f t="shared" si="56"/>
        <v>1.4314523374876353</v>
      </c>
      <c r="AK383" s="5">
        <f t="shared" si="57"/>
        <v>0.25936364913290838</v>
      </c>
      <c r="AL383" s="5">
        <f t="shared" si="58"/>
        <v>1.3372776051962723</v>
      </c>
      <c r="AM383" s="10">
        <f t="shared" si="59"/>
        <v>3.2985983254640785</v>
      </c>
    </row>
    <row r="384" spans="1:39" x14ac:dyDescent="0.3">
      <c r="A384">
        <v>245</v>
      </c>
      <c r="B384" t="s">
        <v>333</v>
      </c>
      <c r="C384" t="s">
        <v>38</v>
      </c>
      <c r="D384" s="1">
        <v>34732</v>
      </c>
      <c r="E384">
        <v>5</v>
      </c>
      <c r="F384" t="s">
        <v>334</v>
      </c>
      <c r="G384" s="4">
        <v>-461.98099999999999</v>
      </c>
      <c r="H384" s="4">
        <v>-391.23200000000003</v>
      </c>
      <c r="I384" s="4">
        <v>162.41300000000001</v>
      </c>
      <c r="J384" s="4">
        <v>-1003.394</v>
      </c>
      <c r="K384" s="4">
        <v>733.53200000000004</v>
      </c>
      <c r="L384" s="4">
        <v>0</v>
      </c>
      <c r="M384" s="4">
        <v>1822.1379999999999</v>
      </c>
      <c r="N384" s="4">
        <v>-1088.606</v>
      </c>
      <c r="O384" s="4">
        <v>-395.18900000000002</v>
      </c>
      <c r="P384" s="4">
        <v>8.7859999999999996</v>
      </c>
      <c r="Q384" s="4">
        <v>0</v>
      </c>
      <c r="R384" s="4">
        <v>3.9569999999999999</v>
      </c>
      <c r="S384" s="4">
        <v>2273.9299999999998</v>
      </c>
      <c r="T384" s="4">
        <v>1822.1379999999999</v>
      </c>
      <c r="U384" s="4">
        <v>818.74400000000003</v>
      </c>
      <c r="V384" s="4">
        <v>1965.1690000000001</v>
      </c>
      <c r="W384" s="4">
        <v>3712.9789999999998</v>
      </c>
      <c r="X384" s="4">
        <v>3532.875</v>
      </c>
      <c r="Y384">
        <v>-1.2255283702842401</v>
      </c>
      <c r="Z384">
        <v>2507.44175</v>
      </c>
      <c r="AA384" t="s">
        <v>40</v>
      </c>
      <c r="AB384">
        <v>3</v>
      </c>
      <c r="AC384" t="s">
        <v>33</v>
      </c>
      <c r="AD384" s="5">
        <f t="shared" si="50"/>
        <v>-0.33189327396366192</v>
      </c>
      <c r="AE384" s="5">
        <f t="shared" si="51"/>
        <v>-2.4088712110483765</v>
      </c>
      <c r="AF384" s="5">
        <f t="shared" si="52"/>
        <v>1.9320968304237139E-3</v>
      </c>
      <c r="AG384" s="5">
        <f t="shared" si="53"/>
        <v>-1.3296048581730064</v>
      </c>
      <c r="AH384" s="5">
        <f t="shared" si="54"/>
        <v>0.44933149959004204</v>
      </c>
      <c r="AI384" s="5">
        <f t="shared" si="55"/>
        <v>-114.20373321192807</v>
      </c>
      <c r="AJ384" s="5">
        <f t="shared" si="56"/>
        <v>0.40256665521491791</v>
      </c>
      <c r="AK384" s="5">
        <f t="shared" si="57"/>
        <v>-1.2255283702842401</v>
      </c>
      <c r="AL384" s="5">
        <f t="shared" si="58"/>
        <v>0.40256665521491791</v>
      </c>
      <c r="AM384" s="10">
        <f t="shared" si="59"/>
        <v>-0.14919355579520965</v>
      </c>
    </row>
    <row r="385" spans="1:39" x14ac:dyDescent="0.3">
      <c r="A385">
        <v>107</v>
      </c>
      <c r="B385" t="s">
        <v>194</v>
      </c>
      <c r="C385" t="s">
        <v>70</v>
      </c>
      <c r="D385" s="1">
        <v>42548</v>
      </c>
      <c r="E385">
        <v>33</v>
      </c>
      <c r="F385" t="s">
        <v>195</v>
      </c>
      <c r="G385" s="4">
        <v>51.825000000000003</v>
      </c>
      <c r="H385" s="4">
        <v>172.489</v>
      </c>
      <c r="I385" s="4">
        <v>3595.9940000000001</v>
      </c>
      <c r="J385" s="4">
        <v>101.825</v>
      </c>
      <c r="K385" s="4">
        <v>2832.9479999999999</v>
      </c>
      <c r="L385" s="4">
        <v>0</v>
      </c>
      <c r="M385" s="4">
        <v>2541.7750000000001</v>
      </c>
      <c r="N385" s="4">
        <v>291.173</v>
      </c>
      <c r="O385" s="4">
        <v>93.361000000000004</v>
      </c>
      <c r="P385" s="4">
        <v>376.89400000000001</v>
      </c>
      <c r="Q385" s="4">
        <v>452.01600000000002</v>
      </c>
      <c r="R385" s="4">
        <v>0.38</v>
      </c>
      <c r="S385" s="4">
        <v>351.60899999999998</v>
      </c>
      <c r="T385" s="4">
        <v>2993.7910000000002</v>
      </c>
      <c r="U385" s="4">
        <v>3212.326</v>
      </c>
      <c r="V385" s="4">
        <v>401.60899999999998</v>
      </c>
      <c r="W385" s="4">
        <v>137.262</v>
      </c>
      <c r="X385" s="4">
        <v>126.696</v>
      </c>
      <c r="Y385">
        <v>3.1698214938334399E-2</v>
      </c>
      <c r="Z385">
        <v>969.47325000000001</v>
      </c>
      <c r="AA385" t="s">
        <v>40</v>
      </c>
      <c r="AB385">
        <v>2</v>
      </c>
      <c r="AC385" t="s">
        <v>33</v>
      </c>
      <c r="AD385" s="5">
        <f t="shared" si="50"/>
        <v>2.8680648655828068E-2</v>
      </c>
      <c r="AE385" s="5">
        <f t="shared" si="51"/>
        <v>4.7966987709100739E-2</v>
      </c>
      <c r="AF385" s="5">
        <f t="shared" si="52"/>
        <v>2.2717761702636456E-4</v>
      </c>
      <c r="AG385" s="5">
        <f t="shared" si="53"/>
        <v>9.0642419231422966E-2</v>
      </c>
      <c r="AH385" s="5">
        <f t="shared" si="54"/>
        <v>1.0729960775484995</v>
      </c>
      <c r="AI385" s="5">
        <f t="shared" si="55"/>
        <v>0.27016880077687627</v>
      </c>
      <c r="AJ385" s="5">
        <f t="shared" si="56"/>
        <v>1.1145549861809168</v>
      </c>
      <c r="AK385" s="5">
        <f t="shared" si="57"/>
        <v>3.1698214938334406E-2</v>
      </c>
      <c r="AL385" s="5">
        <f t="shared" si="58"/>
        <v>0.94627447273373444</v>
      </c>
      <c r="AM385" s="10">
        <f t="shared" si="59"/>
        <v>12.350025586163552</v>
      </c>
    </row>
    <row r="386" spans="1:39" x14ac:dyDescent="0.3">
      <c r="A386">
        <v>168</v>
      </c>
      <c r="B386" t="s">
        <v>244</v>
      </c>
      <c r="C386" t="s">
        <v>245</v>
      </c>
      <c r="D386" s="1">
        <v>36418</v>
      </c>
      <c r="E386">
        <v>0</v>
      </c>
      <c r="F386" t="s">
        <v>246</v>
      </c>
      <c r="G386" s="4">
        <v>30.457999999999998</v>
      </c>
      <c r="H386" s="4">
        <v>30.478999999999999</v>
      </c>
      <c r="I386" s="4">
        <v>207.691</v>
      </c>
      <c r="J386" s="4">
        <v>65.543000000000006</v>
      </c>
      <c r="K386" s="4">
        <v>706.04</v>
      </c>
      <c r="L386" s="4">
        <v>150</v>
      </c>
      <c r="M386" s="4">
        <v>354.19900000000001</v>
      </c>
      <c r="N386" s="4">
        <v>351.84100000000001</v>
      </c>
      <c r="O386" s="4">
        <v>30.457999999999998</v>
      </c>
      <c r="P386" s="4">
        <v>1038.4079999999999</v>
      </c>
      <c r="Q386" s="4">
        <v>1313.539</v>
      </c>
      <c r="R386" s="4">
        <v>2.1000000000000001E-2</v>
      </c>
      <c r="S386" s="4">
        <v>1702.7170000000001</v>
      </c>
      <c r="T386" s="4">
        <v>1667.7380000000001</v>
      </c>
      <c r="U386" s="4">
        <v>1744.4480000000001</v>
      </c>
      <c r="V386" s="4">
        <v>1749.299</v>
      </c>
      <c r="W386" s="4">
        <v>1722.7249999999999</v>
      </c>
      <c r="X386" s="4">
        <v>1578.961</v>
      </c>
      <c r="Y386">
        <v>3.7572343801592301E-2</v>
      </c>
      <c r="Z386">
        <v>1698.85825</v>
      </c>
      <c r="AA386" t="s">
        <v>40</v>
      </c>
      <c r="AB386">
        <v>2</v>
      </c>
      <c r="AC386" t="s">
        <v>33</v>
      </c>
      <c r="AD386" s="5">
        <f t="shared" si="50"/>
        <v>1.7435721590601722E-2</v>
      </c>
      <c r="AE386" s="5">
        <f t="shared" si="51"/>
        <v>0.14675166473270387</v>
      </c>
      <c r="AF386" s="5">
        <f t="shared" si="52"/>
        <v>1.2461225561533977E-5</v>
      </c>
      <c r="AG386" s="5">
        <f t="shared" si="53"/>
        <v>0.20169188190189674</v>
      </c>
      <c r="AH386" s="5">
        <f t="shared" si="54"/>
        <v>1.0459964334925511</v>
      </c>
      <c r="AI386" s="5">
        <f t="shared" si="55"/>
        <v>6.3118735602961468E-2</v>
      </c>
      <c r="AJ386" s="5">
        <f t="shared" si="56"/>
        <v>1.9933427254170677</v>
      </c>
      <c r="AK386" s="5">
        <f t="shared" si="57"/>
        <v>3.7572343801592252E-2</v>
      </c>
      <c r="AL386" s="5">
        <f t="shared" si="58"/>
        <v>0.42335186941833786</v>
      </c>
      <c r="AM386" s="10">
        <f t="shared" si="59"/>
        <v>0.59029789024019375</v>
      </c>
    </row>
    <row r="387" spans="1:39" x14ac:dyDescent="0.3">
      <c r="A387">
        <v>175</v>
      </c>
      <c r="B387" t="s">
        <v>253</v>
      </c>
      <c r="C387" t="s">
        <v>93</v>
      </c>
      <c r="D387" s="1">
        <v>42626</v>
      </c>
      <c r="E387">
        <v>1</v>
      </c>
      <c r="F387" t="s">
        <v>254</v>
      </c>
      <c r="G387" s="4">
        <v>-46.947000000000003</v>
      </c>
      <c r="H387" s="4">
        <v>-25.396999999999998</v>
      </c>
      <c r="I387" s="4">
        <v>120.565</v>
      </c>
      <c r="J387" s="4">
        <v>-19.759</v>
      </c>
      <c r="K387" s="4">
        <v>1602.3910000000001</v>
      </c>
      <c r="L387" s="4">
        <v>1279.981</v>
      </c>
      <c r="M387" s="4">
        <v>1668.377</v>
      </c>
      <c r="N387" s="4">
        <v>-65.986000000000004</v>
      </c>
      <c r="O387" s="4">
        <v>-29.704999999999998</v>
      </c>
      <c r="P387" s="4">
        <v>47.087000000000003</v>
      </c>
      <c r="Q387" s="4">
        <v>0</v>
      </c>
      <c r="R387" s="4">
        <v>4.3129999999999997</v>
      </c>
      <c r="S387" s="4">
        <v>1371.7439999999999</v>
      </c>
      <c r="T387" s="4">
        <v>1668.377</v>
      </c>
      <c r="U387" s="4">
        <v>1649.4780000000001</v>
      </c>
      <c r="V387" s="4">
        <v>1402.7650000000001</v>
      </c>
      <c r="W387" s="4">
        <v>1040.2650000000001</v>
      </c>
      <c r="X387" s="4">
        <v>243.447</v>
      </c>
      <c r="Y387">
        <v>-1.1978941216554601E-2</v>
      </c>
      <c r="Z387">
        <v>1083.98875</v>
      </c>
      <c r="AA387" t="s">
        <v>40</v>
      </c>
      <c r="AB387">
        <v>2</v>
      </c>
      <c r="AC387" t="s">
        <v>33</v>
      </c>
      <c r="AD387" s="5">
        <f t="shared" ref="AD387:AD415" si="60">G387/((U387+V387)/2)</f>
        <v>-3.0762295138362178E-2</v>
      </c>
      <c r="AE387" s="5">
        <f t="shared" ref="AE387:AE415" si="61">H387/I387</f>
        <v>-0.21064985692365112</v>
      </c>
      <c r="AF387" s="5">
        <f t="shared" ref="AF387:AF415" si="62">R387/((S387+T387)/2)</f>
        <v>2.8373870645280234E-3</v>
      </c>
      <c r="AG387" s="5">
        <f t="shared" ref="AG387:AG415" si="63">N387/U387</f>
        <v>-4.0004171016527652E-2</v>
      </c>
      <c r="AH387" s="5">
        <f t="shared" ref="AH387:AH415" si="64">U387/T387</f>
        <v>0.9886722245631534</v>
      </c>
      <c r="AI387" s="5">
        <f t="shared" ref="AI387:AI415" si="65">J387/P387</f>
        <v>-0.41962749803555122</v>
      </c>
      <c r="AJ387" s="5">
        <f t="shared" ref="AJ387:AJ415" si="66">K387/M387</f>
        <v>0.96044898724928485</v>
      </c>
      <c r="AK387" s="5">
        <f t="shared" ref="AK387:AK415" si="67">J387/U387</f>
        <v>-1.1978941216554571E-2</v>
      </c>
      <c r="AL387" s="5">
        <f t="shared" ref="AL387:AL415" si="68">K387/T387</f>
        <v>0.96044898724928485</v>
      </c>
      <c r="AM387" s="10">
        <f t="shared" ref="AM387:AM415" si="69">I387/N387</f>
        <v>-1.8271299972721484</v>
      </c>
    </row>
    <row r="388" spans="1:39" x14ac:dyDescent="0.3">
      <c r="A388">
        <v>185</v>
      </c>
      <c r="B388" t="s">
        <v>263</v>
      </c>
      <c r="C388" t="s">
        <v>38</v>
      </c>
      <c r="D388" s="1">
        <v>39167</v>
      </c>
      <c r="E388">
        <v>10</v>
      </c>
      <c r="F388" t="s">
        <v>264</v>
      </c>
      <c r="G388" s="4">
        <v>-333.322</v>
      </c>
      <c r="H388" s="4">
        <v>-302.06400000000002</v>
      </c>
      <c r="I388" s="4">
        <v>193.82499999999999</v>
      </c>
      <c r="J388" s="4">
        <v>-307.87599999999998</v>
      </c>
      <c r="K388" s="4">
        <v>1279.059</v>
      </c>
      <c r="L388" s="4">
        <v>254.32400000000001</v>
      </c>
      <c r="M388" s="4">
        <v>1755.2670000000001</v>
      </c>
      <c r="N388" s="4">
        <v>-476.20800000000003</v>
      </c>
      <c r="O388" s="4">
        <v>-302.06599999999997</v>
      </c>
      <c r="P388" s="4">
        <v>226.76499999999999</v>
      </c>
      <c r="Q388" s="4">
        <v>0</v>
      </c>
      <c r="R388" s="4">
        <v>2E-3</v>
      </c>
      <c r="S388" s="4">
        <v>1678.0550000000001</v>
      </c>
      <c r="T388" s="4">
        <v>1755.2670000000001</v>
      </c>
      <c r="U388" s="4">
        <v>1507.2149999999999</v>
      </c>
      <c r="V388" s="4">
        <v>1792.489</v>
      </c>
      <c r="W388" s="4">
        <v>2094.279</v>
      </c>
      <c r="X388" s="4">
        <v>2179.4540000000002</v>
      </c>
      <c r="Y388">
        <v>-0.20426813692804299</v>
      </c>
      <c r="Z388">
        <v>1893.35925</v>
      </c>
      <c r="AA388" t="s">
        <v>40</v>
      </c>
      <c r="AB388">
        <v>2</v>
      </c>
      <c r="AC388" t="s">
        <v>33</v>
      </c>
      <c r="AD388" s="5">
        <f t="shared" si="60"/>
        <v>-0.20203145494262517</v>
      </c>
      <c r="AE388" s="5">
        <f t="shared" si="61"/>
        <v>-1.5584367341674192</v>
      </c>
      <c r="AF388" s="5">
        <f t="shared" si="62"/>
        <v>1.1650523894933245E-6</v>
      </c>
      <c r="AG388" s="5">
        <f t="shared" si="63"/>
        <v>-0.31595226958330436</v>
      </c>
      <c r="AH388" s="5">
        <f t="shared" si="64"/>
        <v>0.85868132882347803</v>
      </c>
      <c r="AI388" s="5">
        <f t="shared" si="65"/>
        <v>-1.3576874738165061</v>
      </c>
      <c r="AJ388" s="5">
        <f t="shared" si="66"/>
        <v>0.72869768530941448</v>
      </c>
      <c r="AK388" s="5">
        <f t="shared" si="67"/>
        <v>-0.20426813692804277</v>
      </c>
      <c r="AL388" s="5">
        <f t="shared" si="68"/>
        <v>0.72869768530941448</v>
      </c>
      <c r="AM388" s="10">
        <f t="shared" si="69"/>
        <v>-0.40701752175519934</v>
      </c>
    </row>
    <row r="389" spans="1:39" x14ac:dyDescent="0.3">
      <c r="A389">
        <v>187</v>
      </c>
      <c r="B389" t="s">
        <v>267</v>
      </c>
      <c r="C389" t="s">
        <v>70</v>
      </c>
      <c r="D389" s="1">
        <v>40247</v>
      </c>
      <c r="E389">
        <v>11</v>
      </c>
      <c r="F389" t="s">
        <v>268</v>
      </c>
      <c r="G389" s="4">
        <v>-316.55799999999999</v>
      </c>
      <c r="H389" s="4">
        <v>-301.31900000000002</v>
      </c>
      <c r="I389" s="4">
        <v>613.38800000000003</v>
      </c>
      <c r="J389" s="4">
        <v>-103.245</v>
      </c>
      <c r="K389" s="4">
        <v>648.72400000000005</v>
      </c>
      <c r="L389" s="4">
        <v>14.526999999999999</v>
      </c>
      <c r="M389" s="4">
        <v>978.35199999999998</v>
      </c>
      <c r="N389" s="4">
        <v>-329.62799999999999</v>
      </c>
      <c r="O389" s="4">
        <v>-316.55799999999999</v>
      </c>
      <c r="P389" s="4">
        <v>765.69299999999998</v>
      </c>
      <c r="Q389" s="4">
        <v>513.73099999999999</v>
      </c>
      <c r="R389" s="4">
        <v>15.239000000000001</v>
      </c>
      <c r="S389" s="4">
        <v>1738.31</v>
      </c>
      <c r="T389" s="4">
        <v>1492.0830000000001</v>
      </c>
      <c r="U389" s="4">
        <v>1442.4190000000001</v>
      </c>
      <c r="V389" s="4">
        <v>1969.201</v>
      </c>
      <c r="W389" s="4">
        <v>2048.578</v>
      </c>
      <c r="X389" s="4">
        <v>1976.33</v>
      </c>
      <c r="Y389">
        <v>-7.1577676112142205E-2</v>
      </c>
      <c r="Z389">
        <v>1859.1320000000001</v>
      </c>
      <c r="AA389" t="s">
        <v>40</v>
      </c>
      <c r="AB389">
        <v>2</v>
      </c>
      <c r="AC389" t="s">
        <v>33</v>
      </c>
      <c r="AD389" s="5">
        <f t="shared" si="60"/>
        <v>-0.18557635375569378</v>
      </c>
      <c r="AE389" s="5">
        <f t="shared" si="61"/>
        <v>-0.49123719407618016</v>
      </c>
      <c r="AF389" s="5">
        <f t="shared" si="62"/>
        <v>9.4347653675574458E-3</v>
      </c>
      <c r="AG389" s="5">
        <f t="shared" si="63"/>
        <v>-0.22852444400690783</v>
      </c>
      <c r="AH389" s="5">
        <f t="shared" si="64"/>
        <v>0.96671498837531156</v>
      </c>
      <c r="AI389" s="5">
        <f t="shared" si="65"/>
        <v>-0.13483863637254095</v>
      </c>
      <c r="AJ389" s="5">
        <f t="shared" si="66"/>
        <v>0.66307831945966289</v>
      </c>
      <c r="AK389" s="5">
        <f t="shared" si="67"/>
        <v>-7.1577676112142177E-2</v>
      </c>
      <c r="AL389" s="5">
        <f t="shared" si="68"/>
        <v>0.43477742189945195</v>
      </c>
      <c r="AM389" s="10">
        <f t="shared" si="69"/>
        <v>-1.8608491997039089</v>
      </c>
    </row>
    <row r="390" spans="1:39" x14ac:dyDescent="0.3">
      <c r="A390">
        <v>204</v>
      </c>
      <c r="B390" t="s">
        <v>281</v>
      </c>
      <c r="C390" t="s">
        <v>93</v>
      </c>
      <c r="D390" s="1">
        <v>40095</v>
      </c>
      <c r="E390">
        <v>15</v>
      </c>
      <c r="F390" t="s">
        <v>282</v>
      </c>
      <c r="G390" s="4">
        <v>-1429.1690000000001</v>
      </c>
      <c r="H390" s="4">
        <v>-1376.203</v>
      </c>
      <c r="I390" s="4">
        <v>778.01700000000005</v>
      </c>
      <c r="J390" s="4">
        <v>-1368.6980000000001</v>
      </c>
      <c r="K390" s="4">
        <v>1190.0530000000001</v>
      </c>
      <c r="L390" s="4">
        <v>69.153999999999996</v>
      </c>
      <c r="M390" s="4">
        <v>2167.0419999999999</v>
      </c>
      <c r="N390" s="4">
        <v>-976.98900000000003</v>
      </c>
      <c r="O390" s="4">
        <v>-1409.7950000000001</v>
      </c>
      <c r="P390" s="4">
        <v>43.484999999999999</v>
      </c>
      <c r="Q390" s="4">
        <v>284.83</v>
      </c>
      <c r="R390" s="4">
        <v>33.591999999999999</v>
      </c>
      <c r="S390" s="4">
        <v>2327.9270000000001</v>
      </c>
      <c r="T390" s="4">
        <v>2451.8719999999998</v>
      </c>
      <c r="U390" s="4">
        <v>1235.722</v>
      </c>
      <c r="V390" s="4">
        <v>2522.1849999999999</v>
      </c>
      <c r="W390" s="4">
        <v>2247.3029999999999</v>
      </c>
      <c r="X390" s="4">
        <v>1807.1859999999999</v>
      </c>
      <c r="Y390">
        <v>-1.1076099640534001</v>
      </c>
      <c r="Z390">
        <v>1953.0989999999999</v>
      </c>
      <c r="AA390" t="s">
        <v>40</v>
      </c>
      <c r="AB390">
        <v>2</v>
      </c>
      <c r="AC390" t="s">
        <v>33</v>
      </c>
      <c r="AD390" s="5">
        <f t="shared" si="60"/>
        <v>-0.76061967472851244</v>
      </c>
      <c r="AE390" s="5">
        <f t="shared" si="61"/>
        <v>-1.7688598064052583</v>
      </c>
      <c r="AF390" s="5">
        <f t="shared" si="62"/>
        <v>1.4055821175744001E-2</v>
      </c>
      <c r="AG390" s="5">
        <f t="shared" si="63"/>
        <v>-0.79062200074126709</v>
      </c>
      <c r="AH390" s="5">
        <f t="shared" si="64"/>
        <v>0.50399123608410235</v>
      </c>
      <c r="AI390" s="5">
        <f t="shared" si="65"/>
        <v>-31.475175347821089</v>
      </c>
      <c r="AJ390" s="5">
        <f t="shared" si="66"/>
        <v>0.54916009934279086</v>
      </c>
      <c r="AK390" s="5">
        <f t="shared" si="67"/>
        <v>-1.1076099640534036</v>
      </c>
      <c r="AL390" s="5">
        <f t="shared" si="68"/>
        <v>0.48536505983999173</v>
      </c>
      <c r="AM390" s="10">
        <f t="shared" si="69"/>
        <v>-0.79634161694758077</v>
      </c>
    </row>
    <row r="391" spans="1:39" x14ac:dyDescent="0.3">
      <c r="A391">
        <v>205</v>
      </c>
      <c r="B391" t="s">
        <v>283</v>
      </c>
      <c r="C391" t="s">
        <v>38</v>
      </c>
      <c r="D391" s="1">
        <v>37593</v>
      </c>
      <c r="E391">
        <v>0</v>
      </c>
      <c r="F391" t="s">
        <v>284</v>
      </c>
      <c r="G391" s="4">
        <v>-80.745999999999995</v>
      </c>
      <c r="H391" s="4">
        <v>5.859</v>
      </c>
      <c r="I391" s="4">
        <v>12.5</v>
      </c>
      <c r="J391" s="4">
        <v>1092.3040000000001</v>
      </c>
      <c r="K391" s="4">
        <v>142.768</v>
      </c>
      <c r="L391" s="4">
        <v>0</v>
      </c>
      <c r="M391" s="4">
        <v>29.094000000000001</v>
      </c>
      <c r="N391" s="4">
        <v>113.67400000000001</v>
      </c>
      <c r="O391" s="4">
        <v>4.2539999999999996</v>
      </c>
      <c r="P391" s="4">
        <v>1089.932</v>
      </c>
      <c r="Q391" s="4">
        <v>111.333</v>
      </c>
      <c r="R391" s="4">
        <v>1.619</v>
      </c>
      <c r="S391" s="4">
        <v>136.274</v>
      </c>
      <c r="T391" s="4">
        <v>140.42699999999999</v>
      </c>
      <c r="U391" s="4">
        <v>1232.731</v>
      </c>
      <c r="V391" s="4">
        <v>1312.405</v>
      </c>
      <c r="W391" s="4">
        <v>1287.0609999999999</v>
      </c>
      <c r="X391" s="4">
        <v>1278.971</v>
      </c>
      <c r="Y391">
        <v>0.88608463646975699</v>
      </c>
      <c r="Z391">
        <v>1277.7919999999999</v>
      </c>
      <c r="AA391" t="s">
        <v>40</v>
      </c>
      <c r="AB391">
        <v>2</v>
      </c>
      <c r="AC391" t="s">
        <v>33</v>
      </c>
      <c r="AD391" s="5">
        <f t="shared" si="60"/>
        <v>-6.3451226182019344E-2</v>
      </c>
      <c r="AE391" s="5">
        <f t="shared" si="61"/>
        <v>0.46872000000000003</v>
      </c>
      <c r="AF391" s="5">
        <f t="shared" si="62"/>
        <v>1.1702162261791608E-2</v>
      </c>
      <c r="AG391" s="5">
        <f t="shared" si="63"/>
        <v>9.2213143013358145E-2</v>
      </c>
      <c r="AH391" s="5">
        <f t="shared" si="64"/>
        <v>8.7784471647190365</v>
      </c>
      <c r="AI391" s="5">
        <f t="shared" si="65"/>
        <v>1.002176282557077</v>
      </c>
      <c r="AJ391" s="5">
        <f t="shared" si="66"/>
        <v>4.9071286175843811</v>
      </c>
      <c r="AK391" s="5">
        <f t="shared" si="67"/>
        <v>0.8860846364697571</v>
      </c>
      <c r="AL391" s="5">
        <f t="shared" si="68"/>
        <v>1.0166705832923868</v>
      </c>
      <c r="AM391" s="10">
        <f t="shared" si="69"/>
        <v>0.10996358006228336</v>
      </c>
    </row>
    <row r="392" spans="1:39" x14ac:dyDescent="0.3">
      <c r="A392">
        <v>208</v>
      </c>
      <c r="B392" t="s">
        <v>287</v>
      </c>
      <c r="C392" t="s">
        <v>38</v>
      </c>
      <c r="D392" s="1">
        <v>36991</v>
      </c>
      <c r="E392">
        <v>8</v>
      </c>
      <c r="F392" t="s">
        <v>288</v>
      </c>
      <c r="G392" s="4">
        <v>-12.029</v>
      </c>
      <c r="H392" s="4">
        <v>29.041</v>
      </c>
      <c r="I392" s="4">
        <v>319.5</v>
      </c>
      <c r="J392" s="4">
        <v>267.49900000000002</v>
      </c>
      <c r="K392" s="4">
        <v>577.95399999999995</v>
      </c>
      <c r="L392" s="4">
        <v>5.2480000000000002</v>
      </c>
      <c r="M392" s="4">
        <v>660.63</v>
      </c>
      <c r="N392" s="4">
        <v>-82.676000000000002</v>
      </c>
      <c r="O392" s="4">
        <v>9.1080000000000005</v>
      </c>
      <c r="P392" s="4">
        <v>467.60599999999999</v>
      </c>
      <c r="Q392" s="4">
        <v>229.96600000000001</v>
      </c>
      <c r="R392" s="4">
        <v>16.768999999999998</v>
      </c>
      <c r="S392" s="4">
        <v>997.89700000000005</v>
      </c>
      <c r="T392" s="4">
        <v>890.596</v>
      </c>
      <c r="U392" s="4">
        <v>1158.095</v>
      </c>
      <c r="V392" s="4">
        <v>1319.3119999999999</v>
      </c>
      <c r="W392" s="4">
        <v>1613.83</v>
      </c>
      <c r="X392" s="4">
        <v>1957.5820000000001</v>
      </c>
      <c r="Y392">
        <v>0.23098191426437401</v>
      </c>
      <c r="Z392">
        <v>1512.2047500000001</v>
      </c>
      <c r="AA392" t="s">
        <v>40</v>
      </c>
      <c r="AB392">
        <v>2</v>
      </c>
      <c r="AC392" t="s">
        <v>33</v>
      </c>
      <c r="AD392" s="5">
        <f t="shared" si="60"/>
        <v>-9.7109598866879764E-3</v>
      </c>
      <c r="AE392" s="5">
        <f t="shared" si="61"/>
        <v>9.089514866979656E-2</v>
      </c>
      <c r="AF392" s="5">
        <f t="shared" si="62"/>
        <v>1.7759133870234096E-2</v>
      </c>
      <c r="AG392" s="5">
        <f t="shared" si="63"/>
        <v>-7.1389652835043754E-2</v>
      </c>
      <c r="AH392" s="5">
        <f t="shared" si="64"/>
        <v>1.300359534513966</v>
      </c>
      <c r="AI392" s="5">
        <f t="shared" si="65"/>
        <v>0.57206066645851428</v>
      </c>
      <c r="AJ392" s="5">
        <f t="shared" si="66"/>
        <v>0.87485279203184829</v>
      </c>
      <c r="AK392" s="5">
        <f t="shared" si="67"/>
        <v>0.23098191426437384</v>
      </c>
      <c r="AL392" s="5">
        <f t="shared" si="68"/>
        <v>0.6489519378034484</v>
      </c>
      <c r="AM392" s="10">
        <f t="shared" si="69"/>
        <v>-3.8644830422371665</v>
      </c>
    </row>
    <row r="393" spans="1:39" x14ac:dyDescent="0.3">
      <c r="A393">
        <v>217</v>
      </c>
      <c r="B393" t="s">
        <v>299</v>
      </c>
      <c r="C393" t="s">
        <v>93</v>
      </c>
      <c r="D393" s="1">
        <v>40087</v>
      </c>
      <c r="E393">
        <v>1</v>
      </c>
      <c r="F393" t="s">
        <v>300</v>
      </c>
      <c r="G393" s="4">
        <v>2.9449999999999998</v>
      </c>
      <c r="H393" s="4">
        <v>4.1909999999999998</v>
      </c>
      <c r="I393" s="4">
        <v>41</v>
      </c>
      <c r="J393" s="4">
        <v>-615.02800000000002</v>
      </c>
      <c r="K393" s="4">
        <v>1060.374</v>
      </c>
      <c r="L393" s="4">
        <v>0</v>
      </c>
      <c r="M393" s="4">
        <v>1518.2729999999999</v>
      </c>
      <c r="N393" s="4">
        <v>-457.899</v>
      </c>
      <c r="O393" s="4">
        <v>3.4529999999999998</v>
      </c>
      <c r="P393" s="4">
        <v>64.875</v>
      </c>
      <c r="Q393" s="4">
        <v>98.236000000000004</v>
      </c>
      <c r="R393" s="4">
        <v>0.73799999999999999</v>
      </c>
      <c r="S393" s="4">
        <v>1601.9449999999999</v>
      </c>
      <c r="T393" s="4">
        <v>1616.509</v>
      </c>
      <c r="U393" s="4">
        <v>1128.17</v>
      </c>
      <c r="V393" s="4">
        <v>1110.6610000000001</v>
      </c>
      <c r="W393" s="4">
        <v>1109.5</v>
      </c>
      <c r="X393" s="4">
        <v>1434.1969999999999</v>
      </c>
      <c r="Y393">
        <v>-0.54515542870312095</v>
      </c>
      <c r="Z393">
        <v>1195.6320000000001</v>
      </c>
      <c r="AA393" t="s">
        <v>40</v>
      </c>
      <c r="AB393">
        <v>2</v>
      </c>
      <c r="AC393" t="s">
        <v>33</v>
      </c>
      <c r="AD393" s="5">
        <f t="shared" si="60"/>
        <v>2.6308372539061678E-3</v>
      </c>
      <c r="AE393" s="5">
        <f t="shared" si="61"/>
        <v>0.10221951219512194</v>
      </c>
      <c r="AF393" s="5">
        <f t="shared" si="62"/>
        <v>4.5860528067202453E-4</v>
      </c>
      <c r="AG393" s="5">
        <f t="shared" si="63"/>
        <v>-0.40587766028169509</v>
      </c>
      <c r="AH393" s="5">
        <f t="shared" si="64"/>
        <v>0.69790517714408029</v>
      </c>
      <c r="AI393" s="5">
        <f t="shared" si="65"/>
        <v>-9.4802003853564543</v>
      </c>
      <c r="AJ393" s="5">
        <f t="shared" si="66"/>
        <v>0.69840799381929342</v>
      </c>
      <c r="AK393" s="5">
        <f t="shared" si="67"/>
        <v>-0.54515542870312095</v>
      </c>
      <c r="AL393" s="5">
        <f t="shared" si="68"/>
        <v>0.65596541683343557</v>
      </c>
      <c r="AM393" s="10">
        <f t="shared" si="69"/>
        <v>-8.9539396242402799E-2</v>
      </c>
    </row>
    <row r="394" spans="1:39" x14ac:dyDescent="0.3">
      <c r="A394">
        <v>220</v>
      </c>
      <c r="B394" t="s">
        <v>305</v>
      </c>
      <c r="C394" t="s">
        <v>38</v>
      </c>
      <c r="D394" s="1">
        <v>33956</v>
      </c>
      <c r="E394">
        <v>5</v>
      </c>
      <c r="F394" t="s">
        <v>306</v>
      </c>
      <c r="G394" s="4">
        <v>-538.14300000000003</v>
      </c>
      <c r="H394" s="4">
        <v>-421.58100000000002</v>
      </c>
      <c r="I394" s="4">
        <v>121.941</v>
      </c>
      <c r="J394" s="4">
        <v>-962.25599999999997</v>
      </c>
      <c r="K394" s="4">
        <v>951.65499999999997</v>
      </c>
      <c r="L394" s="4">
        <v>40</v>
      </c>
      <c r="M394" s="4">
        <v>1919.963</v>
      </c>
      <c r="N394" s="4">
        <v>-968.30799999999999</v>
      </c>
      <c r="O394" s="4">
        <v>-518.01800000000003</v>
      </c>
      <c r="P394" s="4">
        <v>79.200999999999993</v>
      </c>
      <c r="Q394" s="4">
        <v>25.53</v>
      </c>
      <c r="R394" s="4">
        <v>96.436999999999998</v>
      </c>
      <c r="S394" s="4">
        <v>2015.1559999999999</v>
      </c>
      <c r="T394" s="4">
        <v>1945.4929999999999</v>
      </c>
      <c r="U394" s="4">
        <v>1048.7639999999999</v>
      </c>
      <c r="V394" s="4">
        <v>1658.6079999999999</v>
      </c>
      <c r="W394" s="4">
        <v>1793.0170000000001</v>
      </c>
      <c r="X394" s="4">
        <v>2064.806</v>
      </c>
      <c r="Y394">
        <v>-0.91751433115553205</v>
      </c>
      <c r="Z394">
        <v>1641.2987499999999</v>
      </c>
      <c r="AA394" t="s">
        <v>40</v>
      </c>
      <c r="AB394">
        <v>2</v>
      </c>
      <c r="AC394" t="s">
        <v>33</v>
      </c>
      <c r="AD394" s="5">
        <f t="shared" si="60"/>
        <v>-0.39753901569492489</v>
      </c>
      <c r="AE394" s="5">
        <f t="shared" si="61"/>
        <v>-3.4572539178783184</v>
      </c>
      <c r="AF394" s="5">
        <f t="shared" si="62"/>
        <v>4.869757456416865E-2</v>
      </c>
      <c r="AG394" s="5">
        <f t="shared" si="63"/>
        <v>-0.9232849335026756</v>
      </c>
      <c r="AH394" s="5">
        <f t="shared" si="64"/>
        <v>0.53907364354433551</v>
      </c>
      <c r="AI394" s="5">
        <f t="shared" si="65"/>
        <v>-12.149543566369113</v>
      </c>
      <c r="AJ394" s="5">
        <f t="shared" si="66"/>
        <v>0.4956631976762052</v>
      </c>
      <c r="AK394" s="5">
        <f t="shared" si="67"/>
        <v>-0.91751433115553171</v>
      </c>
      <c r="AL394" s="5">
        <f t="shared" si="68"/>
        <v>0.48915878905758076</v>
      </c>
      <c r="AM394" s="10">
        <f t="shared" si="69"/>
        <v>-0.12593203815314963</v>
      </c>
    </row>
    <row r="395" spans="1:39" x14ac:dyDescent="0.3">
      <c r="A395">
        <v>228</v>
      </c>
      <c r="B395" t="s">
        <v>315</v>
      </c>
      <c r="C395" t="s">
        <v>38</v>
      </c>
      <c r="D395" s="1">
        <v>33918</v>
      </c>
      <c r="E395">
        <v>10</v>
      </c>
      <c r="F395" t="s">
        <v>316</v>
      </c>
      <c r="G395" s="4">
        <v>-251.773</v>
      </c>
      <c r="H395" s="4">
        <v>-219.64</v>
      </c>
      <c r="I395" s="4">
        <v>431.41199999999998</v>
      </c>
      <c r="J395" s="4">
        <v>-99.837999999999994</v>
      </c>
      <c r="K395" s="4">
        <v>909.11099999999999</v>
      </c>
      <c r="L395" s="4">
        <v>117.901</v>
      </c>
      <c r="M395" s="4">
        <v>1079.519</v>
      </c>
      <c r="N395" s="4">
        <v>-170.40799999999999</v>
      </c>
      <c r="O395" s="4">
        <v>-251.773</v>
      </c>
      <c r="P395" s="4">
        <v>99.117999999999995</v>
      </c>
      <c r="Q395" s="4">
        <v>0</v>
      </c>
      <c r="R395" s="4">
        <v>32.811</v>
      </c>
      <c r="S395" s="4">
        <v>1141.471</v>
      </c>
      <c r="T395" s="4">
        <v>1079.519</v>
      </c>
      <c r="U395" s="4">
        <v>1008.229</v>
      </c>
      <c r="V395" s="4">
        <v>1316.145</v>
      </c>
      <c r="W395" s="4">
        <v>1241.9490000000001</v>
      </c>
      <c r="X395" s="4">
        <v>1190.8599999999999</v>
      </c>
      <c r="Y395">
        <v>-9.9023138592522097E-2</v>
      </c>
      <c r="Z395">
        <v>1189.29575</v>
      </c>
      <c r="AA395" t="s">
        <v>40</v>
      </c>
      <c r="AB395">
        <v>2</v>
      </c>
      <c r="AC395" t="s">
        <v>33</v>
      </c>
      <c r="AD395" s="5">
        <f t="shared" si="60"/>
        <v>-0.21663725372939124</v>
      </c>
      <c r="AE395" s="5">
        <f t="shared" si="61"/>
        <v>-0.5091188933084847</v>
      </c>
      <c r="AF395" s="5">
        <f t="shared" si="62"/>
        <v>2.9546283414153152E-2</v>
      </c>
      <c r="AG395" s="5">
        <f t="shared" si="63"/>
        <v>-0.16901715780839471</v>
      </c>
      <c r="AH395" s="5">
        <f t="shared" si="64"/>
        <v>0.93396132907341145</v>
      </c>
      <c r="AI395" s="5">
        <f t="shared" si="65"/>
        <v>-1.0072640690893682</v>
      </c>
      <c r="AJ395" s="5">
        <f t="shared" si="66"/>
        <v>0.8421445106570612</v>
      </c>
      <c r="AK395" s="5">
        <f t="shared" si="67"/>
        <v>-9.9023138592522125E-2</v>
      </c>
      <c r="AL395" s="5">
        <f t="shared" si="68"/>
        <v>0.8421445106570612</v>
      </c>
      <c r="AM395" s="10">
        <f t="shared" si="69"/>
        <v>-2.5316417069621147</v>
      </c>
    </row>
    <row r="396" spans="1:39" x14ac:dyDescent="0.3">
      <c r="A396">
        <v>233</v>
      </c>
      <c r="B396" t="s">
        <v>321</v>
      </c>
      <c r="C396" t="s">
        <v>70</v>
      </c>
      <c r="D396" s="1">
        <v>31034</v>
      </c>
      <c r="E396">
        <v>5</v>
      </c>
      <c r="F396" t="s">
        <v>322</v>
      </c>
      <c r="G396" s="4">
        <v>239.29499999999999</v>
      </c>
      <c r="H396" s="4">
        <v>253.12100000000001</v>
      </c>
      <c r="I396" s="4">
        <v>252.41800000000001</v>
      </c>
      <c r="J396" s="4">
        <v>-1007.908</v>
      </c>
      <c r="K396" s="4">
        <v>580.14700000000005</v>
      </c>
      <c r="L396" s="4">
        <v>0</v>
      </c>
      <c r="M396" s="4">
        <v>1780.9670000000001</v>
      </c>
      <c r="N396" s="4">
        <v>-1200.82</v>
      </c>
      <c r="O396" s="4">
        <v>251.733</v>
      </c>
      <c r="P396" s="4">
        <v>328.35300000000001</v>
      </c>
      <c r="Q396" s="4">
        <v>11.93</v>
      </c>
      <c r="R396" s="4">
        <v>1.3879999999999999</v>
      </c>
      <c r="S396" s="4">
        <v>1977.425</v>
      </c>
      <c r="T396" s="4">
        <v>1792.8969999999999</v>
      </c>
      <c r="U396" s="4">
        <v>908.77499999999998</v>
      </c>
      <c r="V396" s="4">
        <v>893.49400000000003</v>
      </c>
      <c r="W396" s="4">
        <v>1212.297</v>
      </c>
      <c r="X396" s="4">
        <v>1460.4159999999999</v>
      </c>
      <c r="Y396">
        <v>-1.10908420676185</v>
      </c>
      <c r="Z396">
        <v>1118.7455</v>
      </c>
      <c r="AA396" t="s">
        <v>40</v>
      </c>
      <c r="AB396">
        <v>2</v>
      </c>
      <c r="AC396" t="s">
        <v>33</v>
      </c>
      <c r="AD396" s="5">
        <f t="shared" si="60"/>
        <v>0.26554859457716912</v>
      </c>
      <c r="AE396" s="5">
        <f t="shared" si="61"/>
        <v>1.0027850628719031</v>
      </c>
      <c r="AF396" s="5">
        <f t="shared" si="62"/>
        <v>7.3627663631912598E-4</v>
      </c>
      <c r="AG396" s="5">
        <f t="shared" si="63"/>
        <v>-1.32136117300762</v>
      </c>
      <c r="AH396" s="5">
        <f t="shared" si="64"/>
        <v>0.50687518580264235</v>
      </c>
      <c r="AI396" s="5">
        <f t="shared" si="65"/>
        <v>-3.0695866948071129</v>
      </c>
      <c r="AJ396" s="5">
        <f t="shared" si="66"/>
        <v>0.32574831538147536</v>
      </c>
      <c r="AK396" s="5">
        <f t="shared" si="67"/>
        <v>-1.1090842067618498</v>
      </c>
      <c r="AL396" s="5">
        <f t="shared" si="68"/>
        <v>0.32358077457879625</v>
      </c>
      <c r="AM396" s="10">
        <f t="shared" si="69"/>
        <v>-0.21020469345946938</v>
      </c>
    </row>
    <row r="397" spans="1:39" x14ac:dyDescent="0.3">
      <c r="A397">
        <v>249</v>
      </c>
      <c r="B397" t="s">
        <v>335</v>
      </c>
      <c r="C397" t="s">
        <v>38</v>
      </c>
      <c r="D397" s="1">
        <v>37523</v>
      </c>
      <c r="E397">
        <v>15</v>
      </c>
      <c r="F397" t="s">
        <v>336</v>
      </c>
      <c r="G397" s="4">
        <v>-737.29899999999998</v>
      </c>
      <c r="H397" s="4">
        <v>-676.69799999999998</v>
      </c>
      <c r="I397" s="4">
        <v>1761.6479999999999</v>
      </c>
      <c r="J397" s="4">
        <v>-704.49099999999999</v>
      </c>
      <c r="K397" s="4">
        <v>740.15499999999997</v>
      </c>
      <c r="L397" s="4">
        <v>0</v>
      </c>
      <c r="M397" s="4">
        <v>1072.357</v>
      </c>
      <c r="N397" s="4">
        <v>-332.202</v>
      </c>
      <c r="O397" s="4">
        <v>-729.60199999999998</v>
      </c>
      <c r="P397" s="4">
        <v>32.131</v>
      </c>
      <c r="Q397" s="4">
        <v>290.02199999999999</v>
      </c>
      <c r="R397" s="4">
        <v>32.448</v>
      </c>
      <c r="S397" s="4">
        <v>1036.9359999999999</v>
      </c>
      <c r="T397" s="4">
        <v>1362.3789999999999</v>
      </c>
      <c r="U397" s="4">
        <v>775.226</v>
      </c>
      <c r="V397" s="4">
        <v>1202.3019999999999</v>
      </c>
      <c r="W397" s="4">
        <v>1048.4100000000001</v>
      </c>
      <c r="X397" s="4">
        <v>900.11900000000003</v>
      </c>
      <c r="Y397">
        <v>-0.90875564029070199</v>
      </c>
      <c r="Z397">
        <v>981.51424999999995</v>
      </c>
      <c r="AA397" t="s">
        <v>40</v>
      </c>
      <c r="AB397">
        <v>2</v>
      </c>
      <c r="AC397" t="s">
        <v>33</v>
      </c>
      <c r="AD397" s="5">
        <f t="shared" si="60"/>
        <v>-0.74567743162170153</v>
      </c>
      <c r="AE397" s="5">
        <f t="shared" si="61"/>
        <v>-0.38412781668074442</v>
      </c>
      <c r="AF397" s="5">
        <f t="shared" si="62"/>
        <v>2.7047719870046248E-2</v>
      </c>
      <c r="AG397" s="5">
        <f t="shared" si="63"/>
        <v>-0.42852277916375353</v>
      </c>
      <c r="AH397" s="5">
        <f t="shared" si="64"/>
        <v>0.5690237444940065</v>
      </c>
      <c r="AI397" s="5">
        <f t="shared" si="65"/>
        <v>-21.925585882792319</v>
      </c>
      <c r="AJ397" s="5">
        <f t="shared" si="66"/>
        <v>0.69021324055328592</v>
      </c>
      <c r="AK397" s="5">
        <f t="shared" si="67"/>
        <v>-0.90875564029070233</v>
      </c>
      <c r="AL397" s="5">
        <f t="shared" si="68"/>
        <v>0.54328127488753131</v>
      </c>
      <c r="AM397" s="10">
        <f t="shared" si="69"/>
        <v>-5.3029421857785319</v>
      </c>
    </row>
    <row r="398" spans="1:39" x14ac:dyDescent="0.3">
      <c r="A398">
        <v>253</v>
      </c>
      <c r="B398" t="s">
        <v>341</v>
      </c>
      <c r="C398" t="s">
        <v>38</v>
      </c>
      <c r="D398" s="1">
        <v>40585</v>
      </c>
      <c r="E398">
        <v>21</v>
      </c>
      <c r="F398" t="s">
        <v>342</v>
      </c>
      <c r="G398" s="4">
        <v>-416.04500000000002</v>
      </c>
      <c r="H398" s="4">
        <v>-405.56299999999999</v>
      </c>
      <c r="I398" s="4">
        <v>938.14099999999996</v>
      </c>
      <c r="J398" s="4">
        <v>-403.47800000000001</v>
      </c>
      <c r="K398" s="4">
        <v>717.22500000000002</v>
      </c>
      <c r="L398" s="4">
        <v>45</v>
      </c>
      <c r="M398" s="4">
        <v>918.84900000000005</v>
      </c>
      <c r="N398" s="4">
        <v>-201.624</v>
      </c>
      <c r="O398" s="4">
        <v>-412.428</v>
      </c>
      <c r="P398" s="4">
        <v>14.569000000000001</v>
      </c>
      <c r="Q398" s="4">
        <v>194.04300000000001</v>
      </c>
      <c r="R398" s="4">
        <v>6.8650000000000002</v>
      </c>
      <c r="S398" s="4">
        <v>785.84</v>
      </c>
      <c r="T398" s="4">
        <v>1112.8920000000001</v>
      </c>
      <c r="U398" s="4">
        <v>739.29399999999998</v>
      </c>
      <c r="V398" s="4">
        <v>859.31899999999996</v>
      </c>
      <c r="W398" s="4">
        <v>1188.6769999999999</v>
      </c>
      <c r="X398" s="4">
        <v>1065.732</v>
      </c>
      <c r="Y398">
        <v>-0.54576122625099099</v>
      </c>
      <c r="Z398">
        <v>963.25549999999998</v>
      </c>
      <c r="AA398" t="s">
        <v>40</v>
      </c>
      <c r="AB398">
        <v>2</v>
      </c>
      <c r="AC398" t="s">
        <v>33</v>
      </c>
      <c r="AD398" s="5">
        <f t="shared" si="60"/>
        <v>-0.52050746490864275</v>
      </c>
      <c r="AE398" s="5">
        <f t="shared" si="61"/>
        <v>-0.4323049520274671</v>
      </c>
      <c r="AF398" s="5">
        <f t="shared" si="62"/>
        <v>7.2311416250423971E-3</v>
      </c>
      <c r="AG398" s="5">
        <f t="shared" si="63"/>
        <v>-0.2727250593133449</v>
      </c>
      <c r="AH398" s="5">
        <f t="shared" si="64"/>
        <v>0.66429986018409692</v>
      </c>
      <c r="AI398" s="5">
        <f t="shared" si="65"/>
        <v>-27.694282380396732</v>
      </c>
      <c r="AJ398" s="5">
        <f t="shared" si="66"/>
        <v>0.78056895093753165</v>
      </c>
      <c r="AK398" s="5">
        <f t="shared" si="67"/>
        <v>-0.54576122625099088</v>
      </c>
      <c r="AL398" s="5">
        <f t="shared" si="68"/>
        <v>0.64446954421453295</v>
      </c>
      <c r="AM398" s="10">
        <f t="shared" si="69"/>
        <v>-4.6529232631035988</v>
      </c>
    </row>
    <row r="399" spans="1:39" x14ac:dyDescent="0.3">
      <c r="A399">
        <v>279</v>
      </c>
      <c r="B399" t="s">
        <v>366</v>
      </c>
      <c r="C399" t="s">
        <v>70</v>
      </c>
      <c r="D399" s="1">
        <v>39174</v>
      </c>
      <c r="E399">
        <v>1</v>
      </c>
      <c r="F399" t="s">
        <v>367</v>
      </c>
      <c r="G399" s="4">
        <v>-991.99199999999996</v>
      </c>
      <c r="H399" s="4">
        <v>-986.56899999999996</v>
      </c>
      <c r="I399" s="4">
        <v>187.06700000000001</v>
      </c>
      <c r="J399" s="4">
        <v>-981.86800000000005</v>
      </c>
      <c r="K399" s="4">
        <v>520.41499999999996</v>
      </c>
      <c r="L399" s="4">
        <v>130</v>
      </c>
      <c r="M399" s="4">
        <v>1287.0619999999999</v>
      </c>
      <c r="N399" s="4">
        <v>-766.64700000000005</v>
      </c>
      <c r="O399" s="4">
        <v>-987.19</v>
      </c>
      <c r="P399" s="4">
        <v>26.968</v>
      </c>
      <c r="Q399" s="4">
        <v>250.52099999999999</v>
      </c>
      <c r="R399" s="4">
        <v>0.621</v>
      </c>
      <c r="S399" s="4">
        <v>1661.885</v>
      </c>
      <c r="T399" s="4">
        <v>1537.5830000000001</v>
      </c>
      <c r="U399" s="4">
        <v>556.04300000000001</v>
      </c>
      <c r="V399" s="4">
        <v>1672.008</v>
      </c>
      <c r="W399" s="4">
        <v>2281.5059999999999</v>
      </c>
      <c r="X399" s="4">
        <v>3330.7080000000001</v>
      </c>
      <c r="Y399">
        <v>-1.7658130756074599</v>
      </c>
      <c r="Z399">
        <v>1960.0662500000001</v>
      </c>
      <c r="AA399" t="s">
        <v>40</v>
      </c>
      <c r="AB399">
        <v>2</v>
      </c>
      <c r="AC399" t="s">
        <v>33</v>
      </c>
      <c r="AD399" s="5">
        <f t="shared" si="60"/>
        <v>-0.89045717535191071</v>
      </c>
      <c r="AE399" s="5">
        <f t="shared" si="61"/>
        <v>-5.2738804813248725</v>
      </c>
      <c r="AF399" s="5">
        <f t="shared" si="62"/>
        <v>3.881895365104449E-4</v>
      </c>
      <c r="AG399" s="5">
        <f t="shared" si="63"/>
        <v>-1.3787548804678775</v>
      </c>
      <c r="AH399" s="5">
        <f t="shared" si="64"/>
        <v>0.36163446135915911</v>
      </c>
      <c r="AI399" s="5">
        <f t="shared" si="65"/>
        <v>-36.40863245327796</v>
      </c>
      <c r="AJ399" s="5">
        <f t="shared" si="66"/>
        <v>0.40434338050536806</v>
      </c>
      <c r="AK399" s="5">
        <f t="shared" si="67"/>
        <v>-1.7658130756074621</v>
      </c>
      <c r="AL399" s="5">
        <f t="shared" si="68"/>
        <v>0.33846302931288907</v>
      </c>
      <c r="AM399" s="10">
        <f t="shared" si="69"/>
        <v>-0.24400669408476131</v>
      </c>
    </row>
    <row r="400" spans="1:39" x14ac:dyDescent="0.3">
      <c r="A400">
        <v>342</v>
      </c>
      <c r="B400" t="s">
        <v>428</v>
      </c>
      <c r="C400" t="s">
        <v>70</v>
      </c>
      <c r="D400" s="1">
        <v>40514</v>
      </c>
      <c r="E400">
        <v>0</v>
      </c>
      <c r="F400" t="s">
        <v>429</v>
      </c>
      <c r="G400" s="4">
        <v>-97.997</v>
      </c>
      <c r="H400" s="4">
        <v>-94.043999999999997</v>
      </c>
      <c r="I400" s="4">
        <v>10.962999999999999</v>
      </c>
      <c r="J400" s="4">
        <v>-724.23900000000003</v>
      </c>
      <c r="K400" s="4">
        <v>261.58499999999998</v>
      </c>
      <c r="L400" s="4">
        <v>0</v>
      </c>
      <c r="M400" s="4">
        <v>985.82399999999996</v>
      </c>
      <c r="N400" s="4">
        <v>-724.23900000000003</v>
      </c>
      <c r="O400" s="4">
        <v>-97.997</v>
      </c>
      <c r="P400" s="4">
        <v>0</v>
      </c>
      <c r="Q400" s="4">
        <v>0</v>
      </c>
      <c r="R400" s="4">
        <v>3.9529999999999998</v>
      </c>
      <c r="S400" s="4">
        <v>1233.4590000000001</v>
      </c>
      <c r="T400" s="4">
        <v>985.82399999999996</v>
      </c>
      <c r="U400" s="4">
        <v>261.58499999999998</v>
      </c>
      <c r="V400" s="4">
        <v>574.21600000000001</v>
      </c>
      <c r="W400" s="4">
        <v>2090.873</v>
      </c>
      <c r="X400" s="4">
        <v>1850.606</v>
      </c>
      <c r="Y400">
        <v>-2.7686564596593799</v>
      </c>
      <c r="Z400">
        <v>1194.32</v>
      </c>
      <c r="AA400" t="s">
        <v>40</v>
      </c>
      <c r="AB400">
        <v>2</v>
      </c>
      <c r="AC400" t="s">
        <v>33</v>
      </c>
      <c r="AD400" s="5">
        <f t="shared" si="60"/>
        <v>-0.23449840332806496</v>
      </c>
      <c r="AE400" s="5">
        <f t="shared" si="61"/>
        <v>-8.5783088570646733</v>
      </c>
      <c r="AF400" s="5">
        <f t="shared" si="62"/>
        <v>3.5624118239990124E-3</v>
      </c>
      <c r="AG400" s="5">
        <f t="shared" si="63"/>
        <v>-2.7686564596593843</v>
      </c>
      <c r="AH400" s="5">
        <f t="shared" si="64"/>
        <v>0.26534655273152202</v>
      </c>
      <c r="AI400" s="5" t="e">
        <f t="shared" si="65"/>
        <v>#DIV/0!</v>
      </c>
      <c r="AJ400" s="5">
        <f t="shared" si="66"/>
        <v>0.26534655273152202</v>
      </c>
      <c r="AK400" s="5">
        <f t="shared" si="67"/>
        <v>-2.7686564596593843</v>
      </c>
      <c r="AL400" s="5">
        <f t="shared" si="68"/>
        <v>0.26534655273152202</v>
      </c>
      <c r="AM400" s="10">
        <f t="shared" si="69"/>
        <v>-1.5137268222230505E-2</v>
      </c>
    </row>
    <row r="401" spans="1:39" x14ac:dyDescent="0.3">
      <c r="A401">
        <v>199</v>
      </c>
      <c r="B401" t="s">
        <v>277</v>
      </c>
      <c r="C401" t="s">
        <v>48</v>
      </c>
      <c r="D401" s="1">
        <v>42178</v>
      </c>
      <c r="E401">
        <v>58</v>
      </c>
      <c r="F401" t="s">
        <v>278</v>
      </c>
      <c r="G401" s="4">
        <v>78.94</v>
      </c>
      <c r="H401" s="4">
        <v>144.12700000000001</v>
      </c>
      <c r="I401" s="4">
        <v>1730.3230000000001</v>
      </c>
      <c r="J401" s="4">
        <v>247.79400000000001</v>
      </c>
      <c r="K401" s="4">
        <v>1059.1420000000001</v>
      </c>
      <c r="L401" s="4">
        <v>62.68</v>
      </c>
      <c r="M401" s="4">
        <v>982.16800000000001</v>
      </c>
      <c r="N401" s="4">
        <v>76.974000000000004</v>
      </c>
      <c r="O401" s="4">
        <v>78.94</v>
      </c>
      <c r="P401" s="4">
        <v>224.67599999999999</v>
      </c>
      <c r="Q401" s="4">
        <v>0</v>
      </c>
      <c r="R401" s="4">
        <v>13.714</v>
      </c>
      <c r="S401" s="4">
        <v>514.45699999999999</v>
      </c>
      <c r="T401" s="4">
        <v>982.16800000000001</v>
      </c>
      <c r="U401" s="4">
        <v>1283.818</v>
      </c>
      <c r="V401" s="4">
        <v>703.50199999999995</v>
      </c>
      <c r="W401" s="4">
        <v>331.892</v>
      </c>
      <c r="X401" s="4">
        <v>417.99</v>
      </c>
      <c r="Y401">
        <v>0.19301333989708799</v>
      </c>
      <c r="Z401">
        <v>684.30050000000006</v>
      </c>
      <c r="AA401" t="s">
        <v>40</v>
      </c>
      <c r="AB401">
        <v>1</v>
      </c>
      <c r="AC401" t="s">
        <v>33</v>
      </c>
      <c r="AD401" s="5">
        <f t="shared" si="60"/>
        <v>7.9443672886097855E-2</v>
      </c>
      <c r="AE401" s="5">
        <f t="shared" si="61"/>
        <v>8.3294853041888717E-2</v>
      </c>
      <c r="AF401" s="5">
        <f t="shared" si="62"/>
        <v>1.8326568111584399E-2</v>
      </c>
      <c r="AG401" s="5">
        <f t="shared" si="63"/>
        <v>5.9957096722432622E-2</v>
      </c>
      <c r="AH401" s="5">
        <f t="shared" si="64"/>
        <v>1.3071266830114603</v>
      </c>
      <c r="AI401" s="5">
        <f t="shared" si="65"/>
        <v>1.102894835229397</v>
      </c>
      <c r="AJ401" s="5">
        <f t="shared" si="66"/>
        <v>1.0783715209617908</v>
      </c>
      <c r="AK401" s="5">
        <f t="shared" si="67"/>
        <v>0.19301333989708822</v>
      </c>
      <c r="AL401" s="5">
        <f t="shared" si="68"/>
        <v>1.0783715209617908</v>
      </c>
      <c r="AM401" s="10">
        <f t="shared" si="69"/>
        <v>22.479317691688102</v>
      </c>
    </row>
    <row r="402" spans="1:39" x14ac:dyDescent="0.3">
      <c r="A402">
        <v>264</v>
      </c>
      <c r="B402" t="s">
        <v>349</v>
      </c>
      <c r="C402" t="s">
        <v>48</v>
      </c>
      <c r="D402" s="1">
        <v>42251</v>
      </c>
      <c r="E402">
        <v>6</v>
      </c>
      <c r="F402" t="s">
        <v>350</v>
      </c>
      <c r="G402" s="4">
        <v>15.254</v>
      </c>
      <c r="H402" s="4">
        <v>21.167000000000002</v>
      </c>
      <c r="I402" s="4">
        <v>580.23099999999999</v>
      </c>
      <c r="J402" s="4">
        <v>120.625</v>
      </c>
      <c r="K402" s="4">
        <v>637.24400000000003</v>
      </c>
      <c r="L402" s="4">
        <v>78.942999999999998</v>
      </c>
      <c r="M402" s="4">
        <v>270.77999999999997</v>
      </c>
      <c r="N402" s="4">
        <v>366.464</v>
      </c>
      <c r="O402" s="4">
        <v>17.399000000000001</v>
      </c>
      <c r="P402" s="4">
        <v>13.023</v>
      </c>
      <c r="Q402" s="4">
        <v>239.99299999999999</v>
      </c>
      <c r="R402" s="4">
        <v>3.7679999999999998</v>
      </c>
      <c r="S402" s="4">
        <v>370.20600000000002</v>
      </c>
      <c r="T402" s="4">
        <v>510.77300000000002</v>
      </c>
      <c r="U402" s="4">
        <v>660.48699999999997</v>
      </c>
      <c r="V402" s="4">
        <v>501.358</v>
      </c>
      <c r="W402" s="4">
        <v>286.54000000000002</v>
      </c>
      <c r="X402" s="4">
        <v>146.11600000000001</v>
      </c>
      <c r="Y402">
        <v>0.18263039242256099</v>
      </c>
      <c r="Z402">
        <v>398.62524999999999</v>
      </c>
      <c r="AA402" t="s">
        <v>40</v>
      </c>
      <c r="AB402">
        <v>1</v>
      </c>
      <c r="AC402" t="s">
        <v>33</v>
      </c>
      <c r="AD402" s="5">
        <f t="shared" si="60"/>
        <v>2.6258235823195003E-2</v>
      </c>
      <c r="AE402" s="5">
        <f t="shared" si="61"/>
        <v>3.6480298363927473E-2</v>
      </c>
      <c r="AF402" s="5">
        <f t="shared" si="62"/>
        <v>8.5541199052417815E-3</v>
      </c>
      <c r="AG402" s="5">
        <f t="shared" si="63"/>
        <v>0.55483908086003209</v>
      </c>
      <c r="AH402" s="5">
        <f t="shared" si="64"/>
        <v>1.2931125960064449</v>
      </c>
      <c r="AI402" s="5">
        <f t="shared" si="65"/>
        <v>9.26245872686785</v>
      </c>
      <c r="AJ402" s="5">
        <f t="shared" si="66"/>
        <v>2.3533643548267968</v>
      </c>
      <c r="AK402" s="5">
        <f t="shared" si="67"/>
        <v>0.18263039242256093</v>
      </c>
      <c r="AL402" s="5">
        <f t="shared" si="68"/>
        <v>1.2476070583214069</v>
      </c>
      <c r="AM402" s="10">
        <f t="shared" si="69"/>
        <v>1.5833233278030039</v>
      </c>
    </row>
    <row r="403" spans="1:39" x14ac:dyDescent="0.3">
      <c r="A403">
        <v>267</v>
      </c>
      <c r="B403" t="s">
        <v>353</v>
      </c>
      <c r="C403" t="s">
        <v>354</v>
      </c>
      <c r="D403" s="1">
        <v>41065</v>
      </c>
      <c r="E403">
        <v>2</v>
      </c>
      <c r="F403" t="s">
        <v>355</v>
      </c>
      <c r="G403" s="4">
        <v>-67.659000000000006</v>
      </c>
      <c r="H403" s="4">
        <v>-67.594999999999999</v>
      </c>
      <c r="I403" s="4">
        <v>38.418999999999997</v>
      </c>
      <c r="J403" s="4">
        <v>-707.596</v>
      </c>
      <c r="K403" s="4">
        <v>630.62800000000004</v>
      </c>
      <c r="L403" s="4">
        <v>0</v>
      </c>
      <c r="M403" s="4">
        <v>1011.41</v>
      </c>
      <c r="N403" s="4">
        <v>-380.78199999999998</v>
      </c>
      <c r="O403" s="4">
        <v>-67.659000000000006</v>
      </c>
      <c r="P403" s="4">
        <v>7.7530000000000001</v>
      </c>
      <c r="Q403" s="4">
        <v>336.48899999999998</v>
      </c>
      <c r="R403" s="4">
        <v>6.4000000000000001E-2</v>
      </c>
      <c r="S403" s="4">
        <v>1194.4770000000001</v>
      </c>
      <c r="T403" s="4">
        <v>1347.8989999999999</v>
      </c>
      <c r="U403" s="4">
        <v>640.303</v>
      </c>
      <c r="V403" s="4">
        <v>577.096</v>
      </c>
      <c r="W403" s="4">
        <v>562.44100000000003</v>
      </c>
      <c r="X403" s="4">
        <v>507.31799999999998</v>
      </c>
      <c r="Y403">
        <v>-1.10509555632255</v>
      </c>
      <c r="Z403">
        <v>571.78949999999998</v>
      </c>
      <c r="AA403" t="s">
        <v>40</v>
      </c>
      <c r="AB403">
        <v>1</v>
      </c>
      <c r="AC403" t="s">
        <v>33</v>
      </c>
      <c r="AD403" s="5">
        <f t="shared" si="60"/>
        <v>-0.11115336878049023</v>
      </c>
      <c r="AE403" s="5">
        <f t="shared" si="61"/>
        <v>-1.7594159140008852</v>
      </c>
      <c r="AF403" s="5">
        <f t="shared" si="62"/>
        <v>5.0346604908164644E-5</v>
      </c>
      <c r="AG403" s="5">
        <f t="shared" si="63"/>
        <v>-0.59469032629864294</v>
      </c>
      <c r="AH403" s="5">
        <f t="shared" si="64"/>
        <v>0.47503781811545231</v>
      </c>
      <c r="AI403" s="5">
        <f t="shared" si="65"/>
        <v>-91.267380368889462</v>
      </c>
      <c r="AJ403" s="5">
        <f t="shared" si="66"/>
        <v>0.62351370858504473</v>
      </c>
      <c r="AK403" s="5">
        <f t="shared" si="67"/>
        <v>-1.1050955563225535</v>
      </c>
      <c r="AL403" s="5">
        <f t="shared" si="68"/>
        <v>0.46785998060685563</v>
      </c>
      <c r="AM403" s="10">
        <f t="shared" si="69"/>
        <v>-0.1008950002888792</v>
      </c>
    </row>
    <row r="404" spans="1:39" x14ac:dyDescent="0.3">
      <c r="A404">
        <v>294</v>
      </c>
      <c r="B404" t="s">
        <v>378</v>
      </c>
      <c r="C404" t="s">
        <v>93</v>
      </c>
      <c r="D404" s="1">
        <v>35821</v>
      </c>
      <c r="E404">
        <v>0</v>
      </c>
      <c r="F404" t="s">
        <v>379</v>
      </c>
      <c r="G404" s="4">
        <v>-4.4649999999999999</v>
      </c>
      <c r="H404" s="4">
        <v>-4.4589999999999996</v>
      </c>
      <c r="I404" s="4">
        <v>82.391000000000005</v>
      </c>
      <c r="J404" s="4">
        <v>94.855000000000004</v>
      </c>
      <c r="K404" s="4">
        <v>384.41899999999998</v>
      </c>
      <c r="L404" s="4">
        <v>0</v>
      </c>
      <c r="M404" s="4">
        <v>355.44499999999999</v>
      </c>
      <c r="N404" s="4">
        <v>28.974</v>
      </c>
      <c r="O404" s="4">
        <v>-4.4649999999999999</v>
      </c>
      <c r="P404" s="4">
        <v>74.322999999999993</v>
      </c>
      <c r="Q404" s="4">
        <v>0</v>
      </c>
      <c r="R404" s="4">
        <v>6.0000000000000001E-3</v>
      </c>
      <c r="S404" s="4">
        <v>389.17899999999997</v>
      </c>
      <c r="T404" s="4">
        <v>355.44499999999999</v>
      </c>
      <c r="U404" s="4">
        <v>458.74200000000002</v>
      </c>
      <c r="V404" s="4">
        <v>420.56700000000001</v>
      </c>
      <c r="W404" s="4">
        <v>397.01</v>
      </c>
      <c r="X404" s="4">
        <v>385.08199999999999</v>
      </c>
      <c r="Y404">
        <v>0.206771998203783</v>
      </c>
      <c r="Z404">
        <v>415.35025000000002</v>
      </c>
      <c r="AA404" t="s">
        <v>40</v>
      </c>
      <c r="AB404">
        <v>1</v>
      </c>
      <c r="AC404" t="s">
        <v>33</v>
      </c>
      <c r="AD404" s="5">
        <f t="shared" si="60"/>
        <v>-1.0155701806759626E-2</v>
      </c>
      <c r="AE404" s="5">
        <f t="shared" si="61"/>
        <v>-5.4119988833731834E-2</v>
      </c>
      <c r="AF404" s="5">
        <f t="shared" si="62"/>
        <v>1.6115516018822921E-5</v>
      </c>
      <c r="AG404" s="5">
        <f t="shared" si="63"/>
        <v>6.3159684528558538E-2</v>
      </c>
      <c r="AH404" s="5">
        <f t="shared" si="64"/>
        <v>1.2906131750341123</v>
      </c>
      <c r="AI404" s="5">
        <f t="shared" si="65"/>
        <v>1.2762536496104842</v>
      </c>
      <c r="AJ404" s="5">
        <f t="shared" si="66"/>
        <v>1.0815147209835558</v>
      </c>
      <c r="AK404" s="5">
        <f t="shared" si="67"/>
        <v>0.20677199820378339</v>
      </c>
      <c r="AL404" s="5">
        <f t="shared" si="68"/>
        <v>1.0815147209835558</v>
      </c>
      <c r="AM404" s="10">
        <f t="shared" si="69"/>
        <v>2.8436184165113554</v>
      </c>
    </row>
    <row r="405" spans="1:39" x14ac:dyDescent="0.3">
      <c r="A405">
        <v>298</v>
      </c>
      <c r="B405" t="s">
        <v>382</v>
      </c>
      <c r="C405" t="s">
        <v>48</v>
      </c>
      <c r="D405" s="1">
        <v>40872</v>
      </c>
      <c r="E405">
        <v>7</v>
      </c>
      <c r="F405" t="s">
        <v>383</v>
      </c>
      <c r="G405" s="4">
        <v>-64.069000000000003</v>
      </c>
      <c r="H405" s="4">
        <v>-64.051000000000002</v>
      </c>
      <c r="I405" s="4">
        <v>175.167</v>
      </c>
      <c r="J405" s="4">
        <v>-323.38600000000002</v>
      </c>
      <c r="K405" s="4">
        <v>434.67899999999997</v>
      </c>
      <c r="L405" s="4">
        <v>0</v>
      </c>
      <c r="M405" s="4">
        <v>703.59699999999998</v>
      </c>
      <c r="N405" s="4">
        <v>-268.91800000000001</v>
      </c>
      <c r="O405" s="4">
        <v>-64.069000000000003</v>
      </c>
      <c r="P405" s="4">
        <v>5.2050000000000001</v>
      </c>
      <c r="Q405" s="4">
        <v>0</v>
      </c>
      <c r="R405" s="4">
        <v>1.7999999999999999E-2</v>
      </c>
      <c r="S405" s="4">
        <v>477.35300000000001</v>
      </c>
      <c r="T405" s="4">
        <v>703.59699999999998</v>
      </c>
      <c r="U405" s="4">
        <v>440.48899999999998</v>
      </c>
      <c r="V405" s="4">
        <v>272.04599999999999</v>
      </c>
      <c r="W405" s="4">
        <v>314.76299999999998</v>
      </c>
      <c r="X405" s="4">
        <v>348.82100000000003</v>
      </c>
      <c r="Y405">
        <v>-0.73415227167988295</v>
      </c>
      <c r="Z405">
        <v>344.02974999999998</v>
      </c>
      <c r="AA405" t="s">
        <v>40</v>
      </c>
      <c r="AB405">
        <v>1</v>
      </c>
      <c r="AC405" t="s">
        <v>33</v>
      </c>
      <c r="AD405" s="5">
        <f t="shared" si="60"/>
        <v>-0.17983397306798965</v>
      </c>
      <c r="AE405" s="5">
        <f t="shared" si="61"/>
        <v>-0.36565677325066936</v>
      </c>
      <c r="AF405" s="5">
        <f t="shared" si="62"/>
        <v>3.0483932427283116E-5</v>
      </c>
      <c r="AG405" s="5">
        <f t="shared" si="63"/>
        <v>-0.61049878657582823</v>
      </c>
      <c r="AH405" s="5">
        <f t="shared" si="64"/>
        <v>0.62605298203374937</v>
      </c>
      <c r="AI405" s="5">
        <f t="shared" si="65"/>
        <v>-62.129875120076854</v>
      </c>
      <c r="AJ405" s="5">
        <f t="shared" si="66"/>
        <v>0.61779541413621719</v>
      </c>
      <c r="AK405" s="5">
        <f t="shared" si="67"/>
        <v>-0.73415227167988317</v>
      </c>
      <c r="AL405" s="5">
        <f t="shared" si="68"/>
        <v>0.61779541413621719</v>
      </c>
      <c r="AM405" s="10">
        <f t="shared" si="69"/>
        <v>-0.65137699968019991</v>
      </c>
    </row>
    <row r="406" spans="1:39" x14ac:dyDescent="0.3">
      <c r="A406">
        <v>300</v>
      </c>
      <c r="B406" t="s">
        <v>384</v>
      </c>
      <c r="C406" t="s">
        <v>126</v>
      </c>
      <c r="D406" s="1">
        <v>39114</v>
      </c>
      <c r="E406">
        <v>0</v>
      </c>
      <c r="F406" t="s">
        <v>385</v>
      </c>
      <c r="G406" s="4">
        <v>-15.661</v>
      </c>
      <c r="H406" s="4">
        <v>-3.9359999999999999</v>
      </c>
      <c r="I406" s="4">
        <v>92.5</v>
      </c>
      <c r="J406" s="4">
        <v>-188.11</v>
      </c>
      <c r="K406" s="4">
        <v>422.92500000000001</v>
      </c>
      <c r="L406" s="4">
        <v>386.41500000000002</v>
      </c>
      <c r="M406" s="4">
        <v>278.93700000000001</v>
      </c>
      <c r="N406" s="4">
        <v>143.988</v>
      </c>
      <c r="O406" s="4">
        <v>-15.661</v>
      </c>
      <c r="P406" s="4">
        <v>0</v>
      </c>
      <c r="Q406" s="4">
        <v>345.59800000000001</v>
      </c>
      <c r="R406" s="4">
        <v>11.725</v>
      </c>
      <c r="S406" s="4">
        <v>713.19299999999998</v>
      </c>
      <c r="T406" s="4">
        <v>624.53499999999997</v>
      </c>
      <c r="U406" s="4">
        <v>436.42500000000001</v>
      </c>
      <c r="V406" s="4">
        <v>540.74300000000005</v>
      </c>
      <c r="W406" s="4">
        <v>803.572</v>
      </c>
      <c r="X406" s="4">
        <v>1005.471</v>
      </c>
      <c r="Y406">
        <v>-0.43102480380363201</v>
      </c>
      <c r="Z406">
        <v>696.55274999999995</v>
      </c>
      <c r="AA406" t="s">
        <v>40</v>
      </c>
      <c r="AB406">
        <v>1</v>
      </c>
      <c r="AC406" t="s">
        <v>33</v>
      </c>
      <c r="AD406" s="5">
        <f t="shared" si="60"/>
        <v>-3.205385358505395E-2</v>
      </c>
      <c r="AE406" s="5">
        <f t="shared" si="61"/>
        <v>-4.2551351351351352E-2</v>
      </c>
      <c r="AF406" s="5">
        <f t="shared" si="62"/>
        <v>1.7529722036168788E-2</v>
      </c>
      <c r="AG406" s="5">
        <f t="shared" si="63"/>
        <v>0.32992610414160506</v>
      </c>
      <c r="AH406" s="5">
        <f t="shared" si="64"/>
        <v>0.69879990713090545</v>
      </c>
      <c r="AI406" s="5" t="e">
        <f t="shared" si="65"/>
        <v>#DIV/0!</v>
      </c>
      <c r="AJ406" s="5">
        <f t="shared" si="66"/>
        <v>1.5162025833790425</v>
      </c>
      <c r="AK406" s="5">
        <f t="shared" si="67"/>
        <v>-0.43102480380363178</v>
      </c>
      <c r="AL406" s="5">
        <f t="shared" si="68"/>
        <v>0.67718382476562566</v>
      </c>
      <c r="AM406" s="10">
        <f t="shared" si="69"/>
        <v>0.64241464566491657</v>
      </c>
    </row>
    <row r="407" spans="1:39" x14ac:dyDescent="0.3">
      <c r="A407">
        <v>316</v>
      </c>
      <c r="B407" t="s">
        <v>400</v>
      </c>
      <c r="C407" t="s">
        <v>126</v>
      </c>
      <c r="D407" s="1">
        <v>42279</v>
      </c>
      <c r="E407">
        <v>5</v>
      </c>
      <c r="F407" t="s">
        <v>401</v>
      </c>
      <c r="G407" s="4">
        <v>5.2190000000000003</v>
      </c>
      <c r="H407" s="4">
        <v>17.425000000000001</v>
      </c>
      <c r="I407" s="4">
        <v>268.39</v>
      </c>
      <c r="J407" s="4">
        <v>20.457999999999998</v>
      </c>
      <c r="K407" s="4">
        <v>343.65899999999999</v>
      </c>
      <c r="L407" s="4">
        <v>201.89500000000001</v>
      </c>
      <c r="M407" s="4">
        <v>239.43899999999999</v>
      </c>
      <c r="N407" s="4">
        <v>104.22</v>
      </c>
      <c r="O407" s="4">
        <v>5.2190000000000003</v>
      </c>
      <c r="P407" s="4">
        <v>14.026</v>
      </c>
      <c r="Q407" s="4">
        <v>84.013000000000005</v>
      </c>
      <c r="R407" s="4">
        <v>6.66</v>
      </c>
      <c r="S407" s="4">
        <v>289.13</v>
      </c>
      <c r="T407" s="4">
        <v>323.452</v>
      </c>
      <c r="U407" s="4">
        <v>358.01499999999999</v>
      </c>
      <c r="V407" s="4">
        <v>318.29700000000003</v>
      </c>
      <c r="W407" s="4">
        <v>219.52199999999999</v>
      </c>
      <c r="X407" s="4">
        <v>143.65199999999999</v>
      </c>
      <c r="Y407">
        <v>5.7142857142857099E-2</v>
      </c>
      <c r="Z407">
        <v>259.87150000000003</v>
      </c>
      <c r="AA407" t="s">
        <v>40</v>
      </c>
      <c r="AB407">
        <v>1</v>
      </c>
      <c r="AC407" t="s">
        <v>33</v>
      </c>
      <c r="AD407" s="5">
        <f t="shared" si="60"/>
        <v>1.5433705153834326E-2</v>
      </c>
      <c r="AE407" s="5">
        <f t="shared" si="61"/>
        <v>6.4924177502887592E-2</v>
      </c>
      <c r="AF407" s="5">
        <f t="shared" si="62"/>
        <v>2.1744027738327277E-2</v>
      </c>
      <c r="AG407" s="5">
        <f t="shared" si="63"/>
        <v>0.29110512129380056</v>
      </c>
      <c r="AH407" s="5">
        <f t="shared" si="64"/>
        <v>1.1068566587932676</v>
      </c>
      <c r="AI407" s="5">
        <f t="shared" si="65"/>
        <v>1.4585769285612433</v>
      </c>
      <c r="AJ407" s="5">
        <f t="shared" si="66"/>
        <v>1.4352674376354728</v>
      </c>
      <c r="AK407" s="5">
        <f t="shared" si="67"/>
        <v>5.7142857142857141E-2</v>
      </c>
      <c r="AL407" s="5">
        <f t="shared" si="68"/>
        <v>1.062472948072666</v>
      </c>
      <c r="AM407" s="10">
        <f t="shared" si="69"/>
        <v>2.5752254845519094</v>
      </c>
    </row>
    <row r="408" spans="1:39" x14ac:dyDescent="0.3">
      <c r="A408">
        <v>317</v>
      </c>
      <c r="B408" t="s">
        <v>402</v>
      </c>
      <c r="C408" t="s">
        <v>38</v>
      </c>
      <c r="D408" s="1">
        <v>42366</v>
      </c>
      <c r="E408">
        <v>5</v>
      </c>
      <c r="F408" t="s">
        <v>403</v>
      </c>
      <c r="G408" s="4">
        <v>4.9240000000000004</v>
      </c>
      <c r="H408" s="4">
        <v>6.3339999999999996</v>
      </c>
      <c r="I408" s="4">
        <v>226.79</v>
      </c>
      <c r="J408" s="4">
        <v>13.693</v>
      </c>
      <c r="K408" s="4">
        <v>356.87</v>
      </c>
      <c r="L408" s="4">
        <v>156.96</v>
      </c>
      <c r="M408" s="4">
        <v>341.92</v>
      </c>
      <c r="N408" s="4">
        <v>14.95</v>
      </c>
      <c r="O408" s="4">
        <v>5.2210000000000001</v>
      </c>
      <c r="P408" s="4">
        <v>0.89</v>
      </c>
      <c r="Q408" s="4">
        <v>0</v>
      </c>
      <c r="R408" s="4">
        <v>4.0000000000000001E-3</v>
      </c>
      <c r="S408" s="4">
        <v>179.523</v>
      </c>
      <c r="T408" s="4">
        <v>341.92</v>
      </c>
      <c r="U408" s="4">
        <v>358.02699999999999</v>
      </c>
      <c r="V408" s="4">
        <v>188.90799999999999</v>
      </c>
      <c r="W408" s="4">
        <v>17.986000000000001</v>
      </c>
      <c r="X408" s="4">
        <v>20.937999999999999</v>
      </c>
      <c r="Y408">
        <v>3.8245718898295401E-2</v>
      </c>
      <c r="Z408">
        <v>146.46475000000001</v>
      </c>
      <c r="AA408" t="s">
        <v>40</v>
      </c>
      <c r="AB408">
        <v>1</v>
      </c>
      <c r="AC408" t="s">
        <v>33</v>
      </c>
      <c r="AD408" s="5">
        <f t="shared" si="60"/>
        <v>1.8005795935531647E-2</v>
      </c>
      <c r="AE408" s="5">
        <f t="shared" si="61"/>
        <v>2.7928921028264032E-2</v>
      </c>
      <c r="AF408" s="5">
        <f t="shared" si="62"/>
        <v>1.5342041220229249E-5</v>
      </c>
      <c r="AG408" s="5">
        <f t="shared" si="63"/>
        <v>4.1756627293472279E-2</v>
      </c>
      <c r="AH408" s="5">
        <f t="shared" si="64"/>
        <v>1.0471075105287786</v>
      </c>
      <c r="AI408" s="5">
        <f t="shared" si="65"/>
        <v>15.385393258426966</v>
      </c>
      <c r="AJ408" s="5">
        <f t="shared" si="66"/>
        <v>1.0437236780533459</v>
      </c>
      <c r="AK408" s="5">
        <f t="shared" si="67"/>
        <v>3.8245718898295381E-2</v>
      </c>
      <c r="AL408" s="5">
        <f t="shared" si="68"/>
        <v>1.0437236780533459</v>
      </c>
      <c r="AM408" s="10">
        <f t="shared" si="69"/>
        <v>15.16989966555184</v>
      </c>
    </row>
    <row r="409" spans="1:39" x14ac:dyDescent="0.3">
      <c r="A409">
        <v>323</v>
      </c>
      <c r="B409" t="s">
        <v>410</v>
      </c>
      <c r="C409" t="s">
        <v>245</v>
      </c>
      <c r="D409" s="1">
        <v>39972</v>
      </c>
      <c r="E409">
        <v>0</v>
      </c>
      <c r="F409" t="s">
        <v>411</v>
      </c>
      <c r="G409" s="4">
        <v>-1349.8630000000001</v>
      </c>
      <c r="H409" s="4">
        <v>-1079.6759999999999</v>
      </c>
      <c r="I409" s="4">
        <v>0.38800000000000001</v>
      </c>
      <c r="J409" s="4">
        <v>-5673.3310000000001</v>
      </c>
      <c r="K409" s="4">
        <v>346.25200000000001</v>
      </c>
      <c r="L409" s="4">
        <v>0</v>
      </c>
      <c r="M409" s="4">
        <v>6019.5829999999996</v>
      </c>
      <c r="N409" s="4">
        <v>-5673.3310000000001</v>
      </c>
      <c r="O409" s="4">
        <v>-1232.115</v>
      </c>
      <c r="P409" s="4">
        <v>0</v>
      </c>
      <c r="Q409" s="4">
        <v>0</v>
      </c>
      <c r="R409" s="4">
        <v>152.43899999999999</v>
      </c>
      <c r="S409" s="4">
        <v>4774.1620000000003</v>
      </c>
      <c r="T409" s="4">
        <v>6019.5829999999996</v>
      </c>
      <c r="U409" s="4">
        <v>346.25200000000001</v>
      </c>
      <c r="V409" s="4">
        <v>453.83800000000002</v>
      </c>
      <c r="W409" s="4">
        <v>446.721</v>
      </c>
      <c r="X409" s="4">
        <v>450.24099999999999</v>
      </c>
      <c r="Y409">
        <v>-16.384976837678899</v>
      </c>
      <c r="Z409">
        <v>424.26299999999998</v>
      </c>
      <c r="AA409" t="s">
        <v>40</v>
      </c>
      <c r="AB409">
        <v>1</v>
      </c>
      <c r="AC409" t="s">
        <v>33</v>
      </c>
      <c r="AD409" s="5">
        <f t="shared" si="60"/>
        <v>-3.3742778937369544</v>
      </c>
      <c r="AE409" s="5">
        <f t="shared" si="61"/>
        <v>-2782.6701030927834</v>
      </c>
      <c r="AF409" s="5">
        <f t="shared" si="62"/>
        <v>2.8245803472288812E-2</v>
      </c>
      <c r="AG409" s="5">
        <f t="shared" si="63"/>
        <v>-16.384976837678916</v>
      </c>
      <c r="AH409" s="5">
        <f t="shared" si="64"/>
        <v>5.7520927944676573E-2</v>
      </c>
      <c r="AI409" s="5" t="e">
        <f t="shared" si="65"/>
        <v>#DIV/0!</v>
      </c>
      <c r="AJ409" s="5">
        <f t="shared" si="66"/>
        <v>5.7520927944676573E-2</v>
      </c>
      <c r="AK409" s="5">
        <f t="shared" si="67"/>
        <v>-16.384976837678916</v>
      </c>
      <c r="AL409" s="5">
        <f t="shared" si="68"/>
        <v>5.7520927944676573E-2</v>
      </c>
      <c r="AM409" s="10">
        <f t="shared" si="69"/>
        <v>-6.8390157387256264E-5</v>
      </c>
    </row>
    <row r="410" spans="1:39" x14ac:dyDescent="0.3">
      <c r="A410">
        <v>330</v>
      </c>
      <c r="B410" t="s">
        <v>416</v>
      </c>
      <c r="C410" t="s">
        <v>126</v>
      </c>
      <c r="D410" s="1">
        <v>41256</v>
      </c>
      <c r="E410">
        <v>4</v>
      </c>
      <c r="F410" t="s">
        <v>417</v>
      </c>
      <c r="G410" s="4">
        <v>-12.875999999999999</v>
      </c>
      <c r="H410" s="4">
        <v>43.051000000000002</v>
      </c>
      <c r="I410" s="4">
        <v>262.25</v>
      </c>
      <c r="J410" s="4">
        <v>110.146</v>
      </c>
      <c r="K410" s="4">
        <v>199.21700000000001</v>
      </c>
      <c r="L410" s="4">
        <v>0</v>
      </c>
      <c r="M410" s="4">
        <v>186.226</v>
      </c>
      <c r="N410" s="4">
        <v>12.991</v>
      </c>
      <c r="O410" s="4">
        <v>36.545000000000002</v>
      </c>
      <c r="P410" s="4">
        <v>104.33</v>
      </c>
      <c r="Q410" s="4">
        <v>0</v>
      </c>
      <c r="R410" s="4">
        <v>6.0670000000000002</v>
      </c>
      <c r="S410" s="4">
        <v>79.225999999999999</v>
      </c>
      <c r="T410" s="4">
        <v>186.226</v>
      </c>
      <c r="U410" s="4">
        <v>303.54700000000003</v>
      </c>
      <c r="V410" s="4">
        <v>206.203</v>
      </c>
      <c r="W410" s="4">
        <v>232.96799999999999</v>
      </c>
      <c r="X410" s="4">
        <v>118.459</v>
      </c>
      <c r="Y410">
        <v>0.36286308215861102</v>
      </c>
      <c r="Z410">
        <v>215.29425000000001</v>
      </c>
      <c r="AA410" t="s">
        <v>40</v>
      </c>
      <c r="AB410">
        <v>1</v>
      </c>
      <c r="AC410" t="s">
        <v>33</v>
      </c>
      <c r="AD410" s="5">
        <f t="shared" si="60"/>
        <v>-5.0518881804806279E-2</v>
      </c>
      <c r="AE410" s="5">
        <f t="shared" si="61"/>
        <v>0.16416015252621546</v>
      </c>
      <c r="AF410" s="5">
        <f t="shared" si="62"/>
        <v>4.5710712294501459E-2</v>
      </c>
      <c r="AG410" s="5">
        <f t="shared" si="63"/>
        <v>4.2797326278961739E-2</v>
      </c>
      <c r="AH410" s="5">
        <f t="shared" si="64"/>
        <v>1.6299925896491361</v>
      </c>
      <c r="AI410" s="5">
        <f t="shared" si="65"/>
        <v>1.0557461899741205</v>
      </c>
      <c r="AJ410" s="5">
        <f t="shared" si="66"/>
        <v>1.069759324691504</v>
      </c>
      <c r="AK410" s="5">
        <f t="shared" si="67"/>
        <v>0.36286308215861135</v>
      </c>
      <c r="AL410" s="5">
        <f t="shared" si="68"/>
        <v>1.069759324691504</v>
      </c>
      <c r="AM410" s="10">
        <f t="shared" si="69"/>
        <v>20.187052574859518</v>
      </c>
    </row>
    <row r="411" spans="1:39" x14ac:dyDescent="0.3">
      <c r="A411">
        <v>331</v>
      </c>
      <c r="B411" t="s">
        <v>418</v>
      </c>
      <c r="C411" t="s">
        <v>93</v>
      </c>
      <c r="D411" s="1">
        <v>42556</v>
      </c>
      <c r="E411">
        <v>5</v>
      </c>
      <c r="F411" t="s">
        <v>419</v>
      </c>
      <c r="G411" s="4">
        <v>-116.895</v>
      </c>
      <c r="H411" s="4">
        <v>-101.876</v>
      </c>
      <c r="I411" s="4">
        <v>194.59700000000001</v>
      </c>
      <c r="J411" s="4">
        <v>-170.762</v>
      </c>
      <c r="K411" s="4">
        <v>299.44900000000001</v>
      </c>
      <c r="L411" s="4">
        <v>0</v>
      </c>
      <c r="M411" s="4">
        <v>458.94600000000003</v>
      </c>
      <c r="N411" s="4">
        <v>-159.49700000000001</v>
      </c>
      <c r="O411" s="4">
        <v>-116.895</v>
      </c>
      <c r="P411" s="4">
        <v>0</v>
      </c>
      <c r="Q411" s="4">
        <v>0.51</v>
      </c>
      <c r="R411" s="4">
        <v>1.794</v>
      </c>
      <c r="S411" s="4">
        <v>339.78399999999999</v>
      </c>
      <c r="T411" s="4">
        <v>459.45600000000002</v>
      </c>
      <c r="U411" s="4">
        <v>299.44900000000001</v>
      </c>
      <c r="V411" s="4">
        <v>294.71199999999999</v>
      </c>
      <c r="W411" s="4">
        <v>308.822</v>
      </c>
      <c r="X411" s="4">
        <v>142.1</v>
      </c>
      <c r="Y411">
        <v>-0.57025403324105295</v>
      </c>
      <c r="Z411">
        <v>261.27075000000002</v>
      </c>
      <c r="AA411" t="s">
        <v>40</v>
      </c>
      <c r="AB411">
        <v>1</v>
      </c>
      <c r="AC411" t="s">
        <v>33</v>
      </c>
      <c r="AD411" s="5">
        <f t="shared" si="60"/>
        <v>-0.39347920849736007</v>
      </c>
      <c r="AE411" s="5">
        <f t="shared" si="61"/>
        <v>-0.52352297311880447</v>
      </c>
      <c r="AF411" s="5">
        <f t="shared" si="62"/>
        <v>4.4892648015614836E-3</v>
      </c>
      <c r="AG411" s="5">
        <f t="shared" si="63"/>
        <v>-0.53263493950555851</v>
      </c>
      <c r="AH411" s="5">
        <f t="shared" si="64"/>
        <v>0.65174684844685893</v>
      </c>
      <c r="AI411" s="5" t="e">
        <f t="shared" si="65"/>
        <v>#DIV/0!</v>
      </c>
      <c r="AJ411" s="5">
        <f t="shared" si="66"/>
        <v>0.65247109681749049</v>
      </c>
      <c r="AK411" s="5">
        <f t="shared" si="67"/>
        <v>-0.57025403324105273</v>
      </c>
      <c r="AL411" s="5">
        <f t="shared" si="68"/>
        <v>0.65174684844685893</v>
      </c>
      <c r="AM411" s="10">
        <f t="shared" si="69"/>
        <v>-1.2200668351128861</v>
      </c>
    </row>
    <row r="412" spans="1:39" x14ac:dyDescent="0.3">
      <c r="A412">
        <v>337</v>
      </c>
      <c r="B412" t="s">
        <v>424</v>
      </c>
      <c r="C412" t="s">
        <v>38</v>
      </c>
      <c r="D412" s="1">
        <v>29074</v>
      </c>
      <c r="E412">
        <v>3</v>
      </c>
      <c r="F412" t="s">
        <v>425</v>
      </c>
      <c r="G412" s="4">
        <v>6.1449999999999996</v>
      </c>
      <c r="H412" s="4">
        <v>6.1449999999999996</v>
      </c>
      <c r="I412" s="4">
        <v>134.89400000000001</v>
      </c>
      <c r="J412" s="4">
        <v>87.34</v>
      </c>
      <c r="K412" s="4">
        <v>277.87</v>
      </c>
      <c r="L412" s="4">
        <v>271.53199999999998</v>
      </c>
      <c r="M412" s="4">
        <v>68.957999999999998</v>
      </c>
      <c r="N412" s="4">
        <v>208.91200000000001</v>
      </c>
      <c r="O412" s="4">
        <v>6.1449999999999996</v>
      </c>
      <c r="P412" s="4">
        <v>1.66</v>
      </c>
      <c r="Q412" s="4">
        <v>29.835000000000001</v>
      </c>
      <c r="R412" s="4">
        <v>0</v>
      </c>
      <c r="S412" s="4">
        <v>417.44900000000001</v>
      </c>
      <c r="T412" s="4">
        <v>98.793000000000006</v>
      </c>
      <c r="U412" s="4">
        <v>279.52999999999997</v>
      </c>
      <c r="V412" s="4">
        <v>592.04100000000005</v>
      </c>
      <c r="W412" s="4">
        <v>983.56200000000001</v>
      </c>
      <c r="X412" s="4">
        <v>934.25900000000001</v>
      </c>
      <c r="Y412">
        <v>0.31245304618466702</v>
      </c>
      <c r="Z412">
        <v>697.34799999999996</v>
      </c>
      <c r="AA412" t="s">
        <v>40</v>
      </c>
      <c r="AB412">
        <v>1</v>
      </c>
      <c r="AC412" t="s">
        <v>33</v>
      </c>
      <c r="AD412" s="5">
        <f t="shared" si="60"/>
        <v>1.4100973988349771E-2</v>
      </c>
      <c r="AE412" s="5">
        <f t="shared" si="61"/>
        <v>4.5554287069847432E-2</v>
      </c>
      <c r="AF412" s="5">
        <f t="shared" si="62"/>
        <v>0</v>
      </c>
      <c r="AG412" s="5">
        <f t="shared" si="63"/>
        <v>0.74736879762458419</v>
      </c>
      <c r="AH412" s="5">
        <f t="shared" si="64"/>
        <v>2.8294514793558245</v>
      </c>
      <c r="AI412" s="5">
        <f t="shared" si="65"/>
        <v>52.614457831325304</v>
      </c>
      <c r="AJ412" s="5">
        <f t="shared" si="66"/>
        <v>4.0295542214101339</v>
      </c>
      <c r="AK412" s="5">
        <f t="shared" si="67"/>
        <v>0.31245304618466718</v>
      </c>
      <c r="AL412" s="5">
        <f t="shared" si="68"/>
        <v>2.8126486694401422</v>
      </c>
      <c r="AM412" s="10">
        <f t="shared" si="69"/>
        <v>0.64569771004059129</v>
      </c>
    </row>
    <row r="413" spans="1:39" x14ac:dyDescent="0.3">
      <c r="A413">
        <v>354</v>
      </c>
      <c r="B413" t="s">
        <v>434</v>
      </c>
      <c r="C413" t="s">
        <v>70</v>
      </c>
      <c r="D413" s="1">
        <v>40792</v>
      </c>
      <c r="E413">
        <v>0</v>
      </c>
      <c r="F413" t="s">
        <v>435</v>
      </c>
      <c r="G413" s="4">
        <v>-10</v>
      </c>
      <c r="H413" s="4">
        <v>-10</v>
      </c>
      <c r="I413" s="4">
        <v>58</v>
      </c>
      <c r="J413" s="4">
        <v>14.297000000000001</v>
      </c>
      <c r="K413" s="4">
        <v>175.60599999999999</v>
      </c>
      <c r="L413" s="4">
        <v>30</v>
      </c>
      <c r="M413" s="4">
        <v>205.024</v>
      </c>
      <c r="N413" s="4">
        <v>-29.417999999999999</v>
      </c>
      <c r="O413" s="4">
        <v>-10</v>
      </c>
      <c r="P413" s="4">
        <v>36.216000000000001</v>
      </c>
      <c r="Q413" s="4">
        <v>0</v>
      </c>
      <c r="R413" s="4">
        <v>0</v>
      </c>
      <c r="S413" s="4">
        <v>263.024</v>
      </c>
      <c r="T413" s="4">
        <v>205.024</v>
      </c>
      <c r="U413" s="4">
        <v>219.322</v>
      </c>
      <c r="V413" s="4">
        <v>287.322</v>
      </c>
      <c r="W413" s="4">
        <v>294.322</v>
      </c>
      <c r="X413" s="4">
        <v>294.322</v>
      </c>
      <c r="Y413">
        <v>6.5187258916114196E-2</v>
      </c>
      <c r="Z413">
        <v>273.822</v>
      </c>
      <c r="AA413" t="s">
        <v>40</v>
      </c>
      <c r="AB413">
        <v>1</v>
      </c>
      <c r="AC413" t="s">
        <v>33</v>
      </c>
      <c r="AD413" s="5">
        <f t="shared" si="60"/>
        <v>-3.9475450217509728E-2</v>
      </c>
      <c r="AE413" s="5">
        <f t="shared" si="61"/>
        <v>-0.17241379310344829</v>
      </c>
      <c r="AF413" s="5">
        <f t="shared" si="62"/>
        <v>0</v>
      </c>
      <c r="AG413" s="5">
        <f t="shared" si="63"/>
        <v>-0.1341315508704097</v>
      </c>
      <c r="AH413" s="5">
        <f t="shared" si="64"/>
        <v>1.0697381769939129</v>
      </c>
      <c r="AI413" s="5">
        <f t="shared" si="65"/>
        <v>0.39477026728517783</v>
      </c>
      <c r="AJ413" s="5">
        <f t="shared" si="66"/>
        <v>0.85651435929452158</v>
      </c>
      <c r="AK413" s="5">
        <f t="shared" si="67"/>
        <v>6.518725891611421E-2</v>
      </c>
      <c r="AL413" s="5">
        <f t="shared" si="68"/>
        <v>0.85651435929452158</v>
      </c>
      <c r="AM413" s="10">
        <f t="shared" si="69"/>
        <v>-1.9715820246107825</v>
      </c>
    </row>
    <row r="414" spans="1:39" x14ac:dyDescent="0.3">
      <c r="A414">
        <v>357</v>
      </c>
      <c r="B414" t="s">
        <v>438</v>
      </c>
      <c r="C414" t="s">
        <v>93</v>
      </c>
      <c r="D414" s="1">
        <v>40521</v>
      </c>
      <c r="E414">
        <v>1</v>
      </c>
      <c r="F414" t="s">
        <v>439</v>
      </c>
      <c r="G414" s="4">
        <v>-92.094999999999999</v>
      </c>
      <c r="H414" s="4">
        <v>-92.094999999999999</v>
      </c>
      <c r="I414" s="4">
        <v>0.43</v>
      </c>
      <c r="J414" s="4">
        <v>18.079999999999998</v>
      </c>
      <c r="K414" s="4">
        <v>201.5</v>
      </c>
      <c r="L414" s="4">
        <v>0</v>
      </c>
      <c r="M414" s="4">
        <v>186.03899999999999</v>
      </c>
      <c r="N414" s="4">
        <v>15.461</v>
      </c>
      <c r="O414" s="4">
        <v>-92.094999999999999</v>
      </c>
      <c r="P414" s="4">
        <v>6.81</v>
      </c>
      <c r="Q414" s="4">
        <v>0</v>
      </c>
      <c r="R414" s="4">
        <v>0</v>
      </c>
      <c r="S414" s="4">
        <v>265.315</v>
      </c>
      <c r="T414" s="4">
        <v>186.03899999999999</v>
      </c>
      <c r="U414" s="4">
        <v>208.31</v>
      </c>
      <c r="V414" s="4">
        <v>369.98099999999999</v>
      </c>
      <c r="W414" s="4">
        <v>431.35300000000001</v>
      </c>
      <c r="X414" s="4">
        <v>641.57500000000005</v>
      </c>
      <c r="Y414">
        <v>8.6793720896740395E-2</v>
      </c>
      <c r="Z414">
        <v>412.80475000000001</v>
      </c>
      <c r="AA414" t="s">
        <v>40</v>
      </c>
      <c r="AB414">
        <v>1</v>
      </c>
      <c r="AC414" t="s">
        <v>33</v>
      </c>
      <c r="AD414" s="5">
        <f t="shared" si="60"/>
        <v>-0.31850746423513426</v>
      </c>
      <c r="AE414" s="5">
        <f t="shared" si="61"/>
        <v>-214.17441860465115</v>
      </c>
      <c r="AF414" s="5">
        <f t="shared" si="62"/>
        <v>0</v>
      </c>
      <c r="AG414" s="5">
        <f t="shared" si="63"/>
        <v>7.4221112764629643E-2</v>
      </c>
      <c r="AH414" s="5">
        <f t="shared" si="64"/>
        <v>1.1197114583501311</v>
      </c>
      <c r="AI414" s="5">
        <f t="shared" si="65"/>
        <v>2.6549192364170335</v>
      </c>
      <c r="AJ414" s="5">
        <f t="shared" si="66"/>
        <v>1.0831062304140531</v>
      </c>
      <c r="AK414" s="5">
        <f t="shared" si="67"/>
        <v>8.6793720896740423E-2</v>
      </c>
      <c r="AL414" s="5">
        <f t="shared" si="68"/>
        <v>1.0831062304140531</v>
      </c>
      <c r="AM414" s="10">
        <f t="shared" si="69"/>
        <v>2.781191384774594E-2</v>
      </c>
    </row>
    <row r="415" spans="1:39" x14ac:dyDescent="0.3">
      <c r="A415">
        <v>376</v>
      </c>
      <c r="B415" t="s">
        <v>458</v>
      </c>
      <c r="C415" t="s">
        <v>354</v>
      </c>
      <c r="D415" s="1">
        <v>41708</v>
      </c>
      <c r="E415">
        <v>6</v>
      </c>
      <c r="F415" t="s">
        <v>459</v>
      </c>
      <c r="G415" s="4">
        <v>64.117000000000004</v>
      </c>
      <c r="H415" s="4">
        <v>73.701999999999998</v>
      </c>
      <c r="I415" s="4">
        <v>155.68</v>
      </c>
      <c r="J415" s="4">
        <v>-229.75399999999999</v>
      </c>
      <c r="K415" s="4">
        <v>111.236</v>
      </c>
      <c r="L415" s="4">
        <v>0</v>
      </c>
      <c r="M415" s="4">
        <v>369.15</v>
      </c>
      <c r="N415" s="4">
        <v>-257.91399999999999</v>
      </c>
      <c r="O415" s="4">
        <v>64.117000000000004</v>
      </c>
      <c r="P415" s="4">
        <v>28.783999999999999</v>
      </c>
      <c r="Q415" s="4">
        <v>0</v>
      </c>
      <c r="R415" s="4">
        <v>1.9079999999999999</v>
      </c>
      <c r="S415" s="4">
        <v>546.07000000000005</v>
      </c>
      <c r="T415" s="4">
        <v>369.15</v>
      </c>
      <c r="U415" s="4">
        <v>140.02099999999999</v>
      </c>
      <c r="V415" s="4">
        <v>279.13400000000001</v>
      </c>
      <c r="W415" s="4">
        <v>240.06700000000001</v>
      </c>
      <c r="X415" s="4">
        <v>126.22799999999999</v>
      </c>
      <c r="Y415">
        <v>-1.6408538719192101</v>
      </c>
      <c r="Z415">
        <v>196.36250000000001</v>
      </c>
      <c r="AA415" t="s">
        <v>40</v>
      </c>
      <c r="AB415">
        <v>1</v>
      </c>
      <c r="AC415" t="s">
        <v>33</v>
      </c>
      <c r="AD415" s="5">
        <f t="shared" si="60"/>
        <v>0.30593455881475828</v>
      </c>
      <c r="AE415" s="5">
        <f t="shared" si="61"/>
        <v>0.47341983556012329</v>
      </c>
      <c r="AF415" s="5">
        <f t="shared" si="62"/>
        <v>4.1694893031183752E-3</v>
      </c>
      <c r="AG415" s="5">
        <f t="shared" si="63"/>
        <v>-1.8419665621585335</v>
      </c>
      <c r="AH415" s="5">
        <f t="shared" si="64"/>
        <v>0.37930651496681567</v>
      </c>
      <c r="AI415" s="5">
        <f t="shared" si="65"/>
        <v>-7.9820038910505833</v>
      </c>
      <c r="AJ415" s="5">
        <f t="shared" si="66"/>
        <v>0.30133008262224031</v>
      </c>
      <c r="AK415" s="5">
        <f t="shared" si="67"/>
        <v>-1.6408538719192123</v>
      </c>
      <c r="AL415" s="5">
        <f t="shared" si="68"/>
        <v>0.30133008262224031</v>
      </c>
      <c r="AM415" s="10">
        <f t="shared" si="69"/>
        <v>-0.60361205673208906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8156-23F3-41B4-9039-0E1EF05DE3BB}">
  <dimension ref="A1:M415"/>
  <sheetViews>
    <sheetView tabSelected="1" topLeftCell="C1" workbookViewId="0">
      <selection activeCell="N7" sqref="N7"/>
    </sheetView>
  </sheetViews>
  <sheetFormatPr defaultRowHeight="15.6" x14ac:dyDescent="0.3"/>
  <cols>
    <col min="1" max="1" width="101" bestFit="1" customWidth="1"/>
    <col min="4" max="4" width="13.5" bestFit="1" customWidth="1"/>
    <col min="5" max="5" width="17.09765625" bestFit="1" customWidth="1"/>
    <col min="6" max="6" width="14.09765625" bestFit="1" customWidth="1"/>
    <col min="7" max="7" width="12.59765625" bestFit="1" customWidth="1"/>
    <col min="8" max="8" width="16.19921875" bestFit="1" customWidth="1"/>
    <col min="9" max="9" width="26.8984375" bestFit="1" customWidth="1"/>
    <col min="10" max="10" width="11.8984375" bestFit="1" customWidth="1"/>
    <col min="11" max="11" width="27.59765625" bestFit="1" customWidth="1"/>
    <col min="12" max="12" width="17.5" bestFit="1" customWidth="1"/>
    <col min="13" max="13" width="15.8984375" bestFit="1" customWidth="1"/>
  </cols>
  <sheetData>
    <row r="1" spans="1:13" x14ac:dyDescent="0.3">
      <c r="A1" s="3" t="s">
        <v>1</v>
      </c>
      <c r="B1" s="3" t="s">
        <v>28</v>
      </c>
      <c r="C1" s="3" t="s">
        <v>891</v>
      </c>
      <c r="D1" s="11" t="s">
        <v>892</v>
      </c>
      <c r="E1" s="11" t="s">
        <v>893</v>
      </c>
      <c r="F1" s="11" t="s">
        <v>894</v>
      </c>
      <c r="G1" s="7" t="s">
        <v>895</v>
      </c>
      <c r="H1" s="7" t="s">
        <v>896</v>
      </c>
      <c r="I1" s="7" t="s">
        <v>897</v>
      </c>
      <c r="J1" s="8" t="s">
        <v>898</v>
      </c>
      <c r="K1" s="8" t="s">
        <v>899</v>
      </c>
      <c r="L1" s="8" t="s">
        <v>900</v>
      </c>
      <c r="M1" s="9" t="s">
        <v>901</v>
      </c>
    </row>
    <row r="2" spans="1:13" x14ac:dyDescent="0.3">
      <c r="A2" t="s">
        <v>466</v>
      </c>
      <c r="B2" t="s">
        <v>468</v>
      </c>
      <c r="C2">
        <f>IF(B2="Attiva", 1, 0)</f>
        <v>1</v>
      </c>
      <c r="D2">
        <v>1.5500850618551547E-2</v>
      </c>
      <c r="E2">
        <v>-4.7234686369556043E-2</v>
      </c>
      <c r="F2">
        <v>1.8685303412760888E-2</v>
      </c>
      <c r="G2">
        <v>0.14382229731165991</v>
      </c>
      <c r="H2">
        <v>1.5886950936846675</v>
      </c>
      <c r="I2">
        <v>0.95869727491589807</v>
      </c>
      <c r="J2">
        <v>1.272925634799376</v>
      </c>
      <c r="K2">
        <v>0.31429207254458458</v>
      </c>
      <c r="L2">
        <v>1.0656767219715733</v>
      </c>
      <c r="M2">
        <v>3.7682076911637652</v>
      </c>
    </row>
    <row r="3" spans="1:13" x14ac:dyDescent="0.3">
      <c r="A3" t="s">
        <v>469</v>
      </c>
      <c r="B3" t="s">
        <v>468</v>
      </c>
      <c r="C3">
        <f t="shared" ref="C3:C66" si="0">IF(B3="Attiva", 1, 0)</f>
        <v>1</v>
      </c>
      <c r="D3">
        <v>3.0669006921464023E-3</v>
      </c>
      <c r="E3">
        <v>3.3970352047548787E-2</v>
      </c>
      <c r="F3">
        <v>3.8369082015712576E-2</v>
      </c>
      <c r="G3">
        <v>4.3778399107035806E-2</v>
      </c>
      <c r="H3">
        <v>1.2090253451113442</v>
      </c>
      <c r="I3">
        <v>0.51517048244082853</v>
      </c>
      <c r="J3">
        <v>1.0676900879146336</v>
      </c>
      <c r="K3">
        <v>0.15439126367681597</v>
      </c>
      <c r="L3">
        <v>0.83486338444703279</v>
      </c>
      <c r="M3">
        <v>5.9227320936152159</v>
      </c>
    </row>
    <row r="4" spans="1:13" x14ac:dyDescent="0.3">
      <c r="A4" t="s">
        <v>471</v>
      </c>
      <c r="B4" t="s">
        <v>468</v>
      </c>
      <c r="C4">
        <f t="shared" si="0"/>
        <v>1</v>
      </c>
      <c r="D4">
        <v>4.0360793093350035E-2</v>
      </c>
      <c r="E4">
        <v>0.10743777051923603</v>
      </c>
      <c r="F4">
        <v>1.2511650885976663E-2</v>
      </c>
      <c r="G4">
        <v>-6.2608778247423544E-2</v>
      </c>
      <c r="H4">
        <v>2.2943688100679793</v>
      </c>
      <c r="I4">
        <v>0.67369077244048969</v>
      </c>
      <c r="J4">
        <v>0.76213782866257584</v>
      </c>
      <c r="K4">
        <v>0.53481562423797857</v>
      </c>
      <c r="L4">
        <v>0.46026356657290202</v>
      </c>
      <c r="M4">
        <v>-15.846554944319434</v>
      </c>
    </row>
    <row r="5" spans="1:13" x14ac:dyDescent="0.3">
      <c r="A5" t="s">
        <v>473</v>
      </c>
      <c r="B5" t="s">
        <v>468</v>
      </c>
      <c r="C5">
        <f t="shared" si="0"/>
        <v>1</v>
      </c>
      <c r="D5">
        <v>2.1627243222208103E-2</v>
      </c>
      <c r="E5">
        <v>8.2790743095640953E-2</v>
      </c>
      <c r="F5">
        <v>9.9982236420587192E-3</v>
      </c>
      <c r="G5">
        <v>-0.14534891529657912</v>
      </c>
      <c r="H5">
        <v>1.2540406909012989</v>
      </c>
      <c r="I5">
        <v>0.51856709823585889</v>
      </c>
      <c r="J5">
        <v>0.77982337854929884</v>
      </c>
      <c r="K5">
        <v>0.18496517637156745</v>
      </c>
      <c r="L5">
        <v>0.64557762720936174</v>
      </c>
      <c r="M5">
        <v>-4.8363193938211646</v>
      </c>
    </row>
    <row r="6" spans="1:13" x14ac:dyDescent="0.3">
      <c r="A6" t="s">
        <v>475</v>
      </c>
      <c r="B6" t="s">
        <v>468</v>
      </c>
      <c r="C6">
        <f t="shared" si="0"/>
        <v>1</v>
      </c>
      <c r="D6">
        <v>5.9975092696797679E-4</v>
      </c>
      <c r="E6">
        <v>7.1617898410098454E-2</v>
      </c>
      <c r="F6">
        <v>3.7966230915340682E-2</v>
      </c>
      <c r="G6">
        <v>0.16926667099820242</v>
      </c>
      <c r="H6">
        <v>1.3300360644782172</v>
      </c>
      <c r="I6">
        <v>0.77847448355868176</v>
      </c>
      <c r="J6">
        <v>1.3252068548697495</v>
      </c>
      <c r="K6">
        <v>0.2296266216186949</v>
      </c>
      <c r="L6">
        <v>0.91740024657502683</v>
      </c>
      <c r="M6">
        <v>5.7492562903442499</v>
      </c>
    </row>
    <row r="7" spans="1:13" x14ac:dyDescent="0.3">
      <c r="A7" t="s">
        <v>481</v>
      </c>
      <c r="B7" t="s">
        <v>468</v>
      </c>
      <c r="C7">
        <f t="shared" si="0"/>
        <v>1</v>
      </c>
      <c r="D7">
        <v>6.0877927407074685E-2</v>
      </c>
      <c r="E7">
        <v>5.4627735320041795E-2</v>
      </c>
      <c r="F7">
        <v>4.2858007838150027E-3</v>
      </c>
      <c r="G7">
        <v>0.34256707566930644</v>
      </c>
      <c r="H7">
        <v>1.7653434039824607</v>
      </c>
      <c r="I7">
        <v>4.9084560965004806</v>
      </c>
      <c r="J7">
        <v>1.6047485274543707</v>
      </c>
      <c r="K7">
        <v>0.42831775292009155</v>
      </c>
      <c r="L7">
        <v>1.6047485274543707</v>
      </c>
      <c r="M7">
        <v>1.7869840231369454</v>
      </c>
    </row>
    <row r="8" spans="1:13" x14ac:dyDescent="0.3">
      <c r="A8" t="s">
        <v>487</v>
      </c>
      <c r="B8" t="s">
        <v>468</v>
      </c>
      <c r="C8">
        <f t="shared" si="0"/>
        <v>1</v>
      </c>
      <c r="D8">
        <v>1.1194994577144238E-2</v>
      </c>
      <c r="E8">
        <v>0.1050432972493214</v>
      </c>
      <c r="F8">
        <v>3.1550328235880228E-2</v>
      </c>
      <c r="G8">
        <v>0.19810906112589774</v>
      </c>
      <c r="H8">
        <v>1.5724673348951113</v>
      </c>
      <c r="I8">
        <v>0.90842053641707021</v>
      </c>
      <c r="J8">
        <v>1.3852997168748591</v>
      </c>
      <c r="K8">
        <v>0.25092340647871214</v>
      </c>
      <c r="L8">
        <v>1.1200335396374319</v>
      </c>
      <c r="M8">
        <v>5.1839803061234875</v>
      </c>
    </row>
    <row r="9" spans="1:13" x14ac:dyDescent="0.3">
      <c r="A9" t="s">
        <v>489</v>
      </c>
      <c r="B9" t="s">
        <v>468</v>
      </c>
      <c r="C9">
        <f t="shared" si="0"/>
        <v>1</v>
      </c>
      <c r="D9">
        <v>4.099018344711854E-3</v>
      </c>
      <c r="E9">
        <v>8.5526663764377522E-2</v>
      </c>
      <c r="F9">
        <v>4.1088166506517761E-2</v>
      </c>
      <c r="G9">
        <v>0.11347858911596595</v>
      </c>
      <c r="H9">
        <v>1.1663712508817878</v>
      </c>
      <c r="I9">
        <v>0.81394099515631879</v>
      </c>
      <c r="J9">
        <v>1.1568858868440983</v>
      </c>
      <c r="K9">
        <v>0.12850145362377074</v>
      </c>
      <c r="L9">
        <v>0.97601699519172291</v>
      </c>
      <c r="M9">
        <v>6.0227645862432304</v>
      </c>
    </row>
    <row r="10" spans="1:13" x14ac:dyDescent="0.3">
      <c r="A10" t="s">
        <v>491</v>
      </c>
      <c r="B10" t="s">
        <v>468</v>
      </c>
      <c r="C10">
        <f t="shared" si="0"/>
        <v>1</v>
      </c>
      <c r="D10">
        <v>4.7266974507933742E-3</v>
      </c>
      <c r="E10">
        <v>3.0764021874646063E-2</v>
      </c>
      <c r="F10">
        <v>2.9705379743839647E-2</v>
      </c>
      <c r="G10">
        <v>0.24068774359824666</v>
      </c>
      <c r="H10">
        <v>1.1933619820311618</v>
      </c>
      <c r="I10">
        <v>2.4192960176853635</v>
      </c>
      <c r="J10">
        <v>1.3462216739795525</v>
      </c>
      <c r="K10">
        <v>0.12854624990574745</v>
      </c>
      <c r="L10">
        <v>1.1168336740565739</v>
      </c>
      <c r="M10">
        <v>5.7240802911433937</v>
      </c>
    </row>
    <row r="11" spans="1:13" x14ac:dyDescent="0.3">
      <c r="A11" t="s">
        <v>495</v>
      </c>
      <c r="B11" t="s">
        <v>468</v>
      </c>
      <c r="C11">
        <f t="shared" si="0"/>
        <v>1</v>
      </c>
      <c r="D11">
        <v>1.4456987359794495E-4</v>
      </c>
      <c r="E11">
        <v>0.11624320016913521</v>
      </c>
      <c r="F11">
        <v>4.5464215756132138E-2</v>
      </c>
      <c r="G11">
        <v>0.2099771719482165</v>
      </c>
      <c r="H11">
        <v>1.563200705943699</v>
      </c>
      <c r="I11">
        <v>0.90358460850457656</v>
      </c>
      <c r="J11">
        <v>1.3892743116173989</v>
      </c>
      <c r="K11">
        <v>0.21602968947678722</v>
      </c>
      <c r="L11">
        <v>1.1714373981498316</v>
      </c>
      <c r="M11">
        <v>2.8455655297382316</v>
      </c>
    </row>
    <row r="12" spans="1:13" x14ac:dyDescent="0.3">
      <c r="A12" t="s">
        <v>499</v>
      </c>
      <c r="B12" t="s">
        <v>468</v>
      </c>
      <c r="C12">
        <f t="shared" si="0"/>
        <v>1</v>
      </c>
      <c r="D12">
        <v>4.2261785314822962E-3</v>
      </c>
      <c r="E12">
        <v>5.9444808049771015E-2</v>
      </c>
      <c r="F12">
        <v>4.4721891311989545E-2</v>
      </c>
      <c r="G12">
        <v>1.2651026657590518E-2</v>
      </c>
      <c r="H12">
        <v>1.0968099236375848</v>
      </c>
      <c r="I12">
        <v>0.63114326628269413</v>
      </c>
      <c r="J12">
        <v>1.0146065134207543</v>
      </c>
      <c r="K12">
        <v>7.6082763160433955E-2</v>
      </c>
      <c r="L12">
        <v>0.9638472796721228</v>
      </c>
      <c r="M12">
        <v>52.84753129740524</v>
      </c>
    </row>
    <row r="13" spans="1:13" x14ac:dyDescent="0.3">
      <c r="A13" t="s">
        <v>503</v>
      </c>
      <c r="B13" t="s">
        <v>468</v>
      </c>
      <c r="C13">
        <f t="shared" si="0"/>
        <v>1</v>
      </c>
      <c r="D13">
        <v>0.15760678035692649</v>
      </c>
      <c r="E13">
        <v>0.26576881182317486</v>
      </c>
      <c r="F13">
        <v>1.1455887116280556E-2</v>
      </c>
      <c r="G13">
        <v>0.17363222592495797</v>
      </c>
      <c r="H13">
        <v>3.1984176674587239</v>
      </c>
      <c r="I13">
        <v>1.2396723617816914</v>
      </c>
      <c r="J13">
        <v>1.5651811596084526</v>
      </c>
      <c r="K13">
        <v>0.6434186129024364</v>
      </c>
      <c r="L13">
        <v>1.5379508058839835</v>
      </c>
      <c r="M13">
        <v>5.1575425588865187</v>
      </c>
    </row>
    <row r="14" spans="1:13" x14ac:dyDescent="0.3">
      <c r="A14" t="s">
        <v>505</v>
      </c>
      <c r="B14" t="s">
        <v>468</v>
      </c>
      <c r="C14">
        <f t="shared" si="0"/>
        <v>1</v>
      </c>
      <c r="D14">
        <v>6.7598243407418879E-2</v>
      </c>
      <c r="E14">
        <v>0.11236281763986697</v>
      </c>
      <c r="F14">
        <v>6.3266557624410535E-3</v>
      </c>
      <c r="G14">
        <v>0.16749652630307563</v>
      </c>
      <c r="H14">
        <v>1.2024749872066094</v>
      </c>
      <c r="I14">
        <v>2.6825100883879265</v>
      </c>
      <c r="J14">
        <v>1.216588518127987</v>
      </c>
      <c r="K14">
        <v>0.15707239039215834</v>
      </c>
      <c r="L14">
        <v>1.1313321772590959</v>
      </c>
      <c r="M14">
        <v>3.2399375336221619</v>
      </c>
    </row>
    <row r="15" spans="1:13" x14ac:dyDescent="0.3">
      <c r="A15" t="s">
        <v>507</v>
      </c>
      <c r="B15" t="s">
        <v>468</v>
      </c>
      <c r="C15">
        <f t="shared" si="0"/>
        <v>1</v>
      </c>
      <c r="D15">
        <v>4.3315778256727458E-2</v>
      </c>
      <c r="E15">
        <v>0.17469548937966631</v>
      </c>
      <c r="F15">
        <v>2.4503677620160643E-2</v>
      </c>
      <c r="G15">
        <v>0.25175048741453315</v>
      </c>
      <c r="H15">
        <v>1.3118695853470708</v>
      </c>
      <c r="I15">
        <v>0.49349475939739385</v>
      </c>
      <c r="J15">
        <v>1.7922857912821424</v>
      </c>
      <c r="K15">
        <v>0.20548531520546642</v>
      </c>
      <c r="L15">
        <v>0.74711314545043117</v>
      </c>
      <c r="M15">
        <v>2.9461991808070214</v>
      </c>
    </row>
    <row r="16" spans="1:13" x14ac:dyDescent="0.3">
      <c r="A16" t="s">
        <v>509</v>
      </c>
      <c r="B16" t="s">
        <v>468</v>
      </c>
      <c r="C16">
        <f t="shared" si="0"/>
        <v>1</v>
      </c>
      <c r="D16">
        <v>1.9052842329780266E-2</v>
      </c>
      <c r="E16">
        <v>5.8117461457158612E-2</v>
      </c>
      <c r="F16">
        <v>1.7362076519342393E-2</v>
      </c>
      <c r="G16">
        <v>0.25851733681762168</v>
      </c>
      <c r="H16">
        <v>1.5561411194716956</v>
      </c>
      <c r="I16">
        <v>1.5348712521402055</v>
      </c>
      <c r="J16">
        <v>1.472210289931595</v>
      </c>
      <c r="K16">
        <v>0.24462408274125799</v>
      </c>
      <c r="L16">
        <v>1.2542180721305221</v>
      </c>
      <c r="M16">
        <v>4.7186272743085365</v>
      </c>
    </row>
    <row r="17" spans="1:13" x14ac:dyDescent="0.3">
      <c r="A17" t="s">
        <v>511</v>
      </c>
      <c r="B17" t="s">
        <v>468</v>
      </c>
      <c r="C17">
        <f t="shared" si="0"/>
        <v>1</v>
      </c>
      <c r="D17">
        <v>6.3739768517650869E-2</v>
      </c>
      <c r="E17">
        <v>9.2993001217813481E-2</v>
      </c>
      <c r="F17">
        <v>1.5640618548758253E-3</v>
      </c>
      <c r="G17">
        <v>9.7152523999955442E-2</v>
      </c>
      <c r="H17">
        <v>1.5108257216925349</v>
      </c>
      <c r="I17">
        <v>1.2852180599996561</v>
      </c>
      <c r="J17">
        <v>1.1467805321864839</v>
      </c>
      <c r="K17">
        <v>0.30671062863170956</v>
      </c>
      <c r="L17">
        <v>1.1467805321864839</v>
      </c>
      <c r="M17">
        <v>4.5837947285184724</v>
      </c>
    </row>
    <row r="18" spans="1:13" x14ac:dyDescent="0.3">
      <c r="A18" t="s">
        <v>513</v>
      </c>
      <c r="B18" t="s">
        <v>468</v>
      </c>
      <c r="C18">
        <f t="shared" si="0"/>
        <v>1</v>
      </c>
      <c r="D18">
        <v>3.1820542656225289E-3</v>
      </c>
      <c r="E18">
        <v>5.9666151701361029E-3</v>
      </c>
      <c r="F18">
        <v>1.8008937312805417E-4</v>
      </c>
      <c r="G18">
        <v>0.30107003004759531</v>
      </c>
      <c r="H18">
        <v>1.2056156190807723</v>
      </c>
      <c r="I18">
        <v>2.8675752427399002</v>
      </c>
      <c r="J18">
        <v>1.464088573310798</v>
      </c>
      <c r="K18">
        <v>0.13063454513464867</v>
      </c>
      <c r="L18">
        <v>1.1450985568818004</v>
      </c>
      <c r="M18">
        <v>4.6699808894460579</v>
      </c>
    </row>
    <row r="19" spans="1:13" x14ac:dyDescent="0.3">
      <c r="A19" t="s">
        <v>519</v>
      </c>
      <c r="B19" t="s">
        <v>468</v>
      </c>
      <c r="C19">
        <f t="shared" si="0"/>
        <v>1</v>
      </c>
      <c r="D19">
        <v>2.9695843313961762E-2</v>
      </c>
      <c r="E19">
        <v>4.5104374851427619E-2</v>
      </c>
      <c r="F19">
        <v>2.5771478367849088E-2</v>
      </c>
      <c r="G19">
        <v>0.36771262690253564</v>
      </c>
      <c r="H19">
        <v>1.6744704421095036</v>
      </c>
      <c r="I19">
        <v>0.97750304785126485</v>
      </c>
      <c r="J19">
        <v>1.8973746783173675</v>
      </c>
      <c r="K19">
        <v>0.20575050921396609</v>
      </c>
      <c r="L19">
        <v>1.3018631038302728</v>
      </c>
      <c r="M19">
        <v>2.476986991462125</v>
      </c>
    </row>
    <row r="20" spans="1:13" x14ac:dyDescent="0.3">
      <c r="A20" t="s">
        <v>521</v>
      </c>
      <c r="B20" t="s">
        <v>468</v>
      </c>
      <c r="C20">
        <f t="shared" si="0"/>
        <v>1</v>
      </c>
      <c r="D20">
        <v>3.5052438805761983E-2</v>
      </c>
      <c r="E20">
        <v>3.385158581617137E-2</v>
      </c>
      <c r="F20">
        <v>2.6589974049611178E-3</v>
      </c>
      <c r="G20">
        <v>0.12773364299478779</v>
      </c>
      <c r="H20">
        <v>1.2044512472313167</v>
      </c>
      <c r="I20">
        <v>3.251943820574891</v>
      </c>
      <c r="J20">
        <v>1.1554110030259097</v>
      </c>
      <c r="K20">
        <v>0.15842708727367158</v>
      </c>
      <c r="L20">
        <v>1.1437978078159736</v>
      </c>
      <c r="M20">
        <v>15.593700599105631</v>
      </c>
    </row>
    <row r="21" spans="1:13" x14ac:dyDescent="0.3">
      <c r="A21" t="s">
        <v>523</v>
      </c>
      <c r="B21" t="s">
        <v>468</v>
      </c>
      <c r="C21">
        <f t="shared" si="0"/>
        <v>1</v>
      </c>
      <c r="D21">
        <v>7.6121531115187199E-2</v>
      </c>
      <c r="E21">
        <v>4.4400594520948224E-2</v>
      </c>
      <c r="F21">
        <v>2.2682697053584959E-4</v>
      </c>
      <c r="G21">
        <v>0.22011814906613794</v>
      </c>
      <c r="H21">
        <v>1.3132829713810619</v>
      </c>
      <c r="I21">
        <v>11.730329244893179</v>
      </c>
      <c r="J21">
        <v>1.2890995357517769</v>
      </c>
      <c r="K21">
        <v>0.20657717617993074</v>
      </c>
      <c r="L21">
        <v>1.2890009072554296</v>
      </c>
      <c r="M21">
        <v>6.7203850647853711</v>
      </c>
    </row>
    <row r="22" spans="1:13" x14ac:dyDescent="0.3">
      <c r="A22" t="s">
        <v>525</v>
      </c>
      <c r="B22" t="s">
        <v>468</v>
      </c>
      <c r="C22">
        <f t="shared" si="0"/>
        <v>1</v>
      </c>
      <c r="D22">
        <v>1.5158239937017648E-2</v>
      </c>
      <c r="E22">
        <v>4.7231822954292957E-2</v>
      </c>
      <c r="F22">
        <v>1.4668488601086344E-2</v>
      </c>
      <c r="G22">
        <v>0.15426291691285893</v>
      </c>
      <c r="H22">
        <v>1.1322878280346222</v>
      </c>
      <c r="I22">
        <v>1.6569959879213025</v>
      </c>
      <c r="J22">
        <v>1.1958442469521693</v>
      </c>
      <c r="K22">
        <v>8.8444696179528076E-2</v>
      </c>
      <c r="L22">
        <v>1.0665523523652514</v>
      </c>
      <c r="M22">
        <v>4.6732828922927387</v>
      </c>
    </row>
    <row r="23" spans="1:13" x14ac:dyDescent="0.3">
      <c r="A23" t="s">
        <v>527</v>
      </c>
      <c r="B23" t="s">
        <v>468</v>
      </c>
      <c r="C23">
        <f t="shared" si="0"/>
        <v>1</v>
      </c>
      <c r="D23">
        <v>3.5150136414022648E-2</v>
      </c>
      <c r="E23">
        <v>8.3863087354563187E-2</v>
      </c>
      <c r="F23">
        <v>1.3854278947603198E-2</v>
      </c>
      <c r="G23">
        <v>0.12552186265201523</v>
      </c>
      <c r="H23">
        <v>1.3457993294353299</v>
      </c>
      <c r="I23">
        <v>1.8556935430347061</v>
      </c>
      <c r="J23">
        <v>1.1694298629191544</v>
      </c>
      <c r="K23">
        <v>0.24365808999914151</v>
      </c>
      <c r="L23">
        <v>1.1659606757626293</v>
      </c>
      <c r="M23">
        <v>5.871152882882031</v>
      </c>
    </row>
    <row r="24" spans="1:13" x14ac:dyDescent="0.3">
      <c r="A24" t="s">
        <v>529</v>
      </c>
      <c r="B24" t="s">
        <v>468</v>
      </c>
      <c r="C24">
        <f t="shared" si="0"/>
        <v>1</v>
      </c>
      <c r="D24">
        <v>3.9314080693283231E-2</v>
      </c>
      <c r="E24">
        <v>0.14292412642760641</v>
      </c>
      <c r="F24">
        <v>7.9651703812109887E-3</v>
      </c>
      <c r="G24">
        <v>0.68228804801822807</v>
      </c>
      <c r="H24">
        <v>1.3618283792511818</v>
      </c>
      <c r="I24">
        <v>6.1298818301790021</v>
      </c>
      <c r="J24">
        <v>3.4860712655031301</v>
      </c>
      <c r="K24">
        <v>0.24874678587559762</v>
      </c>
      <c r="L24">
        <v>1.3029052408618449</v>
      </c>
      <c r="M24">
        <v>0.65956249823221746</v>
      </c>
    </row>
    <row r="25" spans="1:13" x14ac:dyDescent="0.3">
      <c r="A25" t="s">
        <v>531</v>
      </c>
      <c r="B25" t="s">
        <v>468</v>
      </c>
      <c r="C25">
        <f t="shared" si="0"/>
        <v>1</v>
      </c>
      <c r="D25">
        <v>1.8317321092515507E-2</v>
      </c>
      <c r="E25">
        <v>5.7341739645396184E-2</v>
      </c>
      <c r="F25">
        <v>3.9859309672275805E-3</v>
      </c>
      <c r="G25">
        <v>0.91016994858274369</v>
      </c>
      <c r="H25">
        <v>11.396547654014027</v>
      </c>
      <c r="I25">
        <v>426.26938344854045</v>
      </c>
      <c r="J25">
        <v>13.953885457695153</v>
      </c>
      <c r="K25">
        <v>0.85348765094769319</v>
      </c>
      <c r="L25">
        <v>11.173542985371274</v>
      </c>
      <c r="M25">
        <v>0.27591994584357554</v>
      </c>
    </row>
    <row r="26" spans="1:13" x14ac:dyDescent="0.3">
      <c r="A26" t="s">
        <v>537</v>
      </c>
      <c r="B26" t="s">
        <v>468</v>
      </c>
      <c r="C26">
        <f t="shared" si="0"/>
        <v>1</v>
      </c>
      <c r="D26">
        <v>5.0752526326453593E-2</v>
      </c>
      <c r="E26">
        <v>4.1721291702937688E-2</v>
      </c>
      <c r="F26">
        <v>3.7448051151476709E-2</v>
      </c>
      <c r="G26">
        <v>0.10653917535843364</v>
      </c>
      <c r="H26">
        <v>1.7052996679610142</v>
      </c>
      <c r="I26">
        <v>0.97630686017603974</v>
      </c>
      <c r="J26">
        <v>1.2120413532697683</v>
      </c>
      <c r="K26">
        <v>0.37848964042675581</v>
      </c>
      <c r="L26">
        <v>1.0385009753876564</v>
      </c>
      <c r="M26">
        <v>1.9426458303620546</v>
      </c>
    </row>
    <row r="27" spans="1:13" x14ac:dyDescent="0.3">
      <c r="A27" t="s">
        <v>539</v>
      </c>
      <c r="B27" t="s">
        <v>468</v>
      </c>
      <c r="C27">
        <f t="shared" si="0"/>
        <v>1</v>
      </c>
      <c r="D27">
        <v>3.4218741049115022E-2</v>
      </c>
      <c r="E27">
        <v>0.69296532940373301</v>
      </c>
      <c r="F27">
        <v>1.4761382876416339E-2</v>
      </c>
      <c r="G27">
        <v>-1.5838917890184246E-3</v>
      </c>
      <c r="H27">
        <v>1.4781897089345064</v>
      </c>
      <c r="I27">
        <v>0.32621799968888343</v>
      </c>
      <c r="J27">
        <v>0.98235319575546942</v>
      </c>
      <c r="K27">
        <v>0.29728707002414279</v>
      </c>
      <c r="L27">
        <v>0.13033386552851095</v>
      </c>
      <c r="M27">
        <v>-61.760141736550217</v>
      </c>
    </row>
    <row r="28" spans="1:13" x14ac:dyDescent="0.3">
      <c r="A28" t="s">
        <v>541</v>
      </c>
      <c r="B28" t="s">
        <v>468</v>
      </c>
      <c r="C28">
        <f t="shared" si="0"/>
        <v>1</v>
      </c>
      <c r="D28">
        <v>7.4393946924331406E-2</v>
      </c>
      <c r="E28">
        <v>0.14043279447185572</v>
      </c>
      <c r="F28">
        <v>1.7076530808217964E-2</v>
      </c>
      <c r="G28">
        <v>0.16415983501350331</v>
      </c>
      <c r="H28">
        <v>1.167567603720165</v>
      </c>
      <c r="I28">
        <v>2.4005112185452173</v>
      </c>
      <c r="J28">
        <v>1.2110409090443006</v>
      </c>
      <c r="K28">
        <v>0.13384044796279643</v>
      </c>
      <c r="L28">
        <v>1.0998693712204699</v>
      </c>
      <c r="M28">
        <v>4.3581184230458554</v>
      </c>
    </row>
    <row r="29" spans="1:13" x14ac:dyDescent="0.3">
      <c r="A29" t="s">
        <v>545</v>
      </c>
      <c r="B29" t="s">
        <v>468</v>
      </c>
      <c r="C29">
        <f t="shared" si="0"/>
        <v>1</v>
      </c>
      <c r="D29">
        <v>2.0277057469528723E-2</v>
      </c>
      <c r="E29">
        <v>3.3965015266346182E-2</v>
      </c>
      <c r="F29">
        <v>1.8714635470842924E-2</v>
      </c>
      <c r="G29">
        <v>0.1477789535245074</v>
      </c>
      <c r="H29">
        <v>1.1782229489545184</v>
      </c>
      <c r="I29">
        <v>2.4429579731208948</v>
      </c>
      <c r="J29">
        <v>1.1880744393640197</v>
      </c>
      <c r="K29">
        <v>0.14811159581820671</v>
      </c>
      <c r="L29">
        <v>1.0999018711430468</v>
      </c>
      <c r="M29">
        <v>6.5957238596568848</v>
      </c>
    </row>
    <row r="30" spans="1:13" x14ac:dyDescent="0.3">
      <c r="A30" t="s">
        <v>547</v>
      </c>
      <c r="B30" t="s">
        <v>468</v>
      </c>
      <c r="C30">
        <f t="shared" si="0"/>
        <v>1</v>
      </c>
      <c r="D30">
        <v>4.041550092162117E-3</v>
      </c>
      <c r="E30">
        <v>2.430468725259053E-2</v>
      </c>
      <c r="F30">
        <v>1.144890890280029E-2</v>
      </c>
      <c r="G30">
        <v>-0.20469034842636008</v>
      </c>
      <c r="H30">
        <v>1.5199526197668427</v>
      </c>
      <c r="I30">
        <v>0.54429843774050046</v>
      </c>
      <c r="J30">
        <v>0.65418614468430836</v>
      </c>
      <c r="K30">
        <v>0.33270825396087106</v>
      </c>
      <c r="L30">
        <v>0.58855407042798591</v>
      </c>
      <c r="M30">
        <v>-4.7476231014124117</v>
      </c>
    </row>
    <row r="31" spans="1:13" x14ac:dyDescent="0.3">
      <c r="A31" t="s">
        <v>549</v>
      </c>
      <c r="B31" t="s">
        <v>468</v>
      </c>
      <c r="C31">
        <f t="shared" si="0"/>
        <v>1</v>
      </c>
      <c r="D31">
        <v>-7.7408695688637565E-3</v>
      </c>
      <c r="E31">
        <v>0.16337565947076174</v>
      </c>
      <c r="F31">
        <v>4.6444020799422378E-2</v>
      </c>
      <c r="G31">
        <v>-1.9801492780350739E-2</v>
      </c>
      <c r="H31">
        <v>1.4263160168951399</v>
      </c>
      <c r="I31">
        <v>0.66738238333651057</v>
      </c>
      <c r="J31">
        <v>0.96898447741009408</v>
      </c>
      <c r="K31">
        <v>0.2518868031703595</v>
      </c>
      <c r="L31">
        <v>0.88237136900325153</v>
      </c>
      <c r="M31">
        <v>-27.621724995218973</v>
      </c>
    </row>
    <row r="32" spans="1:13" x14ac:dyDescent="0.3">
      <c r="A32" t="s">
        <v>571</v>
      </c>
      <c r="B32" t="s">
        <v>468</v>
      </c>
      <c r="C32">
        <f t="shared" si="0"/>
        <v>1</v>
      </c>
      <c r="D32">
        <v>5.8706534626869443E-3</v>
      </c>
      <c r="E32">
        <v>1.5880364967497892E-2</v>
      </c>
      <c r="F32">
        <v>7.4591929697106265E-5</v>
      </c>
      <c r="G32">
        <v>0.14450109047259938</v>
      </c>
      <c r="H32">
        <v>1.2844951347647984</v>
      </c>
      <c r="I32">
        <v>2.5469834343434341</v>
      </c>
      <c r="J32">
        <v>1.1872227505717112</v>
      </c>
      <c r="K32">
        <v>0.19566502688127319</v>
      </c>
      <c r="L32">
        <v>1.1770019357598216</v>
      </c>
      <c r="M32">
        <v>20.506363330171432</v>
      </c>
    </row>
    <row r="33" spans="1:13" x14ac:dyDescent="0.3">
      <c r="A33" t="s">
        <v>573</v>
      </c>
      <c r="B33" t="s">
        <v>468</v>
      </c>
      <c r="C33">
        <f t="shared" si="0"/>
        <v>1</v>
      </c>
      <c r="D33">
        <v>3.2933951099981131E-2</v>
      </c>
      <c r="E33">
        <v>2.5113732216738082E-2</v>
      </c>
      <c r="F33">
        <v>1.1729586135833012E-2</v>
      </c>
      <c r="G33">
        <v>7.0193954230628117E-2</v>
      </c>
      <c r="H33">
        <v>1.1465745705426431</v>
      </c>
      <c r="I33">
        <v>2.3749361977678745</v>
      </c>
      <c r="J33">
        <v>1.0853604044996668</v>
      </c>
      <c r="K33">
        <v>8.0384551218960001E-2</v>
      </c>
      <c r="L33">
        <v>1.0233389939948108</v>
      </c>
      <c r="M33">
        <v>40.305060152447417</v>
      </c>
    </row>
    <row r="34" spans="1:13" x14ac:dyDescent="0.3">
      <c r="A34" t="s">
        <v>575</v>
      </c>
      <c r="B34" t="s">
        <v>468</v>
      </c>
      <c r="C34">
        <f t="shared" si="0"/>
        <v>1</v>
      </c>
      <c r="D34">
        <v>6.7751746474430552E-2</v>
      </c>
      <c r="E34">
        <v>4.6555420983643792E-2</v>
      </c>
      <c r="F34">
        <v>2.1327743993528131E-2</v>
      </c>
      <c r="G34">
        <v>8.7700613438037325E-2</v>
      </c>
      <c r="H34">
        <v>1.1794441728898035</v>
      </c>
      <c r="I34">
        <v>1.7471987861188503</v>
      </c>
      <c r="J34">
        <v>1.1048001456403289</v>
      </c>
      <c r="K34">
        <v>0.11614818720738301</v>
      </c>
      <c r="L34">
        <v>1.0904402077362236</v>
      </c>
      <c r="M34">
        <v>20.4629979594791</v>
      </c>
    </row>
    <row r="35" spans="1:13" x14ac:dyDescent="0.3">
      <c r="A35" t="s">
        <v>577</v>
      </c>
      <c r="B35" t="s">
        <v>468</v>
      </c>
      <c r="C35">
        <f t="shared" si="0"/>
        <v>1</v>
      </c>
      <c r="D35">
        <v>2.9698389361067626E-2</v>
      </c>
      <c r="E35">
        <v>2.8431413932327929E-2</v>
      </c>
      <c r="F35">
        <v>6.330607121248613E-3</v>
      </c>
      <c r="G35">
        <v>0.3012306961199907</v>
      </c>
      <c r="H35">
        <v>1.5917277443050784</v>
      </c>
      <c r="I35">
        <v>4.6150195025581278</v>
      </c>
      <c r="J35">
        <v>1.4794772564505214</v>
      </c>
      <c r="K35">
        <v>0.23504327417849752</v>
      </c>
      <c r="L35">
        <v>1.4794772564505214</v>
      </c>
      <c r="M35">
        <v>8.4811904761904771</v>
      </c>
    </row>
    <row r="36" spans="1:13" x14ac:dyDescent="0.3">
      <c r="A36" t="s">
        <v>579</v>
      </c>
      <c r="B36" t="s">
        <v>468</v>
      </c>
      <c r="C36">
        <f t="shared" si="0"/>
        <v>1</v>
      </c>
      <c r="D36">
        <v>1.839305177857993E-2</v>
      </c>
      <c r="E36">
        <v>1.7490996745701416E-2</v>
      </c>
      <c r="F36">
        <v>5.9226259721337554E-3</v>
      </c>
      <c r="G36">
        <v>0.2632485717991665</v>
      </c>
      <c r="H36">
        <v>1.4608960007250062</v>
      </c>
      <c r="I36">
        <v>1.0464886144843981</v>
      </c>
      <c r="J36">
        <v>1.5565116313726661</v>
      </c>
      <c r="K36">
        <v>0.27433580906942778</v>
      </c>
      <c r="L36">
        <v>1.0756313425181201</v>
      </c>
      <c r="M36">
        <v>17.162683833374391</v>
      </c>
    </row>
    <row r="37" spans="1:13" x14ac:dyDescent="0.3">
      <c r="A37" t="s">
        <v>581</v>
      </c>
      <c r="B37" t="s">
        <v>468</v>
      </c>
      <c r="C37">
        <f t="shared" si="0"/>
        <v>1</v>
      </c>
      <c r="D37">
        <v>0.10110176717519608</v>
      </c>
      <c r="E37">
        <v>7.0875422843773392E-2</v>
      </c>
      <c r="F37">
        <v>3.560056376259331E-2</v>
      </c>
      <c r="G37">
        <v>0.51918113318704884</v>
      </c>
      <c r="H37">
        <v>1.7716847446369273</v>
      </c>
      <c r="I37">
        <v>4.3909282866435841</v>
      </c>
      <c r="J37">
        <v>2.2567369914014717</v>
      </c>
      <c r="K37">
        <v>0.15325749334361155</v>
      </c>
      <c r="L37">
        <v>1.6517408012807384</v>
      </c>
      <c r="M37">
        <v>4.2229575552381453</v>
      </c>
    </row>
    <row r="38" spans="1:13" x14ac:dyDescent="0.3">
      <c r="A38" t="s">
        <v>583</v>
      </c>
      <c r="B38" t="s">
        <v>468</v>
      </c>
      <c r="C38">
        <f t="shared" si="0"/>
        <v>1</v>
      </c>
      <c r="D38">
        <v>5.7640897599610524E-2</v>
      </c>
      <c r="E38">
        <v>5.1255309349122008E-2</v>
      </c>
      <c r="F38">
        <v>3.3076446198733948E-2</v>
      </c>
      <c r="G38">
        <v>0.19260583427930844</v>
      </c>
      <c r="H38">
        <v>1.1778074775824035</v>
      </c>
      <c r="I38">
        <v>0.96913872417369107</v>
      </c>
      <c r="J38">
        <v>1.2695942066289152</v>
      </c>
      <c r="K38">
        <v>8.0554641997050688E-2</v>
      </c>
      <c r="L38">
        <v>1.068312038156902</v>
      </c>
      <c r="M38">
        <v>10.424193740877085</v>
      </c>
    </row>
    <row r="39" spans="1:13" x14ac:dyDescent="0.3">
      <c r="A39" t="s">
        <v>585</v>
      </c>
      <c r="B39" t="s">
        <v>468</v>
      </c>
      <c r="C39">
        <f t="shared" si="0"/>
        <v>1</v>
      </c>
      <c r="D39">
        <v>1.1954331810642063E-4</v>
      </c>
      <c r="E39">
        <v>1.0021128590490504E-2</v>
      </c>
      <c r="F39">
        <v>1.263602747683E-2</v>
      </c>
      <c r="G39">
        <v>1.521784406256191E-2</v>
      </c>
      <c r="H39">
        <v>1.0250008656178415</v>
      </c>
      <c r="I39">
        <v>2.096180437492916</v>
      </c>
      <c r="J39">
        <v>1.0156372500404529</v>
      </c>
      <c r="K39">
        <v>2.348687652709272E-2</v>
      </c>
      <c r="L39">
        <v>1.0131076669789834</v>
      </c>
      <c r="M39">
        <v>146.50766072501503</v>
      </c>
    </row>
    <row r="40" spans="1:13" x14ac:dyDescent="0.3">
      <c r="A40" t="s">
        <v>587</v>
      </c>
      <c r="B40" t="s">
        <v>468</v>
      </c>
      <c r="C40">
        <f t="shared" si="0"/>
        <v>1</v>
      </c>
      <c r="D40">
        <v>5.1944278197106244E-2</v>
      </c>
      <c r="E40">
        <v>9.9574861583595214E-2</v>
      </c>
      <c r="F40">
        <v>7.2167934182157514E-2</v>
      </c>
      <c r="G40">
        <v>0.328577079805707</v>
      </c>
      <c r="H40">
        <v>1.4449003588850728</v>
      </c>
      <c r="I40">
        <v>1.7452142747582022</v>
      </c>
      <c r="J40">
        <v>1.6366824456993259</v>
      </c>
      <c r="K40">
        <v>0.25382790326325788</v>
      </c>
      <c r="L40">
        <v>1.2204407862329778</v>
      </c>
      <c r="M40">
        <v>4.4239295806298919</v>
      </c>
    </row>
    <row r="41" spans="1:13" x14ac:dyDescent="0.3">
      <c r="A41" t="s">
        <v>589</v>
      </c>
      <c r="B41" t="s">
        <v>468</v>
      </c>
      <c r="C41">
        <f t="shared" si="0"/>
        <v>1</v>
      </c>
      <c r="D41">
        <v>5.9741060212315693E-4</v>
      </c>
      <c r="E41">
        <v>3.7213164473471116E-2</v>
      </c>
      <c r="F41">
        <v>5.3308666447238244E-2</v>
      </c>
      <c r="G41">
        <v>0.14754632844037824</v>
      </c>
      <c r="H41">
        <v>1.166824393111656</v>
      </c>
      <c r="I41">
        <v>0.64729235496458237</v>
      </c>
      <c r="J41">
        <v>1.2175160753773568</v>
      </c>
      <c r="K41">
        <v>0.10969748265755663</v>
      </c>
      <c r="L41">
        <v>0.96364539868943666</v>
      </c>
      <c r="M41">
        <v>22.09783375367309</v>
      </c>
    </row>
    <row r="42" spans="1:13" x14ac:dyDescent="0.3">
      <c r="A42" t="s">
        <v>591</v>
      </c>
      <c r="B42" t="s">
        <v>468</v>
      </c>
      <c r="C42">
        <f t="shared" si="0"/>
        <v>1</v>
      </c>
      <c r="D42">
        <v>2.9357515659248919E-3</v>
      </c>
      <c r="E42">
        <v>4.1442902333996091E-2</v>
      </c>
      <c r="F42">
        <v>7.275315844460982E-2</v>
      </c>
      <c r="G42">
        <v>0.18325074034609973</v>
      </c>
      <c r="H42">
        <v>1.4801970818884778</v>
      </c>
      <c r="I42">
        <v>0.10708747747024613</v>
      </c>
      <c r="J42">
        <v>1.3576592000878556</v>
      </c>
      <c r="K42">
        <v>2.9756539935094889E-2</v>
      </c>
      <c r="L42">
        <v>1.0296429438328623</v>
      </c>
      <c r="M42">
        <v>11.473689742976211</v>
      </c>
    </row>
    <row r="43" spans="1:13" x14ac:dyDescent="0.3">
      <c r="A43" t="s">
        <v>593</v>
      </c>
      <c r="B43" t="s">
        <v>468</v>
      </c>
      <c r="C43">
        <f t="shared" si="0"/>
        <v>1</v>
      </c>
      <c r="D43">
        <v>7.1211467666892042E-2</v>
      </c>
      <c r="E43">
        <v>7.1727697130418031E-2</v>
      </c>
      <c r="F43">
        <v>2.1355826235747701E-2</v>
      </c>
      <c r="G43">
        <v>7.07706657339396E-2</v>
      </c>
      <c r="H43">
        <v>1.4031453089434844</v>
      </c>
      <c r="I43">
        <v>0.97991907775882559</v>
      </c>
      <c r="J43">
        <v>1.107711309780921</v>
      </c>
      <c r="K43">
        <v>0.25545895168140709</v>
      </c>
      <c r="L43">
        <v>1.0212244699648272</v>
      </c>
      <c r="M43">
        <v>25.344440177874674</v>
      </c>
    </row>
    <row r="44" spans="1:13" x14ac:dyDescent="0.3">
      <c r="A44" t="s">
        <v>595</v>
      </c>
      <c r="B44" t="s">
        <v>468</v>
      </c>
      <c r="C44">
        <f t="shared" si="0"/>
        <v>1</v>
      </c>
      <c r="D44">
        <v>5.2562512531719362E-2</v>
      </c>
      <c r="E44">
        <v>5.9280358650648173E-2</v>
      </c>
      <c r="F44">
        <v>3.8884147140663107E-2</v>
      </c>
      <c r="G44">
        <v>9.5682469031656545E-2</v>
      </c>
      <c r="H44">
        <v>1.2343775208251195</v>
      </c>
      <c r="I44">
        <v>1.2023026266218599</v>
      </c>
      <c r="J44">
        <v>1.1198305318001356</v>
      </c>
      <c r="K44">
        <v>0.11069739821515785</v>
      </c>
      <c r="L44">
        <v>1.1037359677279579</v>
      </c>
      <c r="M44">
        <v>23.57253145944566</v>
      </c>
    </row>
    <row r="45" spans="1:13" x14ac:dyDescent="0.3">
      <c r="A45" t="s">
        <v>597</v>
      </c>
      <c r="B45" t="s">
        <v>468</v>
      </c>
      <c r="C45">
        <f t="shared" si="0"/>
        <v>1</v>
      </c>
      <c r="D45">
        <v>7.5700767523049967E-2</v>
      </c>
      <c r="E45">
        <v>7.9312820082013721E-2</v>
      </c>
      <c r="F45">
        <v>2.2449183129418931E-2</v>
      </c>
      <c r="G45">
        <v>7.4594213404158671E-2</v>
      </c>
      <c r="H45">
        <v>1.347678882191897</v>
      </c>
      <c r="I45">
        <v>0.77748161822417283</v>
      </c>
      <c r="J45">
        <v>1.1109063231790144</v>
      </c>
      <c r="K45">
        <v>0.18280512056597281</v>
      </c>
      <c r="L45">
        <v>1.0069610984952992</v>
      </c>
      <c r="M45">
        <v>26.308134069145691</v>
      </c>
    </row>
    <row r="46" spans="1:13" x14ac:dyDescent="0.3">
      <c r="A46" t="s">
        <v>603</v>
      </c>
      <c r="B46" t="s">
        <v>468</v>
      </c>
      <c r="C46">
        <f t="shared" si="0"/>
        <v>1</v>
      </c>
      <c r="D46">
        <v>3.3311798762904382E-2</v>
      </c>
      <c r="E46">
        <v>2.833794783849471E-2</v>
      </c>
      <c r="F46">
        <v>0</v>
      </c>
      <c r="G46">
        <v>5.3164538511335888E-2</v>
      </c>
      <c r="H46">
        <v>1.3234604877893308</v>
      </c>
      <c r="I46">
        <v>1.0650555223320552</v>
      </c>
      <c r="J46">
        <v>1.0707230033966264</v>
      </c>
      <c r="K46">
        <v>0.2014672373293771</v>
      </c>
      <c r="L46">
        <v>1.0652449053365953</v>
      </c>
      <c r="M46">
        <v>46.515532244606035</v>
      </c>
    </row>
    <row r="47" spans="1:13" x14ac:dyDescent="0.3">
      <c r="A47" t="s">
        <v>609</v>
      </c>
      <c r="B47" t="s">
        <v>468</v>
      </c>
      <c r="C47">
        <f t="shared" si="0"/>
        <v>1</v>
      </c>
      <c r="D47">
        <v>5.5968094529184671E-2</v>
      </c>
      <c r="E47">
        <v>4.1459298877882744E-2</v>
      </c>
      <c r="F47">
        <v>9.289036116118328E-2</v>
      </c>
      <c r="G47">
        <v>0.18889659086632496</v>
      </c>
      <c r="H47">
        <v>1.2505622997607067</v>
      </c>
      <c r="I47">
        <v>1.9874857562042059</v>
      </c>
      <c r="J47">
        <v>1.2663987821474871</v>
      </c>
      <c r="K47">
        <v>0.17430094807217186</v>
      </c>
      <c r="L47">
        <v>1.1229688282572921</v>
      </c>
      <c r="M47">
        <v>10.321955638837624</v>
      </c>
    </row>
    <row r="48" spans="1:13" x14ac:dyDescent="0.3">
      <c r="A48" t="s">
        <v>611</v>
      </c>
      <c r="B48" t="s">
        <v>468</v>
      </c>
      <c r="C48">
        <f t="shared" si="0"/>
        <v>1</v>
      </c>
      <c r="D48">
        <v>5.7472522080529352E-2</v>
      </c>
      <c r="E48">
        <v>7.2954109657203711E-2</v>
      </c>
      <c r="F48">
        <v>2.180779663330645E-2</v>
      </c>
      <c r="G48">
        <v>0.24170918680184694</v>
      </c>
      <c r="H48">
        <v>1.2803448490023706</v>
      </c>
      <c r="I48">
        <v>2.1073559391363057</v>
      </c>
      <c r="J48">
        <v>1.3591042993866966</v>
      </c>
      <c r="K48">
        <v>0.17409422346893449</v>
      </c>
      <c r="L48">
        <v>1.1712572641200678</v>
      </c>
      <c r="M48">
        <v>5.7476971713635221</v>
      </c>
    </row>
    <row r="49" spans="1:13" x14ac:dyDescent="0.3">
      <c r="A49" t="s">
        <v>613</v>
      </c>
      <c r="B49" t="s">
        <v>468</v>
      </c>
      <c r="C49">
        <f t="shared" si="0"/>
        <v>1</v>
      </c>
      <c r="D49">
        <v>0.11708249826061211</v>
      </c>
      <c r="E49">
        <v>0.13504925442139518</v>
      </c>
      <c r="F49">
        <v>2.0526169073461401E-2</v>
      </c>
      <c r="G49">
        <v>0.51970461888329045</v>
      </c>
      <c r="H49">
        <v>1.2950406764521072</v>
      </c>
      <c r="I49">
        <v>331.57047496790761</v>
      </c>
      <c r="J49">
        <v>2.0834992366957406</v>
      </c>
      <c r="K49">
        <v>0.21270098615736588</v>
      </c>
      <c r="L49">
        <v>1.2942099136134622</v>
      </c>
      <c r="M49">
        <v>2.4216796872524178</v>
      </c>
    </row>
    <row r="50" spans="1:13" x14ac:dyDescent="0.3">
      <c r="A50" t="s">
        <v>615</v>
      </c>
      <c r="B50" t="s">
        <v>468</v>
      </c>
      <c r="C50">
        <f t="shared" si="0"/>
        <v>1</v>
      </c>
      <c r="D50">
        <v>6.8203213494417728E-2</v>
      </c>
      <c r="E50">
        <v>5.2731600014898912E-2</v>
      </c>
      <c r="F50">
        <v>2.535074381490653E-2</v>
      </c>
      <c r="G50">
        <v>0.28292845801159555</v>
      </c>
      <c r="H50">
        <v>1.2780994430575436</v>
      </c>
      <c r="I50">
        <v>1.9718314947189697</v>
      </c>
      <c r="J50">
        <v>1.4459952323526453</v>
      </c>
      <c r="K50">
        <v>0.11960633020504388</v>
      </c>
      <c r="L50">
        <v>1.1724057050455996</v>
      </c>
      <c r="M50">
        <v>7.3556015516919233</v>
      </c>
    </row>
    <row r="51" spans="1:13" x14ac:dyDescent="0.3">
      <c r="A51" t="s">
        <v>617</v>
      </c>
      <c r="B51" t="s">
        <v>468</v>
      </c>
      <c r="C51">
        <f t="shared" si="0"/>
        <v>1</v>
      </c>
      <c r="D51">
        <v>-1.9202849088439434E-2</v>
      </c>
      <c r="E51">
        <v>2.9217426515043723E-3</v>
      </c>
      <c r="F51">
        <v>1.1216128033286026E-2</v>
      </c>
      <c r="G51">
        <v>1.5269988116969148E-2</v>
      </c>
      <c r="H51">
        <v>1.0324044030721466</v>
      </c>
      <c r="I51">
        <v>0.11127029234547024</v>
      </c>
      <c r="J51">
        <v>1.0173723458115149</v>
      </c>
      <c r="K51">
        <v>1.1376121137548082E-2</v>
      </c>
      <c r="L51">
        <v>0.92323021597793831</v>
      </c>
      <c r="M51">
        <v>131.51667685856557</v>
      </c>
    </row>
    <row r="52" spans="1:13" x14ac:dyDescent="0.3">
      <c r="A52" t="s">
        <v>619</v>
      </c>
      <c r="B52" t="s">
        <v>468</v>
      </c>
      <c r="C52">
        <f t="shared" si="0"/>
        <v>1</v>
      </c>
      <c r="D52">
        <v>1.0842301909121865E-3</v>
      </c>
      <c r="E52">
        <v>2.0349263663421248E-2</v>
      </c>
      <c r="F52">
        <v>6.5988378659411701E-3</v>
      </c>
      <c r="G52">
        <v>5.3589183458287462E-2</v>
      </c>
      <c r="H52">
        <v>1.2144256474064548</v>
      </c>
      <c r="I52">
        <v>0.52733774901150932</v>
      </c>
      <c r="J52">
        <v>1.0736723680728939</v>
      </c>
      <c r="K52">
        <v>0.11221917361341699</v>
      </c>
      <c r="L52">
        <v>0.94845169449246436</v>
      </c>
      <c r="M52">
        <v>32.663069283683072</v>
      </c>
    </row>
    <row r="53" spans="1:13" x14ac:dyDescent="0.3">
      <c r="A53" t="s">
        <v>623</v>
      </c>
      <c r="B53" t="s">
        <v>468</v>
      </c>
      <c r="C53">
        <f t="shared" si="0"/>
        <v>1</v>
      </c>
      <c r="D53">
        <v>1.0233340390408562E-2</v>
      </c>
      <c r="E53">
        <v>1.8312517596560177E-2</v>
      </c>
      <c r="F53">
        <v>8.6080731796381402E-3</v>
      </c>
      <c r="G53">
        <v>0.10008316576628334</v>
      </c>
      <c r="H53">
        <v>1.1232125688399246</v>
      </c>
      <c r="I53">
        <v>1.0718750659194622</v>
      </c>
      <c r="J53">
        <v>1.1170214696598815</v>
      </c>
      <c r="K53">
        <v>3.5314408295263951E-2</v>
      </c>
      <c r="L53">
        <v>1.0730475351631668</v>
      </c>
      <c r="M53">
        <v>17.22365731771394</v>
      </c>
    </row>
    <row r="54" spans="1:13" x14ac:dyDescent="0.3">
      <c r="A54" t="s">
        <v>625</v>
      </c>
      <c r="B54" t="s">
        <v>468</v>
      </c>
      <c r="C54">
        <f t="shared" si="0"/>
        <v>1</v>
      </c>
      <c r="D54">
        <v>7.3319246375325886E-2</v>
      </c>
      <c r="E54">
        <v>8.3804031663679071E-2</v>
      </c>
      <c r="F54">
        <v>0.11585272558357092</v>
      </c>
      <c r="G54">
        <v>0.18250923651236578</v>
      </c>
      <c r="H54">
        <v>1.218200241697841</v>
      </c>
      <c r="I54">
        <v>1.1982136644259169</v>
      </c>
      <c r="J54">
        <v>1.2639088905124647</v>
      </c>
      <c r="K54">
        <v>0.13634018395436728</v>
      </c>
      <c r="L54">
        <v>1.0647932209141502</v>
      </c>
      <c r="M54">
        <v>5.8785610579031609</v>
      </c>
    </row>
    <row r="55" spans="1:13" x14ac:dyDescent="0.3">
      <c r="A55" t="s">
        <v>629</v>
      </c>
      <c r="B55" t="s">
        <v>468</v>
      </c>
      <c r="C55">
        <f t="shared" si="0"/>
        <v>1</v>
      </c>
      <c r="D55">
        <v>1.7873950324960013E-2</v>
      </c>
      <c r="E55">
        <v>4.9940240699831141E-2</v>
      </c>
      <c r="F55">
        <v>3.8655116316097552E-3</v>
      </c>
      <c r="G55">
        <v>0.10328497095300743</v>
      </c>
      <c r="H55">
        <v>1.3676860441901546</v>
      </c>
      <c r="I55">
        <v>1.2301479926535723</v>
      </c>
      <c r="J55">
        <v>1.1419230591011778</v>
      </c>
      <c r="K55">
        <v>0.20560078493399753</v>
      </c>
      <c r="L55">
        <v>1.136599410157721</v>
      </c>
      <c r="M55">
        <v>16.409131974882374</v>
      </c>
    </row>
    <row r="56" spans="1:13" x14ac:dyDescent="0.3">
      <c r="A56" t="s">
        <v>631</v>
      </c>
      <c r="B56" t="s">
        <v>468</v>
      </c>
      <c r="C56">
        <f t="shared" si="0"/>
        <v>1</v>
      </c>
      <c r="D56">
        <v>8.6181721217286927E-2</v>
      </c>
      <c r="E56">
        <v>7.8721062313749313E-2</v>
      </c>
      <c r="F56">
        <v>3.2366131555194307E-2</v>
      </c>
      <c r="G56">
        <v>0.32076399305348163</v>
      </c>
      <c r="H56">
        <v>1.6367259983399429</v>
      </c>
      <c r="I56">
        <v>2.7284170112368726</v>
      </c>
      <c r="J56">
        <v>1.5838671033238529</v>
      </c>
      <c r="K56">
        <v>0.31994639099972838</v>
      </c>
      <c r="L56">
        <v>1.4241847274739465</v>
      </c>
      <c r="M56">
        <v>6.4403932821616818</v>
      </c>
    </row>
    <row r="57" spans="1:13" x14ac:dyDescent="0.3">
      <c r="A57" t="s">
        <v>633</v>
      </c>
      <c r="B57" t="s">
        <v>468</v>
      </c>
      <c r="C57">
        <f t="shared" si="0"/>
        <v>1</v>
      </c>
      <c r="D57">
        <v>3.6105136139045486E-2</v>
      </c>
      <c r="E57">
        <v>4.4223854619758911E-2</v>
      </c>
      <c r="F57">
        <v>1.9911958802212474E-2</v>
      </c>
      <c r="G57">
        <v>8.6108150086074781E-2</v>
      </c>
      <c r="H57">
        <v>1.1674732296694759</v>
      </c>
      <c r="I57">
        <v>0.69934292984921576</v>
      </c>
      <c r="J57">
        <v>1.111393444658147</v>
      </c>
      <c r="K57">
        <v>9.7866585562468439E-2</v>
      </c>
      <c r="L57">
        <v>1.0029964292436602</v>
      </c>
      <c r="M57">
        <v>25.065734380840361</v>
      </c>
    </row>
    <row r="58" spans="1:13" x14ac:dyDescent="0.3">
      <c r="A58" t="s">
        <v>635</v>
      </c>
      <c r="B58" t="s">
        <v>468</v>
      </c>
      <c r="C58">
        <f t="shared" si="0"/>
        <v>1</v>
      </c>
      <c r="D58">
        <v>5.4876777398361054E-2</v>
      </c>
      <c r="E58">
        <v>0.10746247406605276</v>
      </c>
      <c r="F58">
        <v>0.19647380417452626</v>
      </c>
      <c r="G58">
        <v>0.56642632231902812</v>
      </c>
      <c r="H58">
        <v>1.3871666939186518</v>
      </c>
      <c r="I58">
        <v>8.7962454564892028</v>
      </c>
      <c r="J58">
        <v>2.4027956012289891</v>
      </c>
      <c r="K58">
        <v>0.22326756154504909</v>
      </c>
      <c r="L58">
        <v>1.345843349567085</v>
      </c>
      <c r="M58">
        <v>2.7994635324308401</v>
      </c>
    </row>
    <row r="59" spans="1:13" x14ac:dyDescent="0.3">
      <c r="A59" t="s">
        <v>641</v>
      </c>
      <c r="B59" t="s">
        <v>468</v>
      </c>
      <c r="C59">
        <f t="shared" si="0"/>
        <v>1</v>
      </c>
      <c r="D59">
        <v>9.1115826810622802E-2</v>
      </c>
      <c r="E59">
        <v>0.14321125291066683</v>
      </c>
      <c r="F59">
        <v>2.2444108757635983E-2</v>
      </c>
      <c r="G59">
        <v>-0.20282168042789306</v>
      </c>
      <c r="H59">
        <v>1.5439702121950192</v>
      </c>
      <c r="I59">
        <v>0.47042188612845109</v>
      </c>
      <c r="J59">
        <v>0.68684936703199562</v>
      </c>
      <c r="K59">
        <v>0.26115037805578623</v>
      </c>
      <c r="L59">
        <v>0.68684936703199562</v>
      </c>
      <c r="M59">
        <v>-7.5216739083297188</v>
      </c>
    </row>
    <row r="60" spans="1:13" x14ac:dyDescent="0.3">
      <c r="A60" t="s">
        <v>643</v>
      </c>
      <c r="B60" t="s">
        <v>468</v>
      </c>
      <c r="C60">
        <f t="shared" si="0"/>
        <v>1</v>
      </c>
      <c r="D60">
        <v>1.4863520246143423E-3</v>
      </c>
      <c r="E60">
        <v>1.7888157304160143E-2</v>
      </c>
      <c r="F60">
        <v>1.6682000859515281E-2</v>
      </c>
      <c r="G60">
        <v>0.15653082308151214</v>
      </c>
      <c r="H60">
        <v>1.1401496317758442</v>
      </c>
      <c r="I60">
        <v>1.5834455377179355</v>
      </c>
      <c r="J60">
        <v>1.2014823669395267</v>
      </c>
      <c r="K60">
        <v>7.8512987352021571E-2</v>
      </c>
      <c r="L60">
        <v>1.0642461249000332</v>
      </c>
      <c r="M60">
        <v>19.614215918131883</v>
      </c>
    </row>
    <row r="61" spans="1:13" x14ac:dyDescent="0.3">
      <c r="A61" t="s">
        <v>675</v>
      </c>
      <c r="B61" t="s">
        <v>468</v>
      </c>
      <c r="C61">
        <f t="shared" si="0"/>
        <v>1</v>
      </c>
      <c r="D61">
        <v>9.362192309659513E-4</v>
      </c>
      <c r="E61">
        <v>5.166711978023316E-3</v>
      </c>
      <c r="F61">
        <v>8.1860654530833236E-3</v>
      </c>
      <c r="G61">
        <v>0.24407571097268363</v>
      </c>
      <c r="H61">
        <v>1.1277562874347911</v>
      </c>
      <c r="I61">
        <v>2.0258965493864824</v>
      </c>
      <c r="J61">
        <v>1.3315432865670735</v>
      </c>
      <c r="K61">
        <v>3.999882214685152E-2</v>
      </c>
      <c r="L61">
        <v>1.1054901341212082</v>
      </c>
      <c r="M61">
        <v>9.0096753024788736</v>
      </c>
    </row>
    <row r="62" spans="1:13" x14ac:dyDescent="0.3">
      <c r="A62" t="s">
        <v>679</v>
      </c>
      <c r="B62" t="s">
        <v>468</v>
      </c>
      <c r="C62">
        <f t="shared" si="0"/>
        <v>1</v>
      </c>
      <c r="D62">
        <v>7.8446305911279865E-2</v>
      </c>
      <c r="E62">
        <v>6.3608687017969123E-2</v>
      </c>
      <c r="F62">
        <v>1.8754968476733778E-2</v>
      </c>
      <c r="G62">
        <v>0.21955602424457049</v>
      </c>
      <c r="H62">
        <v>1.4437875327545715</v>
      </c>
      <c r="I62">
        <v>0.83625751425333483</v>
      </c>
      <c r="J62">
        <v>1.432102849807785</v>
      </c>
      <c r="K62">
        <v>0.21459425869653775</v>
      </c>
      <c r="L62">
        <v>1.0505959531974691</v>
      </c>
      <c r="M62">
        <v>11.97755148916622</v>
      </c>
    </row>
    <row r="63" spans="1:13" x14ac:dyDescent="0.3">
      <c r="A63" t="s">
        <v>681</v>
      </c>
      <c r="B63" t="s">
        <v>468</v>
      </c>
      <c r="C63">
        <f t="shared" si="0"/>
        <v>1</v>
      </c>
      <c r="D63">
        <v>8.1968853526901602E-4</v>
      </c>
      <c r="E63">
        <v>1.8487191490791619E-2</v>
      </c>
      <c r="F63">
        <v>1.1644167327446237E-2</v>
      </c>
      <c r="G63">
        <v>0.3535267861336473</v>
      </c>
      <c r="H63">
        <v>1.1166631191430347</v>
      </c>
      <c r="I63">
        <v>0.78169412700598162</v>
      </c>
      <c r="J63">
        <v>1.6522130315951375</v>
      </c>
      <c r="K63">
        <v>7.9998309134120107E-2</v>
      </c>
      <c r="L63">
        <v>1.0000485143888869</v>
      </c>
      <c r="M63">
        <v>4.8103588577400807</v>
      </c>
    </row>
    <row r="64" spans="1:13" x14ac:dyDescent="0.3">
      <c r="A64" t="s">
        <v>683</v>
      </c>
      <c r="B64" t="s">
        <v>468</v>
      </c>
      <c r="C64">
        <f t="shared" si="0"/>
        <v>1</v>
      </c>
      <c r="D64">
        <v>6.3024503278058461E-2</v>
      </c>
      <c r="E64">
        <v>2.2054216362038213E-2</v>
      </c>
      <c r="F64">
        <v>1.4935865690047203E-2</v>
      </c>
      <c r="G64">
        <v>0.42963133183473812</v>
      </c>
      <c r="H64">
        <v>1.5761419551963201</v>
      </c>
      <c r="I64">
        <v>5.8811849075642373</v>
      </c>
      <c r="J64">
        <v>1.8328472544794132</v>
      </c>
      <c r="K64">
        <v>0.32053242357017225</v>
      </c>
      <c r="L64">
        <v>1.4902261853720147</v>
      </c>
      <c r="M64">
        <v>9.780425977398238</v>
      </c>
    </row>
    <row r="65" spans="1:13" x14ac:dyDescent="0.3">
      <c r="A65" t="s">
        <v>685</v>
      </c>
      <c r="B65" t="s">
        <v>468</v>
      </c>
      <c r="C65">
        <f t="shared" si="0"/>
        <v>1</v>
      </c>
      <c r="D65">
        <v>7.661225439632896E-2</v>
      </c>
      <c r="E65">
        <v>5.4776953008575061E-2</v>
      </c>
      <c r="F65">
        <v>2.3054814236648555E-2</v>
      </c>
      <c r="G65">
        <v>-6.0260385798762285E-2</v>
      </c>
      <c r="H65">
        <v>1.2000701098218209</v>
      </c>
      <c r="I65">
        <v>0.2218008809890098</v>
      </c>
      <c r="J65">
        <v>0.90241625968903227</v>
      </c>
      <c r="K65">
        <v>9.6759300053231106E-2</v>
      </c>
      <c r="L65">
        <v>0.6687564415209486</v>
      </c>
      <c r="M65">
        <v>-42.507887067212835</v>
      </c>
    </row>
    <row r="66" spans="1:13" x14ac:dyDescent="0.3">
      <c r="A66" t="s">
        <v>687</v>
      </c>
      <c r="B66" t="s">
        <v>468</v>
      </c>
      <c r="C66">
        <f t="shared" si="0"/>
        <v>1</v>
      </c>
      <c r="D66">
        <v>8.1530536843090282E-3</v>
      </c>
      <c r="E66">
        <v>1.6307598310274337E-2</v>
      </c>
      <c r="F66">
        <v>1.1174109075905018E-2</v>
      </c>
      <c r="G66">
        <v>0.27670573296815842</v>
      </c>
      <c r="H66">
        <v>1.2245272026360887</v>
      </c>
      <c r="I66">
        <v>2.2349136793199937</v>
      </c>
      <c r="J66">
        <v>1.4068083569805587</v>
      </c>
      <c r="K66">
        <v>6.539087155389342E-2</v>
      </c>
      <c r="L66">
        <v>1.1717411124688364</v>
      </c>
      <c r="M66">
        <v>11.256846342151025</v>
      </c>
    </row>
    <row r="67" spans="1:13" x14ac:dyDescent="0.3">
      <c r="A67" t="s">
        <v>689</v>
      </c>
      <c r="B67" t="s">
        <v>468</v>
      </c>
      <c r="C67">
        <f t="shared" ref="C67:C130" si="1">IF(B67="Attiva", 1, 0)</f>
        <v>1</v>
      </c>
      <c r="D67">
        <v>3.0276258810885987E-2</v>
      </c>
      <c r="E67">
        <v>2.9430560938105536E-2</v>
      </c>
      <c r="F67">
        <v>1.6658897395015249E-2</v>
      </c>
      <c r="G67">
        <v>0.12566463633347533</v>
      </c>
      <c r="H67">
        <v>1.3255561274599446</v>
      </c>
      <c r="I67">
        <v>0.48537903614783695</v>
      </c>
      <c r="J67">
        <v>1.2233536114214356</v>
      </c>
      <c r="K67">
        <v>0.14492420066986864</v>
      </c>
      <c r="L67">
        <v>0.91236838889181282</v>
      </c>
      <c r="M67">
        <v>21.418549479738452</v>
      </c>
    </row>
    <row r="68" spans="1:13" x14ac:dyDescent="0.3">
      <c r="A68" t="s">
        <v>693</v>
      </c>
      <c r="B68" t="s">
        <v>468</v>
      </c>
      <c r="C68">
        <f t="shared" si="1"/>
        <v>1</v>
      </c>
      <c r="D68">
        <v>4.9173982498443153E-2</v>
      </c>
      <c r="E68">
        <v>3.6012138905843025E-2</v>
      </c>
      <c r="F68">
        <v>5.3458631726320961E-4</v>
      </c>
      <c r="G68">
        <v>0.27811185679023281</v>
      </c>
      <c r="H68">
        <v>1.0731301511091038</v>
      </c>
      <c r="I68">
        <v>1.619273975663762</v>
      </c>
      <c r="J68">
        <v>1.4067953257949706</v>
      </c>
      <c r="K68">
        <v>4.9042552929682216E-2</v>
      </c>
      <c r="L68">
        <v>1.0321120876059107</v>
      </c>
      <c r="M68">
        <v>8.5792608061800788</v>
      </c>
    </row>
    <row r="69" spans="1:13" x14ac:dyDescent="0.3">
      <c r="A69" t="s">
        <v>697</v>
      </c>
      <c r="B69" t="s">
        <v>468</v>
      </c>
      <c r="C69">
        <f t="shared" si="1"/>
        <v>1</v>
      </c>
      <c r="D69">
        <v>2.9485536585887737E-2</v>
      </c>
      <c r="E69">
        <v>2.8532883784571503E-2</v>
      </c>
      <c r="F69">
        <v>9.3995910741476243E-3</v>
      </c>
      <c r="G69">
        <v>0.13619506802069964</v>
      </c>
      <c r="H69">
        <v>1.2132200137184859</v>
      </c>
      <c r="I69">
        <v>4.2866875139602412</v>
      </c>
      <c r="J69">
        <v>1.1652345822924632</v>
      </c>
      <c r="K69">
        <v>0.14091421876237412</v>
      </c>
      <c r="L69">
        <v>1.1652345822924632</v>
      </c>
      <c r="M69">
        <v>14.626213498765804</v>
      </c>
    </row>
    <row r="70" spans="1:13" x14ac:dyDescent="0.3">
      <c r="A70" t="s">
        <v>699</v>
      </c>
      <c r="B70" t="s">
        <v>468</v>
      </c>
      <c r="C70">
        <f t="shared" si="1"/>
        <v>1</v>
      </c>
      <c r="D70">
        <v>7.6488751882408355E-3</v>
      </c>
      <c r="E70">
        <v>2.7829763461950437E-2</v>
      </c>
      <c r="F70">
        <v>3.0035839636075169E-3</v>
      </c>
      <c r="G70">
        <v>0.24395144852767639</v>
      </c>
      <c r="H70">
        <v>1.4605647822170464</v>
      </c>
      <c r="I70">
        <v>2.6657831011353066</v>
      </c>
      <c r="J70">
        <v>1.3645312415295412</v>
      </c>
      <c r="K70">
        <v>0.23146717431289288</v>
      </c>
      <c r="L70">
        <v>1.3337454611339745</v>
      </c>
      <c r="M70">
        <v>5.9939155143988829</v>
      </c>
    </row>
    <row r="71" spans="1:13" x14ac:dyDescent="0.3">
      <c r="A71" t="s">
        <v>701</v>
      </c>
      <c r="B71" t="s">
        <v>468</v>
      </c>
      <c r="C71">
        <f t="shared" si="1"/>
        <v>1</v>
      </c>
      <c r="D71">
        <v>6.0102591283520877E-2</v>
      </c>
      <c r="E71">
        <v>4.8403759153962458E-2</v>
      </c>
      <c r="F71">
        <v>0</v>
      </c>
      <c r="G71">
        <v>5.0649321126207833E-2</v>
      </c>
      <c r="H71">
        <v>2.705603195721773</v>
      </c>
      <c r="I71">
        <v>1.0795817303968398</v>
      </c>
      <c r="J71">
        <v>1.1370369651002061</v>
      </c>
      <c r="K71">
        <v>0.6253511622453326</v>
      </c>
      <c r="L71">
        <v>1.1370369651002061</v>
      </c>
      <c r="M71">
        <v>44.052075828264329</v>
      </c>
    </row>
    <row r="72" spans="1:13" x14ac:dyDescent="0.3">
      <c r="A72" t="s">
        <v>705</v>
      </c>
      <c r="B72" t="s">
        <v>468</v>
      </c>
      <c r="C72">
        <f t="shared" si="1"/>
        <v>1</v>
      </c>
      <c r="D72">
        <v>5.871134202705456E-2</v>
      </c>
      <c r="E72">
        <v>4.9990436612126377E-2</v>
      </c>
      <c r="F72">
        <v>9.3341944480743559E-3</v>
      </c>
      <c r="G72">
        <v>0.14687578007606203</v>
      </c>
      <c r="H72">
        <v>1.2849860530643948</v>
      </c>
      <c r="I72">
        <v>0.5343671155209071</v>
      </c>
      <c r="J72">
        <v>1.2318601780612608</v>
      </c>
      <c r="K72">
        <v>0.11532766865550373</v>
      </c>
      <c r="L72">
        <v>1.0027296370023051</v>
      </c>
      <c r="M72">
        <v>15.332305820996243</v>
      </c>
    </row>
    <row r="73" spans="1:13" x14ac:dyDescent="0.3">
      <c r="A73" t="s">
        <v>709</v>
      </c>
      <c r="B73" t="s">
        <v>468</v>
      </c>
      <c r="C73">
        <f t="shared" si="1"/>
        <v>1</v>
      </c>
      <c r="D73">
        <v>0.12341294619966876</v>
      </c>
      <c r="E73">
        <v>8.0451527529181388E-2</v>
      </c>
      <c r="F73">
        <v>8.7149396806593515E-3</v>
      </c>
      <c r="G73">
        <v>4.0677190957321835E-2</v>
      </c>
      <c r="H73">
        <v>1.0707371844075979</v>
      </c>
      <c r="I73">
        <v>2.8071585687469049</v>
      </c>
      <c r="J73">
        <v>1.0435545809152531</v>
      </c>
      <c r="K73">
        <v>6.3774187353583409E-2</v>
      </c>
      <c r="L73">
        <v>1.0435545809152531</v>
      </c>
      <c r="M73">
        <v>23.544464026139423</v>
      </c>
    </row>
    <row r="74" spans="1:13" x14ac:dyDescent="0.3">
      <c r="A74" t="s">
        <v>711</v>
      </c>
      <c r="B74" t="s">
        <v>468</v>
      </c>
      <c r="C74">
        <f t="shared" si="1"/>
        <v>1</v>
      </c>
      <c r="D74">
        <v>5.1395138430135531E-3</v>
      </c>
      <c r="E74">
        <v>6.7130964809865726E-3</v>
      </c>
      <c r="F74">
        <v>7.9913752038823574E-3</v>
      </c>
      <c r="G74">
        <v>1.5000446379338414E-2</v>
      </c>
      <c r="H74">
        <v>1.0422639592686129</v>
      </c>
      <c r="I74">
        <v>1.4275293632804451</v>
      </c>
      <c r="J74">
        <v>1.0156344246341258</v>
      </c>
      <c r="K74">
        <v>3.6381491537172898E-2</v>
      </c>
      <c r="L74">
        <v>1.0156344246341258</v>
      </c>
      <c r="M74">
        <v>256.25689679316622</v>
      </c>
    </row>
    <row r="75" spans="1:13" x14ac:dyDescent="0.3">
      <c r="A75" t="s">
        <v>715</v>
      </c>
      <c r="B75" t="s">
        <v>468</v>
      </c>
      <c r="C75">
        <f t="shared" si="1"/>
        <v>1</v>
      </c>
      <c r="D75">
        <v>4.5893741094904454E-2</v>
      </c>
      <c r="E75">
        <v>3.399147635543659E-2</v>
      </c>
      <c r="F75">
        <v>4.8733516163962385E-3</v>
      </c>
      <c r="G75">
        <v>0.31712491619725941</v>
      </c>
      <c r="H75">
        <v>1.2480512422731995</v>
      </c>
      <c r="I75">
        <v>2.1946754544157141</v>
      </c>
      <c r="J75">
        <v>1.5259413141096507</v>
      </c>
      <c r="K75">
        <v>0.16224306487363169</v>
      </c>
      <c r="L75">
        <v>1.1483210518503622</v>
      </c>
      <c r="M75">
        <v>10.912316304896823</v>
      </c>
    </row>
    <row r="76" spans="1:13" x14ac:dyDescent="0.3">
      <c r="A76" t="s">
        <v>717</v>
      </c>
      <c r="B76" t="s">
        <v>468</v>
      </c>
      <c r="C76">
        <f t="shared" si="1"/>
        <v>1</v>
      </c>
      <c r="D76">
        <v>1.5612391200853875E-2</v>
      </c>
      <c r="E76">
        <v>2.8647878780472359E-2</v>
      </c>
      <c r="F76">
        <v>4.9912547612767835E-3</v>
      </c>
      <c r="G76">
        <v>0.19892022378009508</v>
      </c>
      <c r="H76">
        <v>1.3801493742096693</v>
      </c>
      <c r="I76">
        <v>1.177702243371856</v>
      </c>
      <c r="J76">
        <v>1.3286169985908154</v>
      </c>
      <c r="K76">
        <v>0.23054034056732833</v>
      </c>
      <c r="L76">
        <v>1.1099791265474868</v>
      </c>
      <c r="M76">
        <v>12.043417470012509</v>
      </c>
    </row>
    <row r="77" spans="1:13" x14ac:dyDescent="0.3">
      <c r="A77" t="s">
        <v>719</v>
      </c>
      <c r="B77" t="s">
        <v>468</v>
      </c>
      <c r="C77">
        <f t="shared" si="1"/>
        <v>1</v>
      </c>
      <c r="D77">
        <v>2.3163200523288251E-3</v>
      </c>
      <c r="E77">
        <v>1.0197501917027858E-2</v>
      </c>
      <c r="F77">
        <v>5.8869039299742545E-3</v>
      </c>
      <c r="G77">
        <v>9.4773319064777095E-2</v>
      </c>
      <c r="H77">
        <v>1.0858495399335482</v>
      </c>
      <c r="I77">
        <v>2.9063290358398621</v>
      </c>
      <c r="J77">
        <v>1.10712230426692</v>
      </c>
      <c r="K77">
        <v>5.9597153625421305E-2</v>
      </c>
      <c r="L77">
        <v>1.0635831203205286</v>
      </c>
      <c r="M77">
        <v>23.959218130614097</v>
      </c>
    </row>
    <row r="78" spans="1:13" x14ac:dyDescent="0.3">
      <c r="A78" t="s">
        <v>721</v>
      </c>
      <c r="B78" t="s">
        <v>468</v>
      </c>
      <c r="C78">
        <f t="shared" si="1"/>
        <v>1</v>
      </c>
      <c r="D78">
        <v>6.8640886272012633E-2</v>
      </c>
      <c r="E78">
        <v>5.4295370659352291E-2</v>
      </c>
      <c r="F78">
        <v>1.3943503067281506E-2</v>
      </c>
      <c r="G78">
        <v>0.31537834353331962</v>
      </c>
      <c r="H78">
        <v>1.4175808552267128</v>
      </c>
      <c r="I78">
        <v>16.63807164240735</v>
      </c>
      <c r="J78">
        <v>1.4849876295382336</v>
      </c>
      <c r="K78">
        <v>0.25126367410485312</v>
      </c>
      <c r="L78">
        <v>1.3689004985679432</v>
      </c>
      <c r="M78">
        <v>5.8654848096385228</v>
      </c>
    </row>
    <row r="79" spans="1:13" x14ac:dyDescent="0.3">
      <c r="A79" t="s">
        <v>723</v>
      </c>
      <c r="B79" t="s">
        <v>468</v>
      </c>
      <c r="C79">
        <f t="shared" si="1"/>
        <v>1</v>
      </c>
      <c r="D79">
        <v>6.9361563380347227E-2</v>
      </c>
      <c r="E79">
        <v>4.8804040815646953E-2</v>
      </c>
      <c r="F79">
        <v>1.6137054039451697E-2</v>
      </c>
      <c r="G79">
        <v>0.24043153624551708</v>
      </c>
      <c r="H79">
        <v>1.3896378489560914</v>
      </c>
      <c r="I79">
        <v>5.117835392852764</v>
      </c>
      <c r="J79">
        <v>1.3341127628494291</v>
      </c>
      <c r="K79">
        <v>0.2044908686686569</v>
      </c>
      <c r="L79">
        <v>1.3341127628494291</v>
      </c>
      <c r="M79">
        <v>8.0233502239248669</v>
      </c>
    </row>
    <row r="80" spans="1:13" x14ac:dyDescent="0.3">
      <c r="A80" t="s">
        <v>725</v>
      </c>
      <c r="B80" t="s">
        <v>468</v>
      </c>
      <c r="C80">
        <f t="shared" si="1"/>
        <v>1</v>
      </c>
      <c r="D80">
        <v>5.335925189903664E-2</v>
      </c>
      <c r="E80">
        <v>3.952465633556327E-2</v>
      </c>
      <c r="F80">
        <v>2.8558097783698653E-5</v>
      </c>
      <c r="G80">
        <v>0.23403636530708355</v>
      </c>
      <c r="H80">
        <v>1.3311159534539814</v>
      </c>
      <c r="I80">
        <v>18.776046571355195</v>
      </c>
      <c r="J80">
        <v>1.3115316353352877</v>
      </c>
      <c r="K80">
        <v>0.20153501567866208</v>
      </c>
      <c r="L80">
        <v>1.3115228121848459</v>
      </c>
      <c r="M80">
        <v>6.9548436745415065</v>
      </c>
    </row>
    <row r="81" spans="1:13" x14ac:dyDescent="0.3">
      <c r="A81" t="s">
        <v>727</v>
      </c>
      <c r="B81" t="s">
        <v>468</v>
      </c>
      <c r="C81">
        <f t="shared" si="1"/>
        <v>1</v>
      </c>
      <c r="D81">
        <v>2.6336088724099795E-2</v>
      </c>
      <c r="E81">
        <v>1.930842035975934E-2</v>
      </c>
      <c r="F81">
        <v>3.9188707623172584E-4</v>
      </c>
      <c r="G81">
        <v>0.15923738485719424</v>
      </c>
      <c r="H81">
        <v>1.2444993821946948</v>
      </c>
      <c r="I81">
        <v>5.3441463479486293</v>
      </c>
      <c r="J81">
        <v>1.1981708270770772</v>
      </c>
      <c r="K81">
        <v>0.15787377669973834</v>
      </c>
      <c r="L81">
        <v>1.1981708270770772</v>
      </c>
      <c r="M81">
        <v>17.28133817406918</v>
      </c>
    </row>
    <row r="82" spans="1:13" x14ac:dyDescent="0.3">
      <c r="A82" t="s">
        <v>691</v>
      </c>
      <c r="B82" t="s">
        <v>468</v>
      </c>
      <c r="C82">
        <f t="shared" si="1"/>
        <v>1</v>
      </c>
      <c r="D82">
        <v>0.11027197778498925</v>
      </c>
      <c r="E82">
        <v>2.0462451040448009E-2</v>
      </c>
      <c r="F82">
        <v>9.0083818328645822E-3</v>
      </c>
      <c r="G82">
        <v>0.73812123271198926</v>
      </c>
      <c r="H82">
        <v>3.7197404293990681</v>
      </c>
      <c r="I82">
        <v>21.970764571357932</v>
      </c>
      <c r="J82">
        <v>4.4810650727781729</v>
      </c>
      <c r="K82">
        <v>0.67847449410022176</v>
      </c>
      <c r="L82">
        <v>3.5343490855390205</v>
      </c>
      <c r="M82">
        <v>10.253708803640924</v>
      </c>
    </row>
    <row r="83" spans="1:13" x14ac:dyDescent="0.3">
      <c r="A83" t="s">
        <v>781</v>
      </c>
      <c r="B83" t="s">
        <v>468</v>
      </c>
      <c r="C83">
        <f t="shared" si="1"/>
        <v>1</v>
      </c>
      <c r="D83">
        <v>2.4482072579666614E-2</v>
      </c>
      <c r="E83">
        <v>2.6902777507692148E-2</v>
      </c>
      <c r="F83">
        <v>2.1366106164775341E-3</v>
      </c>
      <c r="G83">
        <v>0.11411335847163086</v>
      </c>
      <c r="H83">
        <v>1.524058547996199</v>
      </c>
      <c r="I83">
        <v>1.2682318016473637</v>
      </c>
      <c r="J83">
        <v>1.1739154394192435</v>
      </c>
      <c r="K83">
        <v>0.22382653098873201</v>
      </c>
      <c r="L83">
        <v>1.1739154394192435</v>
      </c>
      <c r="M83">
        <v>16.2941549245682</v>
      </c>
    </row>
    <row r="84" spans="1:13" x14ac:dyDescent="0.3">
      <c r="A84" t="s">
        <v>785</v>
      </c>
      <c r="B84" t="s">
        <v>468</v>
      </c>
      <c r="C84">
        <f t="shared" si="1"/>
        <v>1</v>
      </c>
      <c r="D84">
        <v>2.1715529262417016E-2</v>
      </c>
      <c r="E84">
        <v>3.5560251777178281E-2</v>
      </c>
      <c r="F84">
        <v>2.0678605207261383E-3</v>
      </c>
      <c r="G84">
        <v>-6.0720146016485115E-2</v>
      </c>
      <c r="H84">
        <v>1.1243551950642869</v>
      </c>
      <c r="I84">
        <v>0.63794148199445977</v>
      </c>
      <c r="J84">
        <v>0.9317289883813028</v>
      </c>
      <c r="K84">
        <v>0.10929308487367095</v>
      </c>
      <c r="L84">
        <v>0.9317289883813028</v>
      </c>
      <c r="M84">
        <v>-41.821336357292395</v>
      </c>
    </row>
    <row r="85" spans="1:13" x14ac:dyDescent="0.3">
      <c r="A85" t="s">
        <v>789</v>
      </c>
      <c r="B85" t="s">
        <v>468</v>
      </c>
      <c r="C85">
        <f t="shared" si="1"/>
        <v>1</v>
      </c>
      <c r="D85">
        <v>3.2655940175400085E-2</v>
      </c>
      <c r="E85">
        <v>2.8645576544074042E-2</v>
      </c>
      <c r="F85">
        <v>9.7058085400963823E-3</v>
      </c>
      <c r="G85">
        <v>0.21773567003788322</v>
      </c>
      <c r="H85">
        <v>1.2683829941606961</v>
      </c>
      <c r="I85">
        <v>2.4260906009694234</v>
      </c>
      <c r="J85">
        <v>1.3171047730431404</v>
      </c>
      <c r="K85">
        <v>0.18307562204789374</v>
      </c>
      <c r="L85">
        <v>1.1470901150419635</v>
      </c>
      <c r="M85">
        <v>14.282111844390414</v>
      </c>
    </row>
    <row r="86" spans="1:13" x14ac:dyDescent="0.3">
      <c r="A86" t="s">
        <v>795</v>
      </c>
      <c r="B86" t="s">
        <v>468</v>
      </c>
      <c r="C86">
        <f t="shared" si="1"/>
        <v>1</v>
      </c>
      <c r="D86">
        <v>8.3187542539820872E-2</v>
      </c>
      <c r="E86">
        <v>3.8698167585385294E-2</v>
      </c>
      <c r="F86">
        <v>9.2492977705966178E-3</v>
      </c>
      <c r="G86">
        <v>0.49464634808960195</v>
      </c>
      <c r="H86">
        <v>1.9568399735833235</v>
      </c>
      <c r="I86">
        <v>39.31325714285714</v>
      </c>
      <c r="J86">
        <v>2.0466455889368587</v>
      </c>
      <c r="K86">
        <v>0.48171804193297219</v>
      </c>
      <c r="L86">
        <v>1.892749389593912</v>
      </c>
      <c r="M86">
        <v>6.2190712382828979</v>
      </c>
    </row>
    <row r="87" spans="1:13" x14ac:dyDescent="0.3">
      <c r="A87" t="s">
        <v>797</v>
      </c>
      <c r="B87" t="s">
        <v>468</v>
      </c>
      <c r="C87">
        <f t="shared" si="1"/>
        <v>1</v>
      </c>
      <c r="D87">
        <v>5.9487686537340028E-3</v>
      </c>
      <c r="E87">
        <v>2.6297977126721536E-2</v>
      </c>
      <c r="F87">
        <v>2.1587378697131062E-2</v>
      </c>
      <c r="G87">
        <v>1.7410696427857114E-2</v>
      </c>
      <c r="H87">
        <v>1.175225260518687</v>
      </c>
      <c r="I87">
        <v>0.33077536412276809</v>
      </c>
      <c r="J87">
        <v>1.0280193340378847</v>
      </c>
      <c r="K87">
        <v>0.10187296380744118</v>
      </c>
      <c r="L87">
        <v>0.75072475123403593</v>
      </c>
      <c r="M87">
        <v>132.85104346161211</v>
      </c>
    </row>
    <row r="88" spans="1:13" x14ac:dyDescent="0.3">
      <c r="A88" t="s">
        <v>799</v>
      </c>
      <c r="B88" t="s">
        <v>468</v>
      </c>
      <c r="C88">
        <f t="shared" si="1"/>
        <v>1</v>
      </c>
      <c r="D88">
        <v>9.1596048862149851E-3</v>
      </c>
      <c r="E88">
        <v>1.2386715560105075E-2</v>
      </c>
      <c r="F88">
        <v>1.3127681569101005E-2</v>
      </c>
      <c r="G88">
        <v>0.24880908079366226</v>
      </c>
      <c r="H88">
        <v>1.3411323902955001</v>
      </c>
      <c r="I88">
        <v>3.8092587564485476</v>
      </c>
      <c r="J88">
        <v>1.3804704177023821</v>
      </c>
      <c r="K88">
        <v>0.20779480457446275</v>
      </c>
      <c r="L88">
        <v>1.2107210341137358</v>
      </c>
      <c r="M88">
        <v>14.880109235130851</v>
      </c>
    </row>
    <row r="89" spans="1:13" x14ac:dyDescent="0.3">
      <c r="A89" t="s">
        <v>801</v>
      </c>
      <c r="B89" t="s">
        <v>468</v>
      </c>
      <c r="C89">
        <f t="shared" si="1"/>
        <v>1</v>
      </c>
      <c r="D89">
        <v>0.11230466234659613</v>
      </c>
      <c r="E89">
        <v>6.4716695256876622E-2</v>
      </c>
      <c r="F89">
        <v>3.1370220942903227E-3</v>
      </c>
      <c r="G89">
        <v>5.1857524623653541E-2</v>
      </c>
      <c r="H89">
        <v>1.2617199603885765</v>
      </c>
      <c r="I89">
        <v>0.87362710658544163</v>
      </c>
      <c r="J89">
        <v>1.0675403278448821</v>
      </c>
      <c r="K89">
        <v>0.15755128716602945</v>
      </c>
      <c r="L89">
        <v>1.0341793972537596</v>
      </c>
      <c r="M89">
        <v>38.413364518498476</v>
      </c>
    </row>
    <row r="90" spans="1:13" x14ac:dyDescent="0.3">
      <c r="A90" t="s">
        <v>805</v>
      </c>
      <c r="B90" t="s">
        <v>468</v>
      </c>
      <c r="C90">
        <f t="shared" si="1"/>
        <v>1</v>
      </c>
      <c r="D90">
        <v>9.5033414907676472E-3</v>
      </c>
      <c r="E90">
        <v>9.7011591665028696E-3</v>
      </c>
      <c r="F90">
        <v>6.860451074658159E-4</v>
      </c>
      <c r="G90">
        <v>0.45001296338360369</v>
      </c>
      <c r="H90">
        <v>1.8470897856434512</v>
      </c>
      <c r="I90">
        <v>8.6515282169205729</v>
      </c>
      <c r="J90">
        <v>1.8929026677592644</v>
      </c>
      <c r="K90">
        <v>0.20717551962518613</v>
      </c>
      <c r="L90">
        <v>1.7621269526449175</v>
      </c>
      <c r="M90">
        <v>9.9866673464705435</v>
      </c>
    </row>
    <row r="91" spans="1:13" x14ac:dyDescent="0.3">
      <c r="A91" t="s">
        <v>809</v>
      </c>
      <c r="B91" t="s">
        <v>468</v>
      </c>
      <c r="C91">
        <f t="shared" si="1"/>
        <v>1</v>
      </c>
      <c r="D91">
        <v>7.6385618421560844E-2</v>
      </c>
      <c r="E91">
        <v>6.1518136149677626E-2</v>
      </c>
      <c r="F91">
        <v>7.756710316519983E-3</v>
      </c>
      <c r="G91">
        <v>0.37287436548223346</v>
      </c>
      <c r="H91">
        <v>1.7310340748751658</v>
      </c>
      <c r="I91">
        <v>4.1866962033105661</v>
      </c>
      <c r="J91">
        <v>1.7150682944065745</v>
      </c>
      <c r="K91">
        <v>0.41510884420148381</v>
      </c>
      <c r="L91">
        <v>1.5481108003751363</v>
      </c>
      <c r="M91">
        <v>6.2048805869532497</v>
      </c>
    </row>
    <row r="92" spans="1:13" x14ac:dyDescent="0.3">
      <c r="A92" t="s">
        <v>811</v>
      </c>
      <c r="B92" t="s">
        <v>468</v>
      </c>
      <c r="C92">
        <f t="shared" si="1"/>
        <v>1</v>
      </c>
      <c r="D92">
        <v>2.3778723592158865E-2</v>
      </c>
      <c r="E92">
        <v>2.4663133868996653E-2</v>
      </c>
      <c r="F92">
        <v>3.2574686040032575E-3</v>
      </c>
      <c r="G92">
        <v>8.002565689251448E-2</v>
      </c>
      <c r="H92">
        <v>1.3009194873550429</v>
      </c>
      <c r="I92">
        <v>0.98540542744160131</v>
      </c>
      <c r="J92">
        <v>1.1041069365398604</v>
      </c>
      <c r="K92">
        <v>0.14907929172174608</v>
      </c>
      <c r="L92">
        <v>1.1041069365398604</v>
      </c>
      <c r="M92">
        <v>48.454374967887787</v>
      </c>
    </row>
    <row r="93" spans="1:13" x14ac:dyDescent="0.3">
      <c r="A93" t="s">
        <v>817</v>
      </c>
      <c r="B93" t="s">
        <v>468</v>
      </c>
      <c r="C93">
        <f t="shared" si="1"/>
        <v>1</v>
      </c>
      <c r="D93">
        <v>2.290053858050874E-2</v>
      </c>
      <c r="E93">
        <v>3.9497253115369148E-2</v>
      </c>
      <c r="F93">
        <v>8.9622742484462298E-3</v>
      </c>
      <c r="G93">
        <v>0.40944872126919751</v>
      </c>
      <c r="H93">
        <v>1.7083575548897734</v>
      </c>
      <c r="I93">
        <v>23.732949971247844</v>
      </c>
      <c r="J93">
        <v>1.7130186741900815</v>
      </c>
      <c r="K93">
        <v>0.28428822553714411</v>
      </c>
      <c r="L93">
        <v>1.6805037456136429</v>
      </c>
      <c r="M93">
        <v>6.2775689834426283</v>
      </c>
    </row>
    <row r="94" spans="1:13" x14ac:dyDescent="0.3">
      <c r="A94" t="s">
        <v>819</v>
      </c>
      <c r="B94" t="s">
        <v>468</v>
      </c>
      <c r="C94">
        <f t="shared" si="1"/>
        <v>1</v>
      </c>
      <c r="D94">
        <v>6.135877992146941E-2</v>
      </c>
      <c r="E94">
        <v>5.7548935613195275E-2</v>
      </c>
      <c r="F94">
        <v>4.4890627268800387E-2</v>
      </c>
      <c r="G94">
        <v>0.13186016945385362</v>
      </c>
      <c r="H94">
        <v>1.168578081433931</v>
      </c>
      <c r="I94">
        <v>4.8170575692963755</v>
      </c>
      <c r="J94">
        <v>1.1594617768567275</v>
      </c>
      <c r="K94">
        <v>0.11298108980342998</v>
      </c>
      <c r="L94">
        <v>1.1203951050812768</v>
      </c>
      <c r="M94">
        <v>15.710068098304284</v>
      </c>
    </row>
    <row r="95" spans="1:13" x14ac:dyDescent="0.3">
      <c r="A95" t="s">
        <v>823</v>
      </c>
      <c r="B95" t="s">
        <v>468</v>
      </c>
      <c r="C95">
        <f t="shared" si="1"/>
        <v>1</v>
      </c>
      <c r="D95">
        <v>0.14905792604715887</v>
      </c>
      <c r="E95">
        <v>8.9978847508351931E-2</v>
      </c>
      <c r="F95">
        <v>4.6847267368214998E-3</v>
      </c>
      <c r="G95">
        <v>0.21193552669783186</v>
      </c>
      <c r="H95">
        <v>1.2843272212587629</v>
      </c>
      <c r="I95">
        <v>0.62516188348343604</v>
      </c>
      <c r="J95">
        <v>1.4852785254057581</v>
      </c>
      <c r="K95">
        <v>0.20476954777373252</v>
      </c>
      <c r="L95">
        <v>0.83309836017849637</v>
      </c>
      <c r="M95">
        <v>9.1758543417366951</v>
      </c>
    </row>
    <row r="96" spans="1:13" x14ac:dyDescent="0.3">
      <c r="A96" t="s">
        <v>825</v>
      </c>
      <c r="B96" t="s">
        <v>468</v>
      </c>
      <c r="C96">
        <f t="shared" si="1"/>
        <v>1</v>
      </c>
      <c r="D96">
        <v>5.2778364204046711E-4</v>
      </c>
      <c r="E96">
        <v>1.1905340558443105E-2</v>
      </c>
      <c r="F96">
        <v>1.7685391833835342E-3</v>
      </c>
      <c r="G96">
        <v>0.13238285328924468</v>
      </c>
      <c r="H96">
        <v>1.1606322274402869</v>
      </c>
      <c r="I96">
        <v>1.7886817267522821</v>
      </c>
      <c r="J96">
        <v>1.1670028472436622</v>
      </c>
      <c r="K96">
        <v>0.12574236425339366</v>
      </c>
      <c r="L96">
        <v>1.0736788617886177</v>
      </c>
      <c r="M96">
        <v>36.765790933179957</v>
      </c>
    </row>
    <row r="97" spans="1:13" x14ac:dyDescent="0.3">
      <c r="A97" t="s">
        <v>827</v>
      </c>
      <c r="B97" t="s">
        <v>468</v>
      </c>
      <c r="C97">
        <f t="shared" si="1"/>
        <v>1</v>
      </c>
      <c r="D97">
        <v>5.562506107319011E-2</v>
      </c>
      <c r="E97">
        <v>4.7859111038955182E-2</v>
      </c>
      <c r="F97">
        <v>2.6364339131701539E-2</v>
      </c>
      <c r="G97">
        <v>0.22354197486607527</v>
      </c>
      <c r="H97">
        <v>1.2800442065362982</v>
      </c>
      <c r="I97">
        <v>1.7795088217506771</v>
      </c>
      <c r="J97">
        <v>1.3351748284835581</v>
      </c>
      <c r="K97">
        <v>0.17084934287257839</v>
      </c>
      <c r="L97">
        <v>1.1398581060666038</v>
      </c>
      <c r="M97">
        <v>10.016691323448033</v>
      </c>
    </row>
    <row r="98" spans="1:13" x14ac:dyDescent="0.3">
      <c r="A98" t="s">
        <v>829</v>
      </c>
      <c r="B98" t="s">
        <v>468</v>
      </c>
      <c r="C98">
        <f t="shared" si="1"/>
        <v>1</v>
      </c>
      <c r="D98">
        <v>9.5132847968597459E-2</v>
      </c>
      <c r="E98">
        <v>5.7753747156716911E-2</v>
      </c>
      <c r="F98">
        <v>1.4951027201047667E-2</v>
      </c>
      <c r="G98">
        <v>7.1725546948156971E-2</v>
      </c>
      <c r="H98">
        <v>1.5891891306877062</v>
      </c>
      <c r="I98">
        <v>1.0571727975361727</v>
      </c>
      <c r="J98">
        <v>1.1289836657838739</v>
      </c>
      <c r="K98">
        <v>0.3658500042564059</v>
      </c>
      <c r="L98">
        <v>0.99770557183481201</v>
      </c>
      <c r="M98">
        <v>42.097369920243068</v>
      </c>
    </row>
    <row r="99" spans="1:13" x14ac:dyDescent="0.3">
      <c r="A99" t="s">
        <v>831</v>
      </c>
      <c r="B99" t="s">
        <v>468</v>
      </c>
      <c r="C99">
        <f t="shared" si="1"/>
        <v>1</v>
      </c>
      <c r="D99">
        <v>2.3669255787621017E-2</v>
      </c>
      <c r="E99">
        <v>4.8965910024679885E-2</v>
      </c>
      <c r="F99">
        <v>1.541037352770982E-2</v>
      </c>
      <c r="G99">
        <v>0.18540974515346584</v>
      </c>
      <c r="H99">
        <v>1.0811551099180468</v>
      </c>
      <c r="I99">
        <v>0.45348929526027471</v>
      </c>
      <c r="J99">
        <v>1.2735150699851054</v>
      </c>
      <c r="K99">
        <v>5.7769035109454719E-2</v>
      </c>
      <c r="L99">
        <v>0.93334754805212805</v>
      </c>
      <c r="M99">
        <v>16.042356085675845</v>
      </c>
    </row>
    <row r="100" spans="1:13" x14ac:dyDescent="0.3">
      <c r="A100" t="s">
        <v>833</v>
      </c>
      <c r="B100" t="s">
        <v>468</v>
      </c>
      <c r="C100">
        <f t="shared" si="1"/>
        <v>1</v>
      </c>
      <c r="D100">
        <v>-3.5473865838765932E-2</v>
      </c>
      <c r="E100">
        <v>-9.7573708617706735E-3</v>
      </c>
      <c r="F100">
        <v>1.6225504384006473E-3</v>
      </c>
      <c r="G100">
        <v>0.2957676015760049</v>
      </c>
      <c r="H100">
        <v>1.5312051029836953</v>
      </c>
      <c r="I100">
        <v>7.2390693316677073</v>
      </c>
      <c r="J100">
        <v>1.4528808608304271</v>
      </c>
      <c r="K100">
        <v>0.27073372993007649</v>
      </c>
      <c r="L100">
        <v>1.4528808608304271</v>
      </c>
      <c r="M100">
        <v>11.523058899412256</v>
      </c>
    </row>
    <row r="101" spans="1:13" x14ac:dyDescent="0.3">
      <c r="A101" t="s">
        <v>835</v>
      </c>
      <c r="B101" t="s">
        <v>468</v>
      </c>
      <c r="C101">
        <f t="shared" si="1"/>
        <v>1</v>
      </c>
      <c r="D101">
        <v>1.7053343306182481E-2</v>
      </c>
      <c r="E101">
        <v>2.8081615785223803E-2</v>
      </c>
      <c r="F101">
        <v>6.1030102529555395E-2</v>
      </c>
      <c r="G101">
        <v>0.92149930016249582</v>
      </c>
      <c r="H101">
        <v>15.83161058089231</v>
      </c>
      <c r="I101">
        <v>150.35432016075018</v>
      </c>
      <c r="J101">
        <v>15.588818070737426</v>
      </c>
      <c r="K101">
        <v>0.93650565189185586</v>
      </c>
      <c r="L101">
        <v>15.588818070737426</v>
      </c>
      <c r="M101">
        <v>3.921906266694434</v>
      </c>
    </row>
    <row r="102" spans="1:13" x14ac:dyDescent="0.3">
      <c r="A102" t="s">
        <v>837</v>
      </c>
      <c r="B102" t="s">
        <v>468</v>
      </c>
      <c r="C102">
        <f t="shared" si="1"/>
        <v>1</v>
      </c>
      <c r="D102">
        <v>3.1702570689084789E-2</v>
      </c>
      <c r="E102">
        <v>2.7814476832163332E-2</v>
      </c>
      <c r="F102">
        <v>1.2576597149385113E-3</v>
      </c>
      <c r="G102">
        <v>-4.7765248356464573E-3</v>
      </c>
      <c r="H102">
        <v>1.2797881042340202</v>
      </c>
      <c r="I102">
        <v>1.002175218371532</v>
      </c>
      <c r="J102">
        <v>0.99388706033576135</v>
      </c>
      <c r="K102">
        <v>0.16827025505234963</v>
      </c>
      <c r="L102">
        <v>0.99388706033576135</v>
      </c>
      <c r="M102">
        <v>-688.48108323377141</v>
      </c>
    </row>
    <row r="103" spans="1:13" x14ac:dyDescent="0.3">
      <c r="A103" t="s">
        <v>477</v>
      </c>
      <c r="B103" t="s">
        <v>468</v>
      </c>
      <c r="C103">
        <f t="shared" si="1"/>
        <v>1</v>
      </c>
      <c r="D103">
        <v>4.9380159117386416E-3</v>
      </c>
      <c r="E103">
        <v>4.4790987399002599E-2</v>
      </c>
      <c r="F103">
        <v>2.8026950967066564E-2</v>
      </c>
      <c r="G103">
        <v>0.22366673517238025</v>
      </c>
      <c r="H103">
        <v>1.6756248025120468</v>
      </c>
      <c r="I103">
        <v>0.94501672267498937</v>
      </c>
      <c r="J103">
        <v>1.5621382949180782</v>
      </c>
      <c r="K103">
        <v>0.34883624998250529</v>
      </c>
      <c r="L103">
        <v>1.0414885160755194</v>
      </c>
      <c r="M103">
        <v>2.651487457144833</v>
      </c>
    </row>
    <row r="104" spans="1:13" x14ac:dyDescent="0.3">
      <c r="A104" t="s">
        <v>479</v>
      </c>
      <c r="B104" t="s">
        <v>468</v>
      </c>
      <c r="C104">
        <f t="shared" si="1"/>
        <v>1</v>
      </c>
      <c r="D104">
        <v>1.4914166726673873E-4</v>
      </c>
      <c r="E104">
        <v>3.0468851620774257E-2</v>
      </c>
      <c r="F104">
        <v>1.4275658477422055E-2</v>
      </c>
      <c r="G104">
        <v>0.13173534009366175</v>
      </c>
      <c r="H104">
        <v>1.1185288258277963</v>
      </c>
      <c r="I104">
        <v>0.64016088100943092</v>
      </c>
      <c r="J104">
        <v>1.1823671983881372</v>
      </c>
      <c r="K104">
        <v>8.7672617113556381E-2</v>
      </c>
      <c r="L104">
        <v>0.95533375801611953</v>
      </c>
      <c r="M104">
        <v>8.2074501255431969</v>
      </c>
    </row>
    <row r="105" spans="1:13" x14ac:dyDescent="0.3">
      <c r="A105" t="s">
        <v>483</v>
      </c>
      <c r="B105" t="s">
        <v>468</v>
      </c>
      <c r="C105">
        <f t="shared" si="1"/>
        <v>1</v>
      </c>
      <c r="D105">
        <v>-6.7421403618731224E-2</v>
      </c>
      <c r="E105">
        <v>0.20437492001299482</v>
      </c>
      <c r="F105">
        <v>5.5047514884359293E-2</v>
      </c>
      <c r="G105">
        <v>0.36720995784147414</v>
      </c>
      <c r="H105">
        <v>1.3845604521376917</v>
      </c>
      <c r="I105">
        <v>1.150884171179374</v>
      </c>
      <c r="J105">
        <v>1.6883196242795382</v>
      </c>
      <c r="K105">
        <v>0.11184292485397036</v>
      </c>
      <c r="L105">
        <v>1.2470701645221507</v>
      </c>
      <c r="M105">
        <v>1.6103355453602919</v>
      </c>
    </row>
    <row r="106" spans="1:13" x14ac:dyDescent="0.3">
      <c r="A106" t="s">
        <v>497</v>
      </c>
      <c r="B106" t="s">
        <v>468</v>
      </c>
      <c r="C106">
        <f t="shared" si="1"/>
        <v>1</v>
      </c>
      <c r="D106">
        <v>7.6035105087996671E-2</v>
      </c>
      <c r="E106">
        <v>0.21568943507634822</v>
      </c>
      <c r="F106">
        <v>7.4386555561178755E-3</v>
      </c>
      <c r="G106">
        <v>0.32615006412988468</v>
      </c>
      <c r="H106">
        <v>1.9952255392626321</v>
      </c>
      <c r="I106">
        <v>2.0837431741836308</v>
      </c>
      <c r="J106">
        <v>1.7537324033710224</v>
      </c>
      <c r="K106">
        <v>0.47875505669577412</v>
      </c>
      <c r="L106">
        <v>1.5141036404989228</v>
      </c>
      <c r="M106">
        <v>1.6365700273745487</v>
      </c>
    </row>
    <row r="107" spans="1:13" x14ac:dyDescent="0.3">
      <c r="A107" t="s">
        <v>501</v>
      </c>
      <c r="B107" t="s">
        <v>468</v>
      </c>
      <c r="C107">
        <f t="shared" si="1"/>
        <v>1</v>
      </c>
      <c r="D107">
        <v>-8.4855106064114817E-3</v>
      </c>
      <c r="E107">
        <v>0.30046116480971946</v>
      </c>
      <c r="F107">
        <v>2.6829718010544599E-2</v>
      </c>
      <c r="G107">
        <v>0.19327082402795936</v>
      </c>
      <c r="H107">
        <v>2.6045533603553293</v>
      </c>
      <c r="I107">
        <v>0.86415852279330496</v>
      </c>
      <c r="J107">
        <v>1.7933432379464029</v>
      </c>
      <c r="K107">
        <v>0.48602989635045629</v>
      </c>
      <c r="L107">
        <v>1.1378941190611345</v>
      </c>
      <c r="M107">
        <v>0.95658043197534315</v>
      </c>
    </row>
    <row r="108" spans="1:13" x14ac:dyDescent="0.3">
      <c r="A108" t="s">
        <v>515</v>
      </c>
      <c r="B108" t="s">
        <v>468</v>
      </c>
      <c r="C108">
        <f t="shared" si="1"/>
        <v>1</v>
      </c>
      <c r="D108">
        <v>1.8417679617459035E-2</v>
      </c>
      <c r="E108">
        <v>0.10008598023700639</v>
      </c>
      <c r="F108">
        <v>7.5381844573368176E-2</v>
      </c>
      <c r="G108">
        <v>0.43030617680713273</v>
      </c>
      <c r="H108">
        <v>1.2282695762820444</v>
      </c>
      <c r="I108">
        <v>0.73510783154072568</v>
      </c>
      <c r="J108">
        <v>2.3290008582973249</v>
      </c>
      <c r="K108">
        <v>0.17023385885019066</v>
      </c>
      <c r="L108">
        <v>0.9262232150454448</v>
      </c>
      <c r="M108">
        <v>0.44551135554046378</v>
      </c>
    </row>
    <row r="109" spans="1:13" x14ac:dyDescent="0.3">
      <c r="A109" t="s">
        <v>517</v>
      </c>
      <c r="B109" t="s">
        <v>468</v>
      </c>
      <c r="C109">
        <f t="shared" si="1"/>
        <v>1</v>
      </c>
      <c r="D109">
        <v>3.4280911388093749E-2</v>
      </c>
      <c r="E109">
        <v>6.2039192267533731E-2</v>
      </c>
      <c r="F109">
        <v>3.19318424006882E-2</v>
      </c>
      <c r="G109">
        <v>0.12210653617737789</v>
      </c>
      <c r="H109">
        <v>1.0502071981296905</v>
      </c>
      <c r="I109">
        <v>1.185070494395271</v>
      </c>
      <c r="J109">
        <v>1.1450542362891849</v>
      </c>
      <c r="K109">
        <v>3.9063518316621644E-2</v>
      </c>
      <c r="L109">
        <v>1.0123007143063167</v>
      </c>
      <c r="M109">
        <v>10.636463322118136</v>
      </c>
    </row>
    <row r="110" spans="1:13" x14ac:dyDescent="0.3">
      <c r="A110" t="s">
        <v>543</v>
      </c>
      <c r="B110" t="s">
        <v>468</v>
      </c>
      <c r="C110">
        <f t="shared" si="1"/>
        <v>1</v>
      </c>
      <c r="D110">
        <v>-1.9237027580645015E-2</v>
      </c>
      <c r="E110">
        <v>3.3215146762300231E-2</v>
      </c>
      <c r="F110">
        <v>5.0518706014462358E-2</v>
      </c>
      <c r="G110">
        <v>9.2549145592447007E-2</v>
      </c>
      <c r="H110">
        <v>1.5902267821342719</v>
      </c>
      <c r="I110">
        <v>1.2413708278929951</v>
      </c>
      <c r="J110">
        <v>1.1471741299847533</v>
      </c>
      <c r="K110">
        <v>0.32739436930913707</v>
      </c>
      <c r="L110">
        <v>1.1471741299847533</v>
      </c>
      <c r="M110">
        <v>8.6911628243923449</v>
      </c>
    </row>
    <row r="111" spans="1:13" x14ac:dyDescent="0.3">
      <c r="A111" t="s">
        <v>553</v>
      </c>
      <c r="B111" t="s">
        <v>468</v>
      </c>
      <c r="C111">
        <f t="shared" si="1"/>
        <v>1</v>
      </c>
      <c r="D111">
        <v>-8.9393392884585237E-3</v>
      </c>
      <c r="E111">
        <v>-7.5907886388648883E-3</v>
      </c>
      <c r="F111">
        <v>9.3295111078688491E-5</v>
      </c>
      <c r="G111">
        <v>0.57210865959997248</v>
      </c>
      <c r="H111">
        <v>1.4105658272808475</v>
      </c>
      <c r="I111">
        <v>6.7497202679479669</v>
      </c>
      <c r="J111">
        <v>2.5225352267697074</v>
      </c>
      <c r="K111">
        <v>0.2608247597836541</v>
      </c>
      <c r="L111">
        <v>1.3370319022621415</v>
      </c>
      <c r="M111">
        <v>1.5682456983273032</v>
      </c>
    </row>
    <row r="112" spans="1:13" x14ac:dyDescent="0.3">
      <c r="A112" t="s">
        <v>555</v>
      </c>
      <c r="B112" t="s">
        <v>468</v>
      </c>
      <c r="C112">
        <f t="shared" si="1"/>
        <v>1</v>
      </c>
      <c r="D112">
        <v>3.1992972783645039E-2</v>
      </c>
      <c r="E112">
        <v>0.39634332483519386</v>
      </c>
      <c r="F112">
        <v>1.0162443225921088E-2</v>
      </c>
      <c r="G112">
        <v>0.63709169768618079</v>
      </c>
      <c r="H112">
        <v>5.2926664869236992</v>
      </c>
      <c r="I112">
        <v>3.4154250365837435</v>
      </c>
      <c r="J112">
        <v>5.421352996136461</v>
      </c>
      <c r="K112">
        <v>0.74734287388065945</v>
      </c>
      <c r="L112">
        <v>4.1345568693910568</v>
      </c>
      <c r="M112">
        <v>0.23074418870295277</v>
      </c>
    </row>
    <row r="113" spans="1:13" x14ac:dyDescent="0.3">
      <c r="A113" t="s">
        <v>601</v>
      </c>
      <c r="B113" t="s">
        <v>468</v>
      </c>
      <c r="C113">
        <f t="shared" si="1"/>
        <v>1</v>
      </c>
      <c r="D113">
        <v>1.0874484444986711E-2</v>
      </c>
      <c r="E113">
        <v>2.810667244146646E-2</v>
      </c>
      <c r="F113">
        <v>1.7474644450321587E-2</v>
      </c>
      <c r="G113">
        <v>0.12206369875103749</v>
      </c>
      <c r="H113">
        <v>1.14476015287078</v>
      </c>
      <c r="I113">
        <v>1.0880127245357127</v>
      </c>
      <c r="J113">
        <v>1.1538528902890171</v>
      </c>
      <c r="K113">
        <v>7.1932171125944078E-2</v>
      </c>
      <c r="L113">
        <v>1.0479626698031075</v>
      </c>
      <c r="M113">
        <v>17.252390549007629</v>
      </c>
    </row>
    <row r="114" spans="1:13" x14ac:dyDescent="0.3">
      <c r="A114" t="s">
        <v>607</v>
      </c>
      <c r="B114" t="s">
        <v>468</v>
      </c>
      <c r="C114">
        <f t="shared" si="1"/>
        <v>1</v>
      </c>
      <c r="D114">
        <v>6.7077906175153135E-2</v>
      </c>
      <c r="E114">
        <v>7.5889821367170068E-2</v>
      </c>
      <c r="F114">
        <v>1.4832213337618741E-2</v>
      </c>
      <c r="G114">
        <v>0.32043784761909366</v>
      </c>
      <c r="H114">
        <v>1.3529709306528845</v>
      </c>
      <c r="I114">
        <v>1.0325929349149316</v>
      </c>
      <c r="J114">
        <v>1.5732042073626851</v>
      </c>
      <c r="K114">
        <v>0.12397130441792879</v>
      </c>
      <c r="L114">
        <v>1.1898932510920623</v>
      </c>
      <c r="M114">
        <v>4.4627575139215558</v>
      </c>
    </row>
    <row r="115" spans="1:13" x14ac:dyDescent="0.3">
      <c r="A115" t="s">
        <v>621</v>
      </c>
      <c r="B115" t="s">
        <v>468</v>
      </c>
      <c r="C115">
        <f t="shared" si="1"/>
        <v>1</v>
      </c>
      <c r="D115">
        <v>0.11393793229258459</v>
      </c>
      <c r="E115">
        <v>0.11709240706439855</v>
      </c>
      <c r="F115">
        <v>2.4105446544005739E-2</v>
      </c>
      <c r="G115">
        <v>4.4245840940011973E-2</v>
      </c>
      <c r="H115">
        <v>1.4835297128495075</v>
      </c>
      <c r="I115">
        <v>0.97280326627831992</v>
      </c>
      <c r="J115">
        <v>1.0684641598413585</v>
      </c>
      <c r="K115">
        <v>0.29061946450843734</v>
      </c>
      <c r="L115">
        <v>1.0243901140110683</v>
      </c>
      <c r="M115">
        <v>33.783695951031959</v>
      </c>
    </row>
    <row r="116" spans="1:13" x14ac:dyDescent="0.3">
      <c r="A116" t="s">
        <v>627</v>
      </c>
      <c r="B116" t="s">
        <v>468</v>
      </c>
      <c r="C116">
        <f t="shared" si="1"/>
        <v>1</v>
      </c>
      <c r="D116">
        <v>3.2712657570690924E-2</v>
      </c>
      <c r="E116">
        <v>4.0341862451740408E-2</v>
      </c>
      <c r="F116">
        <v>1.3910438809736801E-2</v>
      </c>
      <c r="G116">
        <v>0.24585536786371034</v>
      </c>
      <c r="H116">
        <v>1.3322185634165813</v>
      </c>
      <c r="I116">
        <v>2.3538735263044472</v>
      </c>
      <c r="J116">
        <v>1.3683870661534732</v>
      </c>
      <c r="K116">
        <v>0.19299662861449976</v>
      </c>
      <c r="L116">
        <v>1.2166334771434371</v>
      </c>
      <c r="M116">
        <v>6.4483190195018105</v>
      </c>
    </row>
    <row r="117" spans="1:13" x14ac:dyDescent="0.3">
      <c r="A117" t="s">
        <v>645</v>
      </c>
      <c r="B117" t="s">
        <v>468</v>
      </c>
      <c r="C117">
        <f t="shared" si="1"/>
        <v>1</v>
      </c>
      <c r="D117">
        <v>2.0007902587387363E-3</v>
      </c>
      <c r="E117">
        <v>1.9228604129896666E-2</v>
      </c>
      <c r="F117">
        <v>1.4053817302510117E-2</v>
      </c>
      <c r="G117">
        <v>0.12884290031882073</v>
      </c>
      <c r="H117">
        <v>1.1661767633295856</v>
      </c>
      <c r="I117">
        <v>0.39729335848963132</v>
      </c>
      <c r="J117">
        <v>1.1849983395619896</v>
      </c>
      <c r="K117">
        <v>6.9408237888671689E-2</v>
      </c>
      <c r="L117">
        <v>0.96244248869399918</v>
      </c>
      <c r="M117">
        <v>13.275802936324892</v>
      </c>
    </row>
    <row r="118" spans="1:13" x14ac:dyDescent="0.3">
      <c r="A118" t="s">
        <v>647</v>
      </c>
      <c r="B118" t="s">
        <v>468</v>
      </c>
      <c r="C118">
        <f t="shared" si="1"/>
        <v>1</v>
      </c>
      <c r="D118">
        <v>1.9960822617610795E-3</v>
      </c>
      <c r="E118">
        <v>3.8989548410323337E-3</v>
      </c>
      <c r="F118">
        <v>2.2708059256536912E-4</v>
      </c>
      <c r="G118">
        <v>-5.0553924295835197E-2</v>
      </c>
      <c r="H118">
        <v>1.0587452243912658</v>
      </c>
      <c r="I118">
        <v>0.48896390242755955</v>
      </c>
      <c r="J118">
        <v>0.94642751060202535</v>
      </c>
      <c r="K118">
        <v>5.2269926820218117E-2</v>
      </c>
      <c r="L118">
        <v>0.94556604055900817</v>
      </c>
      <c r="M118">
        <v>-22.087456746867449</v>
      </c>
    </row>
    <row r="119" spans="1:13" x14ac:dyDescent="0.3">
      <c r="A119" t="s">
        <v>649</v>
      </c>
      <c r="B119" t="s">
        <v>468</v>
      </c>
      <c r="C119">
        <f t="shared" si="1"/>
        <v>1</v>
      </c>
      <c r="D119">
        <v>4.9588794032890793E-2</v>
      </c>
      <c r="E119">
        <v>4.9056458681484408E-2</v>
      </c>
      <c r="F119">
        <v>2.1346858291150194E-2</v>
      </c>
      <c r="G119">
        <v>0.14763096366137934</v>
      </c>
      <c r="H119">
        <v>1.0893835198719113</v>
      </c>
      <c r="I119">
        <v>1.0977312021453018</v>
      </c>
      <c r="J119">
        <v>1.188618568756723</v>
      </c>
      <c r="K119">
        <v>7.6055781606464118E-2</v>
      </c>
      <c r="L119">
        <v>1.0134826565195645</v>
      </c>
      <c r="M119">
        <v>11.628340023315582</v>
      </c>
    </row>
    <row r="120" spans="1:13" x14ac:dyDescent="0.3">
      <c r="A120" t="s">
        <v>653</v>
      </c>
      <c r="B120" t="s">
        <v>468</v>
      </c>
      <c r="C120">
        <f t="shared" si="1"/>
        <v>1</v>
      </c>
      <c r="D120">
        <v>0.57036719075563513</v>
      </c>
      <c r="E120">
        <v>7.8111953456816402E-2</v>
      </c>
      <c r="F120">
        <v>0.12710170398127882</v>
      </c>
      <c r="G120">
        <v>4.3659417687971644E-2</v>
      </c>
      <c r="H120">
        <v>1.6051747045644629</v>
      </c>
      <c r="I120">
        <v>1.1398536411564877</v>
      </c>
      <c r="J120">
        <v>1.0700809928887465</v>
      </c>
      <c r="K120">
        <v>0.37484181116083476</v>
      </c>
      <c r="L120">
        <v>1.0700809928887465</v>
      </c>
      <c r="M120">
        <v>17.160321939950382</v>
      </c>
    </row>
    <row r="121" spans="1:13" x14ac:dyDescent="0.3">
      <c r="A121" t="s">
        <v>659</v>
      </c>
      <c r="B121" t="s">
        <v>468</v>
      </c>
      <c r="C121">
        <f t="shared" si="1"/>
        <v>1</v>
      </c>
      <c r="D121">
        <v>2.5713711239544763E-2</v>
      </c>
      <c r="E121">
        <v>3.029276948751029E-2</v>
      </c>
      <c r="F121">
        <v>1.4914882238357215E-2</v>
      </c>
      <c r="G121">
        <v>0.15360167864489124</v>
      </c>
      <c r="H121">
        <v>1.1442090658341622</v>
      </c>
      <c r="I121">
        <v>2.5079993402605969</v>
      </c>
      <c r="J121">
        <v>1.1876081386136803</v>
      </c>
      <c r="K121">
        <v>5.6890954638701856E-2</v>
      </c>
      <c r="L121">
        <v>1.1125584509863387</v>
      </c>
      <c r="M121">
        <v>8.7343471171004854</v>
      </c>
    </row>
    <row r="122" spans="1:13" x14ac:dyDescent="0.3">
      <c r="A122" t="s">
        <v>677</v>
      </c>
      <c r="B122" t="s">
        <v>468</v>
      </c>
      <c r="C122">
        <f t="shared" si="1"/>
        <v>1</v>
      </c>
      <c r="D122">
        <v>9.3866097722880126E-2</v>
      </c>
      <c r="E122">
        <v>8.46325475249773E-2</v>
      </c>
      <c r="F122">
        <v>2.113125868842693E-2</v>
      </c>
      <c r="G122">
        <v>0.41224486833619844</v>
      </c>
      <c r="H122">
        <v>1.3301372104825719</v>
      </c>
      <c r="I122">
        <v>1.1955846034298376</v>
      </c>
      <c r="J122">
        <v>2.0102204926467162</v>
      </c>
      <c r="K122">
        <v>0.21482381581375676</v>
      </c>
      <c r="L122">
        <v>1.0911368500798033</v>
      </c>
      <c r="M122">
        <v>3.9982369703051472</v>
      </c>
    </row>
    <row r="123" spans="1:13" x14ac:dyDescent="0.3">
      <c r="A123" t="s">
        <v>695</v>
      </c>
      <c r="B123" t="s">
        <v>468</v>
      </c>
      <c r="C123">
        <f t="shared" si="1"/>
        <v>1</v>
      </c>
      <c r="D123">
        <v>4.195489404767503E-2</v>
      </c>
      <c r="E123">
        <v>2.7193412609780716E-2</v>
      </c>
      <c r="F123">
        <v>3.0140430222779934E-3</v>
      </c>
      <c r="G123">
        <v>0.23987460275889566</v>
      </c>
      <c r="H123">
        <v>1.3797669205860208</v>
      </c>
      <c r="I123">
        <v>3.5134242254870651</v>
      </c>
      <c r="J123">
        <v>1.3522423836102686</v>
      </c>
      <c r="K123">
        <v>0.27519925574704779</v>
      </c>
      <c r="L123">
        <v>1.2705826769615107</v>
      </c>
      <c r="M123">
        <v>12.508076080721699</v>
      </c>
    </row>
    <row r="124" spans="1:13" x14ac:dyDescent="0.3">
      <c r="A124" t="s">
        <v>703</v>
      </c>
      <c r="B124" t="s">
        <v>468</v>
      </c>
      <c r="C124">
        <f t="shared" si="1"/>
        <v>1</v>
      </c>
      <c r="D124">
        <v>-3.1938611920163312E-2</v>
      </c>
      <c r="E124">
        <v>0.12548819400127634</v>
      </c>
      <c r="F124">
        <v>6.7103872043327625E-3</v>
      </c>
      <c r="G124">
        <v>0.13253610867487803</v>
      </c>
      <c r="H124">
        <v>1.1227700605261581</v>
      </c>
      <c r="I124">
        <v>1.5824900546051337</v>
      </c>
      <c r="J124">
        <v>1.1652020490985295</v>
      </c>
      <c r="K124">
        <v>8.9344044598579475E-2</v>
      </c>
      <c r="L124">
        <v>1.049568646251573</v>
      </c>
      <c r="M124">
        <v>11.863792470215275</v>
      </c>
    </row>
    <row r="125" spans="1:13" x14ac:dyDescent="0.3">
      <c r="A125" t="s">
        <v>713</v>
      </c>
      <c r="B125" t="s">
        <v>468</v>
      </c>
      <c r="C125">
        <f t="shared" si="1"/>
        <v>1</v>
      </c>
      <c r="D125">
        <v>2.420252850078625E-2</v>
      </c>
      <c r="E125">
        <v>3.3340183250904765E-2</v>
      </c>
      <c r="F125">
        <v>3.5420245405270306E-2</v>
      </c>
      <c r="G125">
        <v>0.23644210427192325</v>
      </c>
      <c r="H125">
        <v>1.3357235365912155</v>
      </c>
      <c r="I125">
        <v>5.09884864338495</v>
      </c>
      <c r="J125">
        <v>1.3282055883447652</v>
      </c>
      <c r="K125">
        <v>0.21310697005559859</v>
      </c>
      <c r="L125">
        <v>1.2780879084566721</v>
      </c>
      <c r="M125">
        <v>12.252522081928426</v>
      </c>
    </row>
    <row r="126" spans="1:13" x14ac:dyDescent="0.3">
      <c r="A126" t="s">
        <v>729</v>
      </c>
      <c r="B126" t="s">
        <v>468</v>
      </c>
      <c r="C126">
        <f t="shared" si="1"/>
        <v>1</v>
      </c>
      <c r="D126">
        <v>8.4160060502113526E-2</v>
      </c>
      <c r="E126">
        <v>8.3350055917638638E-2</v>
      </c>
      <c r="F126">
        <v>4.276218283797336E-2</v>
      </c>
      <c r="G126">
        <v>-0.12126813542666832</v>
      </c>
      <c r="H126">
        <v>1.3091595764390667</v>
      </c>
      <c r="I126">
        <v>0.26659800829628338</v>
      </c>
      <c r="J126">
        <v>0.75137299481751185</v>
      </c>
      <c r="K126">
        <v>0.16889433680456523</v>
      </c>
      <c r="L126">
        <v>0.47978489413351949</v>
      </c>
      <c r="M126">
        <v>-20.8164816421796</v>
      </c>
    </row>
    <row r="127" spans="1:13" x14ac:dyDescent="0.3">
      <c r="A127" t="s">
        <v>731</v>
      </c>
      <c r="B127" t="s">
        <v>468</v>
      </c>
      <c r="C127">
        <f t="shared" si="1"/>
        <v>1</v>
      </c>
      <c r="D127">
        <v>7.2152704357847416E-2</v>
      </c>
      <c r="E127">
        <v>4.3624734854961621E-2</v>
      </c>
      <c r="F127">
        <v>1.7301300632863365E-2</v>
      </c>
      <c r="G127">
        <v>8.8199968476166818E-2</v>
      </c>
      <c r="H127">
        <v>1.190001285939764</v>
      </c>
      <c r="I127">
        <v>0.49996841130657371</v>
      </c>
      <c r="J127">
        <v>1.1480222386251142</v>
      </c>
      <c r="K127">
        <v>0.15796193600386546</v>
      </c>
      <c r="L127">
        <v>0.81402771896400772</v>
      </c>
      <c r="M127">
        <v>27.01869005720172</v>
      </c>
    </row>
    <row r="128" spans="1:13" x14ac:dyDescent="0.3">
      <c r="A128" t="s">
        <v>737</v>
      </c>
      <c r="B128" t="s">
        <v>468</v>
      </c>
      <c r="C128">
        <f t="shared" si="1"/>
        <v>1</v>
      </c>
      <c r="D128">
        <v>4.0500533090902312E-2</v>
      </c>
      <c r="E128">
        <v>0.11147012470909257</v>
      </c>
      <c r="F128">
        <v>6.2906254457642752E-2</v>
      </c>
      <c r="G128">
        <v>0.21845092008102288</v>
      </c>
      <c r="H128">
        <v>1.54497251756836</v>
      </c>
      <c r="I128">
        <v>0.70825779156033752</v>
      </c>
      <c r="J128">
        <v>1.5293766962623498</v>
      </c>
      <c r="K128">
        <v>0.24188090730793851</v>
      </c>
      <c r="L128">
        <v>0.97504416080176604</v>
      </c>
      <c r="M128">
        <v>7.4386476252492049</v>
      </c>
    </row>
    <row r="129" spans="1:13" x14ac:dyDescent="0.3">
      <c r="A129" t="s">
        <v>745</v>
      </c>
      <c r="B129" t="s">
        <v>468</v>
      </c>
      <c r="C129">
        <f t="shared" si="1"/>
        <v>1</v>
      </c>
      <c r="D129">
        <v>2.9226477965691861E-3</v>
      </c>
      <c r="E129">
        <v>1.3798808090570505E-2</v>
      </c>
      <c r="F129">
        <v>2.2630636143994593E-2</v>
      </c>
      <c r="G129">
        <v>-0.10405335766067536</v>
      </c>
      <c r="H129">
        <v>1.1721988779797923</v>
      </c>
      <c r="I129">
        <v>0.11477154264407542</v>
      </c>
      <c r="J129">
        <v>0.87802877090012632</v>
      </c>
      <c r="K129">
        <v>2.3096756896035433E-2</v>
      </c>
      <c r="L129">
        <v>0.87802877090012632</v>
      </c>
      <c r="M129">
        <v>-27.023934612746164</v>
      </c>
    </row>
    <row r="130" spans="1:13" x14ac:dyDescent="0.3">
      <c r="A130" t="s">
        <v>749</v>
      </c>
      <c r="B130" t="s">
        <v>468</v>
      </c>
      <c r="C130">
        <f t="shared" si="1"/>
        <v>1</v>
      </c>
      <c r="D130">
        <v>4.9899544565181343E-2</v>
      </c>
      <c r="E130">
        <v>8.5183605720527411E-2</v>
      </c>
      <c r="F130">
        <v>3.5721254959779715E-2</v>
      </c>
      <c r="G130">
        <v>8.7516550895773024E-2</v>
      </c>
      <c r="H130">
        <v>1.1822780969695781</v>
      </c>
      <c r="I130">
        <v>0.28109069648060869</v>
      </c>
      <c r="J130">
        <v>1.1477958248128515</v>
      </c>
      <c r="K130">
        <v>8.8424471810543609E-2</v>
      </c>
      <c r="L130">
        <v>0.80354890267684664</v>
      </c>
      <c r="M130">
        <v>17.581667465688518</v>
      </c>
    </row>
    <row r="131" spans="1:13" x14ac:dyDescent="0.3">
      <c r="A131" t="s">
        <v>751</v>
      </c>
      <c r="B131" t="s">
        <v>468</v>
      </c>
      <c r="C131">
        <f t="shared" ref="C131:C194" si="2">IF(B131="Attiva", 1, 0)</f>
        <v>1</v>
      </c>
      <c r="D131">
        <v>2.4862445602274449E-2</v>
      </c>
      <c r="E131">
        <v>2.8899902802657262E-2</v>
      </c>
      <c r="F131">
        <v>1.2899815416087378E-2</v>
      </c>
      <c r="G131">
        <v>0.22087910347415235</v>
      </c>
      <c r="H131">
        <v>1.0695851702739536</v>
      </c>
      <c r="I131">
        <v>2.9298085688240656</v>
      </c>
      <c r="J131">
        <v>1.2914375689094826</v>
      </c>
      <c r="K131">
        <v>4.9149662557571659E-2</v>
      </c>
      <c r="L131">
        <v>1.0468823658957893</v>
      </c>
      <c r="M131">
        <v>7.6954317858688253</v>
      </c>
    </row>
    <row r="132" spans="1:13" x14ac:dyDescent="0.3">
      <c r="A132" t="s">
        <v>753</v>
      </c>
      <c r="B132" t="s">
        <v>468</v>
      </c>
      <c r="C132">
        <f t="shared" si="2"/>
        <v>1</v>
      </c>
      <c r="D132">
        <v>5.5354861039713252E-2</v>
      </c>
      <c r="E132">
        <v>5.1674998862313984E-2</v>
      </c>
      <c r="F132">
        <v>6.7094850992551066E-4</v>
      </c>
      <c r="G132">
        <v>0.34897966291743487</v>
      </c>
      <c r="H132">
        <v>1.7374658016255147</v>
      </c>
      <c r="I132">
        <v>5.8445381997320487</v>
      </c>
      <c r="J132">
        <v>1.606340229781843</v>
      </c>
      <c r="K132">
        <v>0.39455355828724042</v>
      </c>
      <c r="L132">
        <v>1.606340229781843</v>
      </c>
      <c r="M132">
        <v>4.952238988567621</v>
      </c>
    </row>
    <row r="133" spans="1:13" x14ac:dyDescent="0.3">
      <c r="A133" t="s">
        <v>759</v>
      </c>
      <c r="B133" t="s">
        <v>468</v>
      </c>
      <c r="C133">
        <f t="shared" si="2"/>
        <v>1</v>
      </c>
      <c r="D133">
        <v>4.0393965055365293E-2</v>
      </c>
      <c r="E133">
        <v>0.11781348494087135</v>
      </c>
      <c r="F133">
        <v>1.0110402729140469E-2</v>
      </c>
      <c r="G133">
        <v>0.37399587595099748</v>
      </c>
      <c r="H133">
        <v>2.1219240437904467</v>
      </c>
      <c r="I133">
        <v>2.2496849976448421</v>
      </c>
      <c r="J133">
        <v>1.9404944199219165</v>
      </c>
      <c r="K133">
        <v>0.49660997453175537</v>
      </c>
      <c r="L133">
        <v>1.6373925957795363</v>
      </c>
      <c r="M133">
        <v>5.0582800605389782</v>
      </c>
    </row>
    <row r="134" spans="1:13" x14ac:dyDescent="0.3">
      <c r="A134" t="s">
        <v>763</v>
      </c>
      <c r="B134" t="s">
        <v>468</v>
      </c>
      <c r="C134">
        <f t="shared" si="2"/>
        <v>1</v>
      </c>
      <c r="D134">
        <v>4.3424050073907684E-2</v>
      </c>
      <c r="E134">
        <v>2.3484584062536864E-2</v>
      </c>
      <c r="F134">
        <v>3.9377481832159018E-4</v>
      </c>
      <c r="G134">
        <v>0.605696538594371</v>
      </c>
      <c r="H134">
        <v>2.5553577098277058</v>
      </c>
      <c r="I134">
        <v>16.91358771521638</v>
      </c>
      <c r="J134">
        <v>2.5797827803637259</v>
      </c>
      <c r="K134">
        <v>0.18433292136387081</v>
      </c>
      <c r="L134">
        <v>2.5275081157786286</v>
      </c>
      <c r="M134">
        <v>2.3916564098699693</v>
      </c>
    </row>
    <row r="135" spans="1:13" x14ac:dyDescent="0.3">
      <c r="A135" t="s">
        <v>767</v>
      </c>
      <c r="B135" t="s">
        <v>468</v>
      </c>
      <c r="C135">
        <f t="shared" si="2"/>
        <v>1</v>
      </c>
      <c r="D135">
        <v>3.0844345288496785E-3</v>
      </c>
      <c r="E135">
        <v>3.9712727126132587E-2</v>
      </c>
      <c r="F135">
        <v>1.605963788994795E-2</v>
      </c>
      <c r="G135">
        <v>0.26458195993006389</v>
      </c>
      <c r="H135">
        <v>1.2901966749899776</v>
      </c>
      <c r="I135">
        <v>1.3184257334344018</v>
      </c>
      <c r="J135">
        <v>1.4130684389571693</v>
      </c>
      <c r="K135">
        <v>0.11443500035176495</v>
      </c>
      <c r="L135">
        <v>1.1677700446534005</v>
      </c>
      <c r="M135">
        <v>6.962296018357117</v>
      </c>
    </row>
    <row r="136" spans="1:13" x14ac:dyDescent="0.3">
      <c r="A136" t="s">
        <v>769</v>
      </c>
      <c r="B136" t="s">
        <v>468</v>
      </c>
      <c r="C136">
        <f t="shared" si="2"/>
        <v>1</v>
      </c>
      <c r="D136">
        <v>2.0422243121779367E-2</v>
      </c>
      <c r="E136">
        <v>3.1860988025671728E-2</v>
      </c>
      <c r="F136">
        <v>2.7843276361442387E-2</v>
      </c>
      <c r="G136">
        <v>0.22456988690544244</v>
      </c>
      <c r="H136">
        <v>1.1494969679079219</v>
      </c>
      <c r="I136">
        <v>16.212020298128767</v>
      </c>
      <c r="J136">
        <v>1.2926568031366088</v>
      </c>
      <c r="K136">
        <v>0.12239449426505898</v>
      </c>
      <c r="L136">
        <v>1.1402076809329471</v>
      </c>
      <c r="M136">
        <v>7.5183164292092606</v>
      </c>
    </row>
    <row r="137" spans="1:13" x14ac:dyDescent="0.3">
      <c r="A137" t="s">
        <v>779</v>
      </c>
      <c r="B137" t="s">
        <v>468</v>
      </c>
      <c r="C137">
        <f t="shared" si="2"/>
        <v>1</v>
      </c>
      <c r="D137">
        <v>8.1752830766232035E-2</v>
      </c>
      <c r="E137">
        <v>2.0583785435928783E-2</v>
      </c>
      <c r="F137">
        <v>3.4574650257842085E-4</v>
      </c>
      <c r="G137">
        <v>0.41304148338185132</v>
      </c>
      <c r="H137">
        <v>1.8080890451580109</v>
      </c>
      <c r="I137">
        <v>349.75684380032209</v>
      </c>
      <c r="J137">
        <v>1.7468157812985401</v>
      </c>
      <c r="K137">
        <v>0.42406688260595377</v>
      </c>
      <c r="L137">
        <v>1.7468157812985401</v>
      </c>
      <c r="M137">
        <v>12.372371804568145</v>
      </c>
    </row>
    <row r="138" spans="1:13" x14ac:dyDescent="0.3">
      <c r="A138" t="s">
        <v>783</v>
      </c>
      <c r="B138" t="s">
        <v>468</v>
      </c>
      <c r="C138">
        <f t="shared" si="2"/>
        <v>1</v>
      </c>
      <c r="D138">
        <v>7.8658706689728283E-2</v>
      </c>
      <c r="E138">
        <v>1.8418974052917741E-2</v>
      </c>
      <c r="F138">
        <v>9.3128878991985721E-3</v>
      </c>
      <c r="G138">
        <v>0.51543570835528019</v>
      </c>
      <c r="H138">
        <v>1.4945378978161599</v>
      </c>
      <c r="I138">
        <v>23.522061358152364</v>
      </c>
      <c r="J138">
        <v>2.1625631138339485</v>
      </c>
      <c r="K138">
        <v>0.30459634149607634</v>
      </c>
      <c r="L138">
        <v>1.4329587415316569</v>
      </c>
      <c r="M138">
        <v>10.542079829567596</v>
      </c>
    </row>
    <row r="139" spans="1:13" x14ac:dyDescent="0.3">
      <c r="A139" t="s">
        <v>787</v>
      </c>
      <c r="B139" t="s">
        <v>468</v>
      </c>
      <c r="C139">
        <f t="shared" si="2"/>
        <v>1</v>
      </c>
      <c r="D139">
        <v>1.9116925243816557E-2</v>
      </c>
      <c r="E139">
        <v>1.4783544901719643E-2</v>
      </c>
      <c r="F139">
        <v>6.3781153837805526E-3</v>
      </c>
      <c r="G139">
        <v>0.13574422227744537</v>
      </c>
      <c r="H139">
        <v>1.1555010712786871</v>
      </c>
      <c r="I139">
        <v>1.6844774590163936</v>
      </c>
      <c r="J139">
        <v>1.1668708142403947</v>
      </c>
      <c r="K139">
        <v>7.8567946781870665E-2</v>
      </c>
      <c r="L139">
        <v>1.09681681134451</v>
      </c>
      <c r="M139">
        <v>20.682368265871023</v>
      </c>
    </row>
    <row r="140" spans="1:13" x14ac:dyDescent="0.3">
      <c r="A140" t="s">
        <v>791</v>
      </c>
      <c r="B140" t="s">
        <v>468</v>
      </c>
      <c r="C140">
        <f t="shared" si="2"/>
        <v>1</v>
      </c>
      <c r="D140">
        <v>4.2267058883730328E-2</v>
      </c>
      <c r="E140">
        <v>3.2121801198980005E-2</v>
      </c>
      <c r="F140">
        <v>1.2067999727061676E-2</v>
      </c>
      <c r="G140">
        <v>0.29055374592833882</v>
      </c>
      <c r="H140">
        <v>1.1231368469491123</v>
      </c>
      <c r="I140">
        <v>0.69115194529268864</v>
      </c>
      <c r="J140">
        <v>1.7119583577182389</v>
      </c>
      <c r="K140">
        <v>8.8117788123128024E-2</v>
      </c>
      <c r="L140">
        <v>0.78468934999961826</v>
      </c>
      <c r="M140">
        <v>7.5426276289321201</v>
      </c>
    </row>
    <row r="141" spans="1:13" x14ac:dyDescent="0.3">
      <c r="A141" t="s">
        <v>793</v>
      </c>
      <c r="B141" t="s">
        <v>468</v>
      </c>
      <c r="C141">
        <f t="shared" si="2"/>
        <v>1</v>
      </c>
      <c r="D141">
        <v>0.14230334796937544</v>
      </c>
      <c r="E141">
        <v>0.10299091019195115</v>
      </c>
      <c r="F141">
        <v>2.6787319990524347E-2</v>
      </c>
      <c r="G141">
        <v>0.53640135186885052</v>
      </c>
      <c r="H141">
        <v>2.407201390425981</v>
      </c>
      <c r="I141">
        <v>9.9640165612206921</v>
      </c>
      <c r="J141">
        <v>2.2912260800450732</v>
      </c>
      <c r="K141">
        <v>0.44759940880553745</v>
      </c>
      <c r="L141">
        <v>2.2912260800450732</v>
      </c>
      <c r="M141">
        <v>2.1953997239756466</v>
      </c>
    </row>
    <row r="142" spans="1:13" x14ac:dyDescent="0.3">
      <c r="A142" t="s">
        <v>813</v>
      </c>
      <c r="B142" t="s">
        <v>468</v>
      </c>
      <c r="C142">
        <f t="shared" si="2"/>
        <v>1</v>
      </c>
      <c r="D142">
        <v>3.0757191282008347E-2</v>
      </c>
      <c r="E142">
        <v>5.1329236826004834E-2</v>
      </c>
      <c r="F142">
        <v>2.585252283687299E-2</v>
      </c>
      <c r="G142">
        <v>0.27525230896030123</v>
      </c>
      <c r="H142">
        <v>1.512208175604177</v>
      </c>
      <c r="I142">
        <v>1.6537909376401974</v>
      </c>
      <c r="J142">
        <v>1.4934609657026636</v>
      </c>
      <c r="K142">
        <v>0.23829278343851257</v>
      </c>
      <c r="L142">
        <v>1.2597478451488662</v>
      </c>
      <c r="M142">
        <v>11.035861485891429</v>
      </c>
    </row>
    <row r="143" spans="1:13" x14ac:dyDescent="0.3">
      <c r="A143" t="s">
        <v>815</v>
      </c>
      <c r="B143" t="s">
        <v>468</v>
      </c>
      <c r="C143">
        <f t="shared" si="2"/>
        <v>1</v>
      </c>
      <c r="D143">
        <v>9.5638955917986476E-3</v>
      </c>
      <c r="E143">
        <v>1.449825413693639E-2</v>
      </c>
      <c r="F143">
        <v>7.5547421766832745E-3</v>
      </c>
      <c r="G143">
        <v>0.56783571424139445</v>
      </c>
      <c r="H143">
        <v>1.716757505281659</v>
      </c>
      <c r="I143">
        <v>21.457691336196007</v>
      </c>
      <c r="J143">
        <v>2.3925913902682741</v>
      </c>
      <c r="K143">
        <v>0.3514009336110312</v>
      </c>
      <c r="L143">
        <v>1.6748522023186039</v>
      </c>
      <c r="M143">
        <v>6.813773912029955</v>
      </c>
    </row>
    <row r="144" spans="1:13" x14ac:dyDescent="0.3">
      <c r="A144" t="s">
        <v>841</v>
      </c>
      <c r="B144" t="s">
        <v>468</v>
      </c>
      <c r="C144">
        <f t="shared" si="2"/>
        <v>1</v>
      </c>
      <c r="D144">
        <v>1.2218772004755914E-2</v>
      </c>
      <c r="E144">
        <v>4.0065539231409202E-2</v>
      </c>
      <c r="F144">
        <v>3.3150496712212253E-3</v>
      </c>
      <c r="G144">
        <v>0.13519938788517277</v>
      </c>
      <c r="H144">
        <v>1.1150627920827534</v>
      </c>
      <c r="I144">
        <v>0.9778044196746809</v>
      </c>
      <c r="J144">
        <v>1.1776590293536344</v>
      </c>
      <c r="K144">
        <v>9.8885380843230772E-2</v>
      </c>
      <c r="L144">
        <v>0.99932403053189667</v>
      </c>
      <c r="M144">
        <v>19.533423010737049</v>
      </c>
    </row>
    <row r="145" spans="1:13" x14ac:dyDescent="0.3">
      <c r="A145" t="s">
        <v>847</v>
      </c>
      <c r="B145" t="s">
        <v>468</v>
      </c>
      <c r="C145">
        <f t="shared" si="2"/>
        <v>1</v>
      </c>
      <c r="D145">
        <v>8.2342606824343176E-2</v>
      </c>
      <c r="E145">
        <v>6.3537090808205562E-2</v>
      </c>
      <c r="F145">
        <v>4.8466988408685909E-3</v>
      </c>
      <c r="G145">
        <v>0.46230790915779119</v>
      </c>
      <c r="H145">
        <v>2.0166194769287942</v>
      </c>
      <c r="I145">
        <v>13.006462333825702</v>
      </c>
      <c r="J145">
        <v>1.9322991339458293</v>
      </c>
      <c r="K145">
        <v>0.48434738962726637</v>
      </c>
      <c r="L145">
        <v>1.9322991339458293</v>
      </c>
      <c r="M145">
        <v>4.5780961842778449</v>
      </c>
    </row>
    <row r="146" spans="1:13" x14ac:dyDescent="0.3">
      <c r="A146" t="s">
        <v>857</v>
      </c>
      <c r="B146" t="s">
        <v>468</v>
      </c>
      <c r="C146">
        <f t="shared" si="2"/>
        <v>1</v>
      </c>
      <c r="D146">
        <v>3.2731120811490072E-2</v>
      </c>
      <c r="E146">
        <v>5.7448401463946315E-2</v>
      </c>
      <c r="F146">
        <v>2.2083741783678518E-2</v>
      </c>
      <c r="G146">
        <v>-3.493512209218616E-2</v>
      </c>
      <c r="H146">
        <v>1.0984375350517084</v>
      </c>
      <c r="I146">
        <v>0.33553048052261641</v>
      </c>
      <c r="J146">
        <v>0.96004643265046818</v>
      </c>
      <c r="K146">
        <v>5.2499691106207384E-2</v>
      </c>
      <c r="L146">
        <v>0.92209211028108673</v>
      </c>
      <c r="M146">
        <v>-41.969045948789898</v>
      </c>
    </row>
    <row r="147" spans="1:13" x14ac:dyDescent="0.3">
      <c r="A147" t="s">
        <v>859</v>
      </c>
      <c r="B147" t="s">
        <v>468</v>
      </c>
      <c r="C147">
        <f t="shared" si="2"/>
        <v>1</v>
      </c>
      <c r="D147">
        <v>7.8346578987707033E-4</v>
      </c>
      <c r="E147">
        <v>1.823498187621557E-2</v>
      </c>
      <c r="F147">
        <v>5.1667544677229805E-4</v>
      </c>
      <c r="G147">
        <v>0.36746553275390548</v>
      </c>
      <c r="H147">
        <v>1.2269345671815797</v>
      </c>
      <c r="I147">
        <v>0.65555846257750083</v>
      </c>
      <c r="J147">
        <v>2.0045009395559128</v>
      </c>
      <c r="K147">
        <v>0.15996573318803095</v>
      </c>
      <c r="L147">
        <v>0.89969214514718732</v>
      </c>
      <c r="M147">
        <v>5.7772826078173098</v>
      </c>
    </row>
    <row r="148" spans="1:13" x14ac:dyDescent="0.3">
      <c r="A148" t="s">
        <v>861</v>
      </c>
      <c r="B148" t="s">
        <v>468</v>
      </c>
      <c r="C148">
        <f t="shared" si="2"/>
        <v>1</v>
      </c>
      <c r="D148">
        <v>2.4483242740396569E-2</v>
      </c>
      <c r="E148">
        <v>2.6902755402341626E-2</v>
      </c>
      <c r="F148">
        <v>7.3377873053367196E-3</v>
      </c>
      <c r="G148">
        <v>6.3978117600459364E-2</v>
      </c>
      <c r="H148">
        <v>1.0842774855321535</v>
      </c>
      <c r="I148">
        <v>0.54164133738601827</v>
      </c>
      <c r="J148">
        <v>1.0769408218964676</v>
      </c>
      <c r="K148">
        <v>5.6600530369178302E-2</v>
      </c>
      <c r="L148">
        <v>0.97097246888653299</v>
      </c>
      <c r="M148">
        <v>27.831146328167591</v>
      </c>
    </row>
    <row r="149" spans="1:13" x14ac:dyDescent="0.3">
      <c r="A149" t="s">
        <v>863</v>
      </c>
      <c r="B149" t="s">
        <v>468</v>
      </c>
      <c r="C149">
        <f t="shared" si="2"/>
        <v>1</v>
      </c>
      <c r="D149">
        <v>4.796185942133744E-3</v>
      </c>
      <c r="E149">
        <v>2.8737566453650373E-2</v>
      </c>
      <c r="F149">
        <v>1.2041721047124936E-2</v>
      </c>
      <c r="G149">
        <v>2.1382501231948615E-2</v>
      </c>
      <c r="H149">
        <v>1.0556136385766928</v>
      </c>
      <c r="I149">
        <v>0.91858037578288099</v>
      </c>
      <c r="J149">
        <v>1.0229359948131349</v>
      </c>
      <c r="K149">
        <v>3.2576848104983867E-2</v>
      </c>
      <c r="L149">
        <v>1.0066868078084081</v>
      </c>
      <c r="M149">
        <v>80.954873133904755</v>
      </c>
    </row>
    <row r="150" spans="1:13" x14ac:dyDescent="0.3">
      <c r="A150" t="s">
        <v>869</v>
      </c>
      <c r="B150" t="s">
        <v>468</v>
      </c>
      <c r="C150">
        <f t="shared" si="2"/>
        <v>1</v>
      </c>
      <c r="D150">
        <v>5.7329811501981038E-4</v>
      </c>
      <c r="E150">
        <v>2.5761160564296802E-2</v>
      </c>
      <c r="F150">
        <v>3.4709656939437228E-2</v>
      </c>
      <c r="G150">
        <v>5.6566264661713828E-2</v>
      </c>
      <c r="H150">
        <v>1.6606773050619352</v>
      </c>
      <c r="I150">
        <v>0.89905206839064866</v>
      </c>
      <c r="J150">
        <v>1.093938311955835</v>
      </c>
      <c r="K150">
        <v>0.30681930946883751</v>
      </c>
      <c r="L150">
        <v>1.093938311955835</v>
      </c>
      <c r="M150">
        <v>82.673235483305078</v>
      </c>
    </row>
    <row r="151" spans="1:13" x14ac:dyDescent="0.3">
      <c r="A151" t="s">
        <v>873</v>
      </c>
      <c r="B151" t="s">
        <v>468</v>
      </c>
      <c r="C151">
        <f t="shared" si="2"/>
        <v>1</v>
      </c>
      <c r="D151">
        <v>0.46660637784604042</v>
      </c>
      <c r="E151">
        <v>5.0600283090480508E-2</v>
      </c>
      <c r="F151">
        <v>7.2692522039654553E-2</v>
      </c>
      <c r="G151">
        <v>0.35197802896271085</v>
      </c>
      <c r="H151">
        <v>1.5555327392399341</v>
      </c>
      <c r="I151">
        <v>4.0599187032669244</v>
      </c>
      <c r="J151">
        <v>1.6238037411290231</v>
      </c>
      <c r="K151">
        <v>0.33904517906297604</v>
      </c>
      <c r="L151">
        <v>1.4252146363405238</v>
      </c>
      <c r="M151">
        <v>2.7814925941801212</v>
      </c>
    </row>
    <row r="152" spans="1:13" x14ac:dyDescent="0.3">
      <c r="A152" t="s">
        <v>879</v>
      </c>
      <c r="B152" t="s">
        <v>468</v>
      </c>
      <c r="C152">
        <f t="shared" si="2"/>
        <v>1</v>
      </c>
      <c r="D152">
        <v>2.1519343305167589E-2</v>
      </c>
      <c r="E152">
        <v>3.4500477242800885E-2</v>
      </c>
      <c r="F152">
        <v>1.1360060586989795E-2</v>
      </c>
      <c r="G152">
        <v>0.12431685379095501</v>
      </c>
      <c r="H152">
        <v>1.2380326041521525</v>
      </c>
      <c r="I152">
        <v>2.5886776202464556</v>
      </c>
      <c r="J152">
        <v>1.1539083182388183</v>
      </c>
      <c r="K152">
        <v>0.17590058253126495</v>
      </c>
      <c r="L152">
        <v>1.1539083182388183</v>
      </c>
      <c r="M152">
        <v>24.48960709759189</v>
      </c>
    </row>
    <row r="153" spans="1:13" x14ac:dyDescent="0.3">
      <c r="A153" t="s">
        <v>485</v>
      </c>
      <c r="B153" t="s">
        <v>468</v>
      </c>
      <c r="C153">
        <f t="shared" si="2"/>
        <v>1</v>
      </c>
      <c r="D153">
        <v>0.10806435919436017</v>
      </c>
      <c r="E153">
        <v>0.12720001930106034</v>
      </c>
      <c r="F153">
        <v>2.1647447709872907E-2</v>
      </c>
      <c r="G153">
        <v>0.32173253274315261</v>
      </c>
      <c r="H153">
        <v>1.5207265059663584</v>
      </c>
      <c r="I153">
        <v>2.8418061537095411</v>
      </c>
      <c r="J153">
        <v>1.5724834906982863</v>
      </c>
      <c r="K153">
        <v>0.31031030545731331</v>
      </c>
      <c r="L153">
        <v>1.3439070154937314</v>
      </c>
      <c r="M153">
        <v>3.7474910340254963</v>
      </c>
    </row>
    <row r="154" spans="1:13" x14ac:dyDescent="0.3">
      <c r="A154" t="s">
        <v>493</v>
      </c>
      <c r="B154" t="s">
        <v>468</v>
      </c>
      <c r="C154">
        <f t="shared" si="2"/>
        <v>1</v>
      </c>
      <c r="D154">
        <v>2.7111521294656805E-2</v>
      </c>
      <c r="E154">
        <v>0.5311271825952617</v>
      </c>
      <c r="F154">
        <v>7.910822140142857E-3</v>
      </c>
      <c r="G154">
        <v>-4.6478596728182497E-2</v>
      </c>
      <c r="H154">
        <v>2.8105097049076848</v>
      </c>
      <c r="I154">
        <v>0.26053361000468284</v>
      </c>
      <c r="J154">
        <v>0.8209784661092534</v>
      </c>
      <c r="K154">
        <v>0.20487833589353485</v>
      </c>
      <c r="L154">
        <v>0.59905209143889471</v>
      </c>
      <c r="M154">
        <v>-3.9259185203699074</v>
      </c>
    </row>
    <row r="155" spans="1:13" x14ac:dyDescent="0.3">
      <c r="A155" t="s">
        <v>533</v>
      </c>
      <c r="B155" t="s">
        <v>468</v>
      </c>
      <c r="C155">
        <f t="shared" si="2"/>
        <v>1</v>
      </c>
      <c r="D155">
        <v>1.1419359353948322E-2</v>
      </c>
      <c r="E155">
        <v>5.6271493304516931E-2</v>
      </c>
      <c r="F155">
        <v>2.5308435388031108E-2</v>
      </c>
      <c r="G155">
        <v>0.20327269323461339</v>
      </c>
      <c r="H155">
        <v>1.3178295849669899</v>
      </c>
      <c r="I155">
        <v>1.9728312036474365</v>
      </c>
      <c r="J155">
        <v>1.3162780167668673</v>
      </c>
      <c r="K155">
        <v>0.23138384635527739</v>
      </c>
      <c r="L155">
        <v>1.1148512259743164</v>
      </c>
      <c r="M155">
        <v>5.2265420315325954</v>
      </c>
    </row>
    <row r="156" spans="1:13" x14ac:dyDescent="0.3">
      <c r="A156" t="s">
        <v>535</v>
      </c>
      <c r="B156" t="s">
        <v>468</v>
      </c>
      <c r="C156">
        <f t="shared" si="2"/>
        <v>1</v>
      </c>
      <c r="D156">
        <v>2.8948442730767309E-2</v>
      </c>
      <c r="E156">
        <v>8.7189341115805327E-2</v>
      </c>
      <c r="F156">
        <v>1.4273398653747193E-2</v>
      </c>
      <c r="G156">
        <v>0.12543192094580227</v>
      </c>
      <c r="H156">
        <v>1.1543582413583342</v>
      </c>
      <c r="I156">
        <v>0.67482381509845424</v>
      </c>
      <c r="J156">
        <v>1.171148483635321</v>
      </c>
      <c r="K156">
        <v>8.6556566402671953E-2</v>
      </c>
      <c r="L156">
        <v>0.9908036231091123</v>
      </c>
      <c r="M156">
        <v>4.801236887628229</v>
      </c>
    </row>
    <row r="157" spans="1:13" x14ac:dyDescent="0.3">
      <c r="A157" t="s">
        <v>551</v>
      </c>
      <c r="B157" t="s">
        <v>468</v>
      </c>
      <c r="C157">
        <f t="shared" si="2"/>
        <v>1</v>
      </c>
      <c r="D157">
        <v>2.7767521283589641E-2</v>
      </c>
      <c r="E157">
        <v>8.7208115489599045E-2</v>
      </c>
      <c r="F157">
        <v>5.2971180621022122E-2</v>
      </c>
      <c r="G157">
        <v>0.27991576804491891</v>
      </c>
      <c r="H157">
        <v>1.3326101592860786</v>
      </c>
      <c r="I157">
        <v>6.2102371288386617</v>
      </c>
      <c r="J157">
        <v>1.4171348022908925</v>
      </c>
      <c r="K157">
        <v>0.21924928574683347</v>
      </c>
      <c r="L157">
        <v>1.2672585258571027</v>
      </c>
      <c r="M157">
        <v>3.0014919528619863</v>
      </c>
    </row>
    <row r="158" spans="1:13" x14ac:dyDescent="0.3">
      <c r="A158" t="s">
        <v>557</v>
      </c>
      <c r="B158" t="s">
        <v>468</v>
      </c>
      <c r="C158">
        <f t="shared" si="2"/>
        <v>1</v>
      </c>
      <c r="D158">
        <v>6.1155006699123871E-3</v>
      </c>
      <c r="E158">
        <v>2.1664780246988986E-2</v>
      </c>
      <c r="F158">
        <v>1.3077799439512552E-2</v>
      </c>
      <c r="G158">
        <v>0.12264047781964359</v>
      </c>
      <c r="H158">
        <v>1.0855942089255446</v>
      </c>
      <c r="I158">
        <v>0.87315741810319936</v>
      </c>
      <c r="J158">
        <v>1.1544609263364116</v>
      </c>
      <c r="K158">
        <v>7.2383873129996071E-2</v>
      </c>
      <c r="L158">
        <v>0.99508906819693688</v>
      </c>
      <c r="M158">
        <v>7.0988895627291209</v>
      </c>
    </row>
    <row r="159" spans="1:13" x14ac:dyDescent="0.3">
      <c r="A159" t="s">
        <v>559</v>
      </c>
      <c r="B159" t="s">
        <v>468</v>
      </c>
      <c r="C159">
        <f t="shared" si="2"/>
        <v>1</v>
      </c>
      <c r="D159">
        <v>1.2380560974274455E-2</v>
      </c>
      <c r="E159">
        <v>5.3913639429431989E-2</v>
      </c>
      <c r="F159">
        <v>2.9244108454636625E-2</v>
      </c>
      <c r="G159">
        <v>0.14163246577535132</v>
      </c>
      <c r="H159">
        <v>1.2028319524321356</v>
      </c>
      <c r="I159">
        <v>5.4344538607471913</v>
      </c>
      <c r="J159">
        <v>1.1704721830663145</v>
      </c>
      <c r="K159">
        <v>0.14848055401519536</v>
      </c>
      <c r="L159">
        <v>1.169702307380317</v>
      </c>
      <c r="M159">
        <v>4.4777937631832296</v>
      </c>
    </row>
    <row r="160" spans="1:13" x14ac:dyDescent="0.3">
      <c r="A160" t="s">
        <v>561</v>
      </c>
      <c r="B160" t="s">
        <v>468</v>
      </c>
      <c r="C160">
        <f t="shared" si="2"/>
        <v>1</v>
      </c>
      <c r="D160">
        <v>2.9960343236451848E-2</v>
      </c>
      <c r="E160">
        <v>0.10180402266889703</v>
      </c>
      <c r="F160">
        <v>4.9971615448412797E-3</v>
      </c>
      <c r="G160">
        <v>0.25249637219851934</v>
      </c>
      <c r="H160">
        <v>1.2381595498942224</v>
      </c>
      <c r="I160">
        <v>5.6786472438013593</v>
      </c>
      <c r="J160">
        <v>1.3531749256089192</v>
      </c>
      <c r="K160">
        <v>0.17763480474895829</v>
      </c>
      <c r="L160">
        <v>1.1978317867004644</v>
      </c>
      <c r="M160">
        <v>1.5255248798831296</v>
      </c>
    </row>
    <row r="161" spans="1:13" x14ac:dyDescent="0.3">
      <c r="A161" t="s">
        <v>563</v>
      </c>
      <c r="B161" t="s">
        <v>468</v>
      </c>
      <c r="C161">
        <f t="shared" si="2"/>
        <v>1</v>
      </c>
      <c r="D161">
        <v>1.2359012429414069E-2</v>
      </c>
      <c r="E161">
        <v>1.7547503009332284E-2</v>
      </c>
      <c r="F161">
        <v>5.6091456752430683E-3</v>
      </c>
      <c r="G161">
        <v>0.40424864603248162</v>
      </c>
      <c r="H161">
        <v>1.8225587767625286</v>
      </c>
      <c r="I161">
        <v>12.025307552177042</v>
      </c>
      <c r="J161">
        <v>1.7367669178208682</v>
      </c>
      <c r="K161">
        <v>0.42668866637366526</v>
      </c>
      <c r="L161">
        <v>1.7367669178208682</v>
      </c>
      <c r="M161">
        <v>4.3264868890856691</v>
      </c>
    </row>
    <row r="162" spans="1:13" x14ac:dyDescent="0.3">
      <c r="A162" t="s">
        <v>565</v>
      </c>
      <c r="B162" t="s">
        <v>468</v>
      </c>
      <c r="C162">
        <f t="shared" si="2"/>
        <v>1</v>
      </c>
      <c r="D162">
        <v>7.29650999674228E-2</v>
      </c>
      <c r="E162">
        <v>0.17533647724386675</v>
      </c>
      <c r="F162">
        <v>1.0555565591881694E-2</v>
      </c>
      <c r="G162">
        <v>0.34033685314683471</v>
      </c>
      <c r="H162">
        <v>2.2388043488114362</v>
      </c>
      <c r="I162">
        <v>2.0599809251256214</v>
      </c>
      <c r="J162">
        <v>1.8458455467006696</v>
      </c>
      <c r="K162">
        <v>0.48634380861696225</v>
      </c>
      <c r="L162">
        <v>1.6627594002150095</v>
      </c>
      <c r="M162">
        <v>2.3822267551555756</v>
      </c>
    </row>
    <row r="163" spans="1:13" x14ac:dyDescent="0.3">
      <c r="A163" t="s">
        <v>567</v>
      </c>
      <c r="B163" t="s">
        <v>468</v>
      </c>
      <c r="C163">
        <f t="shared" si="2"/>
        <v>1</v>
      </c>
      <c r="D163">
        <v>3.8877001228441741E-3</v>
      </c>
      <c r="E163">
        <v>2.8961148889416057E-2</v>
      </c>
      <c r="F163">
        <v>2.2235072722408999E-2</v>
      </c>
      <c r="G163">
        <v>0.21312660899193675</v>
      </c>
      <c r="H163">
        <v>1.2502226435952886</v>
      </c>
      <c r="I163">
        <v>8.7172564546905615</v>
      </c>
      <c r="J163">
        <v>1.2829797348847514</v>
      </c>
      <c r="K163">
        <v>0.16938436590874403</v>
      </c>
      <c r="L163">
        <v>1.2080627594745545</v>
      </c>
      <c r="M163">
        <v>8.0195530225621905</v>
      </c>
    </row>
    <row r="164" spans="1:13" x14ac:dyDescent="0.3">
      <c r="A164" t="s">
        <v>569</v>
      </c>
      <c r="B164" t="s">
        <v>468</v>
      </c>
      <c r="C164">
        <f t="shared" si="2"/>
        <v>1</v>
      </c>
      <c r="D164">
        <v>8.0665199787793268E-2</v>
      </c>
      <c r="E164">
        <v>0.1647395995530376</v>
      </c>
      <c r="F164">
        <v>0.13591777292798785</v>
      </c>
      <c r="G164">
        <v>0.41497573287581874</v>
      </c>
      <c r="H164">
        <v>1.947051928136649</v>
      </c>
      <c r="I164">
        <v>4.7203124057579933</v>
      </c>
      <c r="J164">
        <v>1.8653906319705502</v>
      </c>
      <c r="K164">
        <v>0.48341683901084953</v>
      </c>
      <c r="L164">
        <v>1.741637779408987</v>
      </c>
      <c r="M164">
        <v>2.4374912440371892</v>
      </c>
    </row>
    <row r="165" spans="1:13" x14ac:dyDescent="0.3">
      <c r="A165" t="s">
        <v>599</v>
      </c>
      <c r="B165" t="s">
        <v>468</v>
      </c>
      <c r="C165">
        <f t="shared" si="2"/>
        <v>1</v>
      </c>
      <c r="D165">
        <v>2.7563652288388744E-2</v>
      </c>
      <c r="E165">
        <v>2.6163494675009894E-2</v>
      </c>
      <c r="F165">
        <v>1.2197392441733651E-2</v>
      </c>
      <c r="G165">
        <v>8.9336656699577938E-2</v>
      </c>
      <c r="H165">
        <v>1.1081260712450893</v>
      </c>
      <c r="I165">
        <v>0.6761658643695635</v>
      </c>
      <c r="J165">
        <v>1.1068805006378231</v>
      </c>
      <c r="K165">
        <v>4.7564946676510983E-2</v>
      </c>
      <c r="L165">
        <v>1.02522957461975</v>
      </c>
      <c r="M165">
        <v>21.100168907685966</v>
      </c>
    </row>
    <row r="166" spans="1:13" x14ac:dyDescent="0.3">
      <c r="A166" t="s">
        <v>605</v>
      </c>
      <c r="B166" t="s">
        <v>468</v>
      </c>
      <c r="C166">
        <f t="shared" si="2"/>
        <v>1</v>
      </c>
      <c r="D166">
        <v>1.2290924358537333E-2</v>
      </c>
      <c r="E166">
        <v>1.377828379380577E-2</v>
      </c>
      <c r="F166">
        <v>9.9377705419927253E-3</v>
      </c>
      <c r="G166">
        <v>5.4289742752303416E-2</v>
      </c>
      <c r="H166">
        <v>1.2406562449602636</v>
      </c>
      <c r="I166">
        <v>0.25922058766448008</v>
      </c>
      <c r="J166">
        <v>1.0715146300304592</v>
      </c>
      <c r="K166">
        <v>4.8362393157441563E-2</v>
      </c>
      <c r="L166">
        <v>1.0091888849307229</v>
      </c>
      <c r="M166">
        <v>51.755182211076722</v>
      </c>
    </row>
    <row r="167" spans="1:13" x14ac:dyDescent="0.3">
      <c r="A167" t="s">
        <v>637</v>
      </c>
      <c r="B167" t="s">
        <v>468</v>
      </c>
      <c r="C167">
        <f t="shared" si="2"/>
        <v>1</v>
      </c>
      <c r="D167">
        <v>3.3458354409373788E-2</v>
      </c>
      <c r="E167">
        <v>5.4402391923262898E-2</v>
      </c>
      <c r="F167">
        <v>3.9308196450233554E-3</v>
      </c>
      <c r="G167">
        <v>-0.12911742472604368</v>
      </c>
      <c r="H167">
        <v>1.312936195987469</v>
      </c>
      <c r="I167">
        <v>0.53195081771398434</v>
      </c>
      <c r="J167">
        <v>0.82812396953450562</v>
      </c>
      <c r="K167">
        <v>7.5918282691371672E-2</v>
      </c>
      <c r="L167">
        <v>0.8167864361131052</v>
      </c>
      <c r="M167">
        <v>-9.9805932995929147</v>
      </c>
    </row>
    <row r="168" spans="1:13" x14ac:dyDescent="0.3">
      <c r="A168" t="s">
        <v>639</v>
      </c>
      <c r="B168" t="s">
        <v>468</v>
      </c>
      <c r="C168">
        <f t="shared" si="2"/>
        <v>1</v>
      </c>
      <c r="D168">
        <v>0.13080175669866451</v>
      </c>
      <c r="E168">
        <v>3.845316568968183E-2</v>
      </c>
      <c r="F168">
        <v>2.0358623901355535E-2</v>
      </c>
      <c r="G168">
        <v>8.9831629391345924E-2</v>
      </c>
      <c r="H168">
        <v>1.1358547026820462</v>
      </c>
      <c r="I168">
        <v>3.0518555547402406</v>
      </c>
      <c r="J168">
        <v>1.1028771788092204</v>
      </c>
      <c r="K168">
        <v>0.11284357931257855</v>
      </c>
      <c r="L168">
        <v>1.0938560209192143</v>
      </c>
      <c r="M168">
        <v>13.640101784436723</v>
      </c>
    </row>
    <row r="169" spans="1:13" x14ac:dyDescent="0.3">
      <c r="A169" t="s">
        <v>651</v>
      </c>
      <c r="B169" t="s">
        <v>468</v>
      </c>
      <c r="C169">
        <f t="shared" si="2"/>
        <v>1</v>
      </c>
      <c r="D169">
        <v>0.26013213805920249</v>
      </c>
      <c r="E169">
        <v>0.1008401037105935</v>
      </c>
      <c r="F169">
        <v>9.654811984037134E-3</v>
      </c>
      <c r="G169">
        <v>0.41543775142917638</v>
      </c>
      <c r="H169">
        <v>1.5746997538529799</v>
      </c>
      <c r="I169">
        <v>23.330786510621774</v>
      </c>
      <c r="J169">
        <v>1.7321010606619414</v>
      </c>
      <c r="K169">
        <v>0.34253876284630042</v>
      </c>
      <c r="L169">
        <v>1.5477681665669638</v>
      </c>
      <c r="M169">
        <v>3.437295066100754</v>
      </c>
    </row>
    <row r="170" spans="1:13" x14ac:dyDescent="0.3">
      <c r="A170" t="s">
        <v>655</v>
      </c>
      <c r="B170" t="s">
        <v>468</v>
      </c>
      <c r="C170">
        <f t="shared" si="2"/>
        <v>1</v>
      </c>
      <c r="D170">
        <v>1.6947148805302473E-2</v>
      </c>
      <c r="E170">
        <v>3.5680740038979718E-2</v>
      </c>
      <c r="F170">
        <v>1.1858534012305585E-3</v>
      </c>
      <c r="G170">
        <v>8.8435054663887805E-2</v>
      </c>
      <c r="H170">
        <v>1.3146547952706344</v>
      </c>
      <c r="I170">
        <v>0.73461898322142372</v>
      </c>
      <c r="J170">
        <v>1.1162615686839008</v>
      </c>
      <c r="K170">
        <v>0.10029799588108719</v>
      </c>
      <c r="L170">
        <v>1.1162615686839008</v>
      </c>
      <c r="M170">
        <v>20.984128862710111</v>
      </c>
    </row>
    <row r="171" spans="1:13" x14ac:dyDescent="0.3">
      <c r="A171" t="s">
        <v>661</v>
      </c>
      <c r="B171" t="s">
        <v>468</v>
      </c>
      <c r="C171">
        <f t="shared" si="2"/>
        <v>1</v>
      </c>
      <c r="D171">
        <v>6.5977258553818155E-2</v>
      </c>
      <c r="E171">
        <v>7.7521039763222235E-2</v>
      </c>
      <c r="F171">
        <v>2.3336915996788901E-2</v>
      </c>
      <c r="G171">
        <v>0.4551252304536178</v>
      </c>
      <c r="H171">
        <v>1.9061328532249526</v>
      </c>
      <c r="I171">
        <v>2.3819930157396012</v>
      </c>
      <c r="J171">
        <v>2.0466010201024769</v>
      </c>
      <c r="K171">
        <v>0.23014328486919128</v>
      </c>
      <c r="L171">
        <v>1.696430652794753</v>
      </c>
      <c r="M171">
        <v>3.6109118214496805</v>
      </c>
    </row>
    <row r="172" spans="1:13" x14ac:dyDescent="0.3">
      <c r="A172" t="s">
        <v>663</v>
      </c>
      <c r="B172" t="s">
        <v>468</v>
      </c>
      <c r="C172">
        <f t="shared" si="2"/>
        <v>1</v>
      </c>
      <c r="D172">
        <v>7.1980237192922791E-2</v>
      </c>
      <c r="E172">
        <v>7.5668060028448073E-2</v>
      </c>
      <c r="F172">
        <v>9.9461626579301438E-2</v>
      </c>
      <c r="G172">
        <v>0.61453289364130748</v>
      </c>
      <c r="H172">
        <v>1.9453479743947548</v>
      </c>
      <c r="I172">
        <v>5.5512753458404394</v>
      </c>
      <c r="J172">
        <v>3.0657473846775072</v>
      </c>
      <c r="K172">
        <v>0.41693051509152262</v>
      </c>
      <c r="L172">
        <v>1.7741959598644428</v>
      </c>
      <c r="M172">
        <v>3.0516287506473225</v>
      </c>
    </row>
    <row r="173" spans="1:13" x14ac:dyDescent="0.3">
      <c r="A173" t="s">
        <v>665</v>
      </c>
      <c r="B173" t="s">
        <v>468</v>
      </c>
      <c r="C173">
        <f t="shared" si="2"/>
        <v>1</v>
      </c>
      <c r="D173">
        <v>0.10366744931849529</v>
      </c>
      <c r="E173">
        <v>0.12779993980803364</v>
      </c>
      <c r="F173">
        <v>8.7135121677973486E-3</v>
      </c>
      <c r="G173">
        <v>0.58773670892565999</v>
      </c>
      <c r="H173">
        <v>3.6186000691707276</v>
      </c>
      <c r="I173">
        <v>5.7097922446413421</v>
      </c>
      <c r="J173">
        <v>3.1267840955725692</v>
      </c>
      <c r="K173">
        <v>0.68073584539210519</v>
      </c>
      <c r="L173">
        <v>3.1267840955725692</v>
      </c>
      <c r="M173">
        <v>3.029322939680529</v>
      </c>
    </row>
    <row r="174" spans="1:13" x14ac:dyDescent="0.3">
      <c r="A174" t="s">
        <v>667</v>
      </c>
      <c r="B174" t="s">
        <v>468</v>
      </c>
      <c r="C174">
        <f t="shared" si="2"/>
        <v>1</v>
      </c>
      <c r="D174">
        <v>8.6096394024256454E-3</v>
      </c>
      <c r="E174">
        <v>6.0766010532197261E-2</v>
      </c>
      <c r="F174">
        <v>4.380418012779148E-3</v>
      </c>
      <c r="G174">
        <v>0.1585613414123396</v>
      </c>
      <c r="H174">
        <v>1.701669664470379</v>
      </c>
      <c r="I174">
        <v>0.27893041053799539</v>
      </c>
      <c r="J174">
        <v>1.3353063063000776</v>
      </c>
      <c r="K174">
        <v>0.10257282107298472</v>
      </c>
      <c r="L174">
        <v>1.0745131791165927</v>
      </c>
      <c r="M174">
        <v>13.130236298404057</v>
      </c>
    </row>
    <row r="175" spans="1:13" x14ac:dyDescent="0.3">
      <c r="A175" t="s">
        <v>669</v>
      </c>
      <c r="B175" t="s">
        <v>468</v>
      </c>
      <c r="C175">
        <f t="shared" si="2"/>
        <v>1</v>
      </c>
      <c r="D175">
        <v>7.4116584803903818E-2</v>
      </c>
      <c r="E175">
        <v>8.2495097228946559E-2</v>
      </c>
      <c r="F175">
        <v>3.3084914652864589E-2</v>
      </c>
      <c r="G175">
        <v>0.21132501826674849</v>
      </c>
      <c r="H175">
        <v>1.3204203423681404</v>
      </c>
      <c r="I175">
        <v>2.2867323865218605</v>
      </c>
      <c r="J175">
        <v>1.3185685833167045</v>
      </c>
      <c r="K175">
        <v>0.23466873400230634</v>
      </c>
      <c r="L175">
        <v>1.1549492503395336</v>
      </c>
      <c r="M175">
        <v>6.2700297506355822</v>
      </c>
    </row>
    <row r="176" spans="1:13" x14ac:dyDescent="0.3">
      <c r="A176" t="s">
        <v>671</v>
      </c>
      <c r="B176" t="s">
        <v>468</v>
      </c>
      <c r="C176">
        <f t="shared" si="2"/>
        <v>1</v>
      </c>
      <c r="D176">
        <v>3.5037713926513864E-2</v>
      </c>
      <c r="E176">
        <v>6.9978525471760228E-2</v>
      </c>
      <c r="F176">
        <v>1.3123947786351026E-2</v>
      </c>
      <c r="G176">
        <v>0.13167063170743742</v>
      </c>
      <c r="H176">
        <v>1.2194997078064411</v>
      </c>
      <c r="I176">
        <v>0.33607746399445215</v>
      </c>
      <c r="J176">
        <v>1.1825515224066196</v>
      </c>
      <c r="K176">
        <v>4.8689190686778495E-2</v>
      </c>
      <c r="L176">
        <v>1.0401721752024935</v>
      </c>
      <c r="M176">
        <v>7.0170322041603699</v>
      </c>
    </row>
    <row r="177" spans="1:13" x14ac:dyDescent="0.3">
      <c r="A177" t="s">
        <v>673</v>
      </c>
      <c r="B177" t="s">
        <v>468</v>
      </c>
      <c r="C177">
        <f t="shared" si="2"/>
        <v>1</v>
      </c>
      <c r="D177">
        <v>6.346510211528697E-3</v>
      </c>
      <c r="E177">
        <v>3.1723547712573082E-2</v>
      </c>
      <c r="F177">
        <v>4.6258079361981633E-3</v>
      </c>
      <c r="G177">
        <v>4.6024046326142522E-2</v>
      </c>
      <c r="H177">
        <v>1.1021450624215217</v>
      </c>
      <c r="I177">
        <v>0.89666448439677027</v>
      </c>
      <c r="J177">
        <v>1.053201732837715</v>
      </c>
      <c r="K177">
        <v>5.9151499473546428E-2</v>
      </c>
      <c r="L177">
        <v>1.0041748603253771</v>
      </c>
      <c r="M177">
        <v>27.473802236723067</v>
      </c>
    </row>
    <row r="178" spans="1:13" x14ac:dyDescent="0.3">
      <c r="A178" t="s">
        <v>657</v>
      </c>
      <c r="B178" t="s">
        <v>468</v>
      </c>
      <c r="C178">
        <f t="shared" si="2"/>
        <v>1</v>
      </c>
      <c r="D178">
        <v>4.0263799334974842E-3</v>
      </c>
      <c r="E178">
        <v>8.2108113185847473E-3</v>
      </c>
      <c r="F178">
        <v>1.2902955634081245E-3</v>
      </c>
      <c r="G178">
        <v>9.2090826285862792E-2</v>
      </c>
      <c r="H178">
        <v>1.1267991431038362</v>
      </c>
      <c r="I178">
        <v>4.7571472632802676</v>
      </c>
      <c r="J178">
        <v>1.1037692122941827</v>
      </c>
      <c r="K178">
        <v>6.2481945709521536E-2</v>
      </c>
      <c r="L178">
        <v>1.1037548723591997</v>
      </c>
      <c r="M178">
        <v>23.125823108626651</v>
      </c>
    </row>
    <row r="179" spans="1:13" x14ac:dyDescent="0.3">
      <c r="A179" t="s">
        <v>707</v>
      </c>
      <c r="B179" t="s">
        <v>468</v>
      </c>
      <c r="C179">
        <f t="shared" si="2"/>
        <v>1</v>
      </c>
      <c r="D179">
        <v>2.7038692491760351E-2</v>
      </c>
      <c r="E179">
        <v>1.8218835639838397E-2</v>
      </c>
      <c r="F179">
        <v>4.9145114735862981E-4</v>
      </c>
      <c r="G179">
        <v>0.22018365856560076</v>
      </c>
      <c r="H179">
        <v>1.4884459592840265</v>
      </c>
      <c r="I179">
        <v>2.87066885334949</v>
      </c>
      <c r="J179">
        <v>1.3289938543656457</v>
      </c>
      <c r="K179">
        <v>0.31284682160711774</v>
      </c>
      <c r="L179">
        <v>1.3238943916199208</v>
      </c>
      <c r="M179">
        <v>9.4963174942933435</v>
      </c>
    </row>
    <row r="180" spans="1:13" x14ac:dyDescent="0.3">
      <c r="A180" t="s">
        <v>733</v>
      </c>
      <c r="B180" t="s">
        <v>468</v>
      </c>
      <c r="C180">
        <f t="shared" si="2"/>
        <v>1</v>
      </c>
      <c r="D180">
        <v>4.7246596557696675E-2</v>
      </c>
      <c r="E180">
        <v>5.1841048779104684E-2</v>
      </c>
      <c r="F180">
        <v>2.65177977610981E-2</v>
      </c>
      <c r="G180">
        <v>0.33673095895240174</v>
      </c>
      <c r="H180">
        <v>2.0971025945197681</v>
      </c>
      <c r="I180">
        <v>1.5303342630765981</v>
      </c>
      <c r="J180">
        <v>2.026173060110338</v>
      </c>
      <c r="K180">
        <v>0.49539234122305525</v>
      </c>
      <c r="L180">
        <v>1.3943077854452666</v>
      </c>
      <c r="M180">
        <v>9.1837571341963375</v>
      </c>
    </row>
    <row r="181" spans="1:13" x14ac:dyDescent="0.3">
      <c r="A181" t="s">
        <v>735</v>
      </c>
      <c r="B181" t="s">
        <v>468</v>
      </c>
      <c r="C181">
        <f t="shared" si="2"/>
        <v>1</v>
      </c>
      <c r="D181">
        <v>9.8686873289571368E-3</v>
      </c>
      <c r="E181">
        <v>5.4886269461606983E-2</v>
      </c>
      <c r="F181">
        <v>7.6291375654446922E-2</v>
      </c>
      <c r="G181">
        <v>0.16299308112958127</v>
      </c>
      <c r="H181">
        <v>1.2913063995145007</v>
      </c>
      <c r="I181">
        <v>3.1076098446070231</v>
      </c>
      <c r="J181">
        <v>1.2130349142372436</v>
      </c>
      <c r="K181">
        <v>0.16262503293922415</v>
      </c>
      <c r="L181">
        <v>1.198452948683409</v>
      </c>
      <c r="M181">
        <v>8.9511965046831374</v>
      </c>
    </row>
    <row r="182" spans="1:13" x14ac:dyDescent="0.3">
      <c r="A182" t="s">
        <v>739</v>
      </c>
      <c r="B182" t="s">
        <v>468</v>
      </c>
      <c r="C182">
        <f t="shared" si="2"/>
        <v>1</v>
      </c>
      <c r="D182">
        <v>-5.3743542238215709E-2</v>
      </c>
      <c r="E182">
        <v>5.2539824803260617E-2</v>
      </c>
      <c r="F182">
        <v>5.0745691376573858E-2</v>
      </c>
      <c r="G182">
        <v>-0.20884430441282834</v>
      </c>
      <c r="H182">
        <v>1.3639373521537586</v>
      </c>
      <c r="I182">
        <v>0.55553573884843954</v>
      </c>
      <c r="J182">
        <v>0.70383281386379859</v>
      </c>
      <c r="K182">
        <v>0.25684980603130014</v>
      </c>
      <c r="L182">
        <v>0.67693914725889948</v>
      </c>
      <c r="M182">
        <v>-8.6034668297630201</v>
      </c>
    </row>
    <row r="183" spans="1:13" x14ac:dyDescent="0.3">
      <c r="A183" t="s">
        <v>741</v>
      </c>
      <c r="B183" t="s">
        <v>468</v>
      </c>
      <c r="C183">
        <f t="shared" si="2"/>
        <v>1</v>
      </c>
      <c r="D183">
        <v>3.5937275367495712E-2</v>
      </c>
      <c r="E183">
        <v>9.4645751204060699E-2</v>
      </c>
      <c r="F183">
        <v>2.2061922113978335E-2</v>
      </c>
      <c r="G183">
        <v>0.29938347830277329</v>
      </c>
      <c r="H183">
        <v>1.3321630939257554</v>
      </c>
      <c r="I183">
        <v>2.7182137494637497</v>
      </c>
      <c r="J183">
        <v>1.4645551902455209</v>
      </c>
      <c r="K183">
        <v>0.15266742765583211</v>
      </c>
      <c r="L183">
        <v>1.257342667162848</v>
      </c>
      <c r="M183">
        <v>8.3504514473982034</v>
      </c>
    </row>
    <row r="184" spans="1:13" x14ac:dyDescent="0.3">
      <c r="A184" t="s">
        <v>743</v>
      </c>
      <c r="B184" t="s">
        <v>468</v>
      </c>
      <c r="C184">
        <f t="shared" si="2"/>
        <v>1</v>
      </c>
      <c r="D184">
        <v>6.4766855850826394E-2</v>
      </c>
      <c r="E184">
        <v>3.9605094846348304E-2</v>
      </c>
      <c r="F184">
        <v>7.7766682278917283E-5</v>
      </c>
      <c r="G184">
        <v>0.11927912559650107</v>
      </c>
      <c r="H184">
        <v>1.2906810667275574</v>
      </c>
      <c r="I184">
        <v>1.7270965098442981</v>
      </c>
      <c r="J184">
        <v>1.15506831370996</v>
      </c>
      <c r="K184">
        <v>0.19260086770183205</v>
      </c>
      <c r="L184">
        <v>1.1467480022108187</v>
      </c>
      <c r="M184">
        <v>16.202324005225574</v>
      </c>
    </row>
    <row r="185" spans="1:13" x14ac:dyDescent="0.3">
      <c r="A185" t="s">
        <v>747</v>
      </c>
      <c r="B185" t="s">
        <v>468</v>
      </c>
      <c r="C185">
        <f t="shared" si="2"/>
        <v>1</v>
      </c>
      <c r="D185">
        <v>7.1995277281199348E-3</v>
      </c>
      <c r="E185">
        <v>5.3629118423198847E-2</v>
      </c>
      <c r="F185">
        <v>7.3343046027922786E-3</v>
      </c>
      <c r="G185">
        <v>0.11882797171732129</v>
      </c>
      <c r="H185">
        <v>1.2336646640680839</v>
      </c>
      <c r="I185">
        <v>0.66089894106405123</v>
      </c>
      <c r="J185">
        <v>1.1679583701425946</v>
      </c>
      <c r="K185">
        <v>0.11478979256900999</v>
      </c>
      <c r="L185">
        <v>1.0193927049390581</v>
      </c>
      <c r="M185">
        <v>16.425579197690478</v>
      </c>
    </row>
    <row r="186" spans="1:13" x14ac:dyDescent="0.3">
      <c r="A186" t="s">
        <v>755</v>
      </c>
      <c r="B186" t="s">
        <v>468</v>
      </c>
      <c r="C186">
        <f t="shared" si="2"/>
        <v>1</v>
      </c>
      <c r="D186">
        <v>2.4884183307886134E-2</v>
      </c>
      <c r="E186">
        <v>3.1042779083984742E-2</v>
      </c>
      <c r="F186">
        <v>1.3314676131754235E-2</v>
      </c>
      <c r="G186">
        <v>0.13021588896541975</v>
      </c>
      <c r="H186">
        <v>1.1087741976335372</v>
      </c>
      <c r="I186">
        <v>0.61339851280638935</v>
      </c>
      <c r="J186">
        <v>1.175214480163806</v>
      </c>
      <c r="K186">
        <v>7.4454845366281372E-2</v>
      </c>
      <c r="L186">
        <v>0.96839877283085185</v>
      </c>
      <c r="M186">
        <v>16.407794666638143</v>
      </c>
    </row>
    <row r="187" spans="1:13" x14ac:dyDescent="0.3">
      <c r="A187" t="s">
        <v>757</v>
      </c>
      <c r="B187" t="s">
        <v>468</v>
      </c>
      <c r="C187">
        <f t="shared" si="2"/>
        <v>1</v>
      </c>
      <c r="D187">
        <v>8.0574704144037567E-3</v>
      </c>
      <c r="E187">
        <v>1.3280319643053793E-2</v>
      </c>
      <c r="F187">
        <v>4.9204337980477027E-4</v>
      </c>
      <c r="G187">
        <v>0.1929703115428186</v>
      </c>
      <c r="H187">
        <v>1.3240699605097828</v>
      </c>
      <c r="I187">
        <v>1.2384861105495126</v>
      </c>
      <c r="J187">
        <v>1.2558589690730915</v>
      </c>
      <c r="K187">
        <v>5.1903750392934218E-2</v>
      </c>
      <c r="L187">
        <v>1.2541274008257044</v>
      </c>
      <c r="M187">
        <v>13.277275760928747</v>
      </c>
    </row>
    <row r="188" spans="1:13" x14ac:dyDescent="0.3">
      <c r="A188" t="s">
        <v>761</v>
      </c>
      <c r="B188" t="s">
        <v>468</v>
      </c>
      <c r="C188">
        <f t="shared" si="2"/>
        <v>1</v>
      </c>
      <c r="D188">
        <v>9.6664890718836272E-2</v>
      </c>
      <c r="E188">
        <v>5.7773225337200994E-2</v>
      </c>
      <c r="F188">
        <v>6.2143419171251874E-3</v>
      </c>
      <c r="G188">
        <v>0.55145891478487807</v>
      </c>
      <c r="H188">
        <v>1.4794179708341935</v>
      </c>
      <c r="I188">
        <v>4.3955219445517493</v>
      </c>
      <c r="J188">
        <v>2.4753664366790629</v>
      </c>
      <c r="K188">
        <v>0.26808238790822431</v>
      </c>
      <c r="L188">
        <v>1.3688115161768608</v>
      </c>
      <c r="M188">
        <v>4.7725562303637394</v>
      </c>
    </row>
    <row r="189" spans="1:13" x14ac:dyDescent="0.3">
      <c r="A189" t="s">
        <v>765</v>
      </c>
      <c r="B189" t="s">
        <v>468</v>
      </c>
      <c r="C189">
        <f t="shared" si="2"/>
        <v>1</v>
      </c>
      <c r="D189">
        <v>1.0094937200716091E-2</v>
      </c>
      <c r="E189">
        <v>1.142008644081279E-2</v>
      </c>
      <c r="F189">
        <v>2.8845305404150048E-4</v>
      </c>
      <c r="G189">
        <v>0.37712408304302264</v>
      </c>
      <c r="H189">
        <v>1.5110287509308318</v>
      </c>
      <c r="I189">
        <v>7.5663169726489325</v>
      </c>
      <c r="J189">
        <v>1.6667267541540483</v>
      </c>
      <c r="K189">
        <v>0.27454499107825647</v>
      </c>
      <c r="L189">
        <v>1.4245362960173242</v>
      </c>
      <c r="M189">
        <v>8.4971821508180181</v>
      </c>
    </row>
    <row r="190" spans="1:13" x14ac:dyDescent="0.3">
      <c r="A190" t="s">
        <v>771</v>
      </c>
      <c r="B190" t="s">
        <v>468</v>
      </c>
      <c r="C190">
        <f t="shared" si="2"/>
        <v>1</v>
      </c>
      <c r="D190">
        <v>5.2802476393430574E-2</v>
      </c>
      <c r="E190">
        <v>8.7603729137217062E-2</v>
      </c>
      <c r="F190">
        <v>2.639797815089168E-2</v>
      </c>
      <c r="G190">
        <v>0.30213010040561383</v>
      </c>
      <c r="H190">
        <v>1.5501668215199249</v>
      </c>
      <c r="I190">
        <v>2.0021158862346775</v>
      </c>
      <c r="J190">
        <v>1.5334358508859638</v>
      </c>
      <c r="K190">
        <v>0.26324787115516018</v>
      </c>
      <c r="L190">
        <v>1.3463433972585339</v>
      </c>
      <c r="M190">
        <v>6.0545382566130508</v>
      </c>
    </row>
    <row r="191" spans="1:13" x14ac:dyDescent="0.3">
      <c r="A191" t="s">
        <v>773</v>
      </c>
      <c r="B191" t="s">
        <v>468</v>
      </c>
      <c r="C191">
        <f t="shared" si="2"/>
        <v>1</v>
      </c>
      <c r="D191">
        <v>0.16590751252621747</v>
      </c>
      <c r="E191">
        <v>0.12690815592491858</v>
      </c>
      <c r="F191">
        <v>4.9084283360105632E-2</v>
      </c>
      <c r="G191">
        <v>0.22514691617120389</v>
      </c>
      <c r="H191">
        <v>1.648001088588809</v>
      </c>
      <c r="I191">
        <v>2.1227223724440201</v>
      </c>
      <c r="J191">
        <v>1.3710423629425574</v>
      </c>
      <c r="K191">
        <v>0.35673913521277523</v>
      </c>
      <c r="L191">
        <v>1.3710423629425574</v>
      </c>
      <c r="M191">
        <v>7.2803293740205062</v>
      </c>
    </row>
    <row r="192" spans="1:13" x14ac:dyDescent="0.3">
      <c r="A192" t="s">
        <v>775</v>
      </c>
      <c r="B192" t="s">
        <v>468</v>
      </c>
      <c r="C192">
        <f t="shared" si="2"/>
        <v>1</v>
      </c>
      <c r="D192">
        <v>2.9193775535302658E-3</v>
      </c>
      <c r="E192">
        <v>4.354348846627399E-2</v>
      </c>
      <c r="F192">
        <v>1.2437195240472484E-2</v>
      </c>
      <c r="G192">
        <v>0.13231058197369225</v>
      </c>
      <c r="H192">
        <v>1.5829091673049105</v>
      </c>
      <c r="I192">
        <v>1.1233649224677864</v>
      </c>
      <c r="J192">
        <v>1.2152988792795896</v>
      </c>
      <c r="K192">
        <v>0.27074490381360306</v>
      </c>
      <c r="L192">
        <v>1.1822025785039572</v>
      </c>
      <c r="M192">
        <v>17.134963716359067</v>
      </c>
    </row>
    <row r="193" spans="1:13" x14ac:dyDescent="0.3">
      <c r="A193" t="s">
        <v>777</v>
      </c>
      <c r="B193" t="s">
        <v>468</v>
      </c>
      <c r="C193">
        <f t="shared" si="2"/>
        <v>1</v>
      </c>
      <c r="D193">
        <v>5.3171430893059597E-2</v>
      </c>
      <c r="E193">
        <v>6.7579808496792793E-2</v>
      </c>
      <c r="F193">
        <v>9.3787378598683517E-3</v>
      </c>
      <c r="G193">
        <v>0.23054196887827946</v>
      </c>
      <c r="H193">
        <v>1.313719238964745</v>
      </c>
      <c r="I193">
        <v>1.8226850878753094</v>
      </c>
      <c r="J193">
        <v>1.3591058369556144</v>
      </c>
      <c r="K193">
        <v>0.23233604574535344</v>
      </c>
      <c r="L193">
        <v>1.1462606169399927</v>
      </c>
      <c r="M193">
        <v>6.01026275972582</v>
      </c>
    </row>
    <row r="194" spans="1:13" x14ac:dyDescent="0.3">
      <c r="A194" t="s">
        <v>803</v>
      </c>
      <c r="B194" t="s">
        <v>468</v>
      </c>
      <c r="C194">
        <f t="shared" si="2"/>
        <v>1</v>
      </c>
      <c r="D194">
        <v>8.6059743556296288E-3</v>
      </c>
      <c r="E194">
        <v>1.7919998537598937E-2</v>
      </c>
      <c r="F194">
        <v>1.0392990664564595E-3</v>
      </c>
      <c r="G194">
        <v>6.7659284679059536E-3</v>
      </c>
      <c r="H194">
        <v>1.1452986505020224</v>
      </c>
      <c r="I194">
        <v>0.49144644452955444</v>
      </c>
      <c r="J194">
        <v>1.0077490087436858</v>
      </c>
      <c r="K194">
        <v>5.660514346580596E-2</v>
      </c>
      <c r="L194">
        <v>1.0077490087436858</v>
      </c>
      <c r="M194">
        <v>267.50393914697094</v>
      </c>
    </row>
    <row r="195" spans="1:13" x14ac:dyDescent="0.3">
      <c r="A195" t="s">
        <v>807</v>
      </c>
      <c r="B195" t="s">
        <v>468</v>
      </c>
      <c r="C195">
        <f t="shared" ref="C195:C258" si="3">IF(B195="Attiva", 1, 0)</f>
        <v>1</v>
      </c>
      <c r="D195">
        <v>3.9849320058766777E-2</v>
      </c>
      <c r="E195">
        <v>4.0538686258305028E-2</v>
      </c>
      <c r="F195">
        <v>4.1413151506546661E-2</v>
      </c>
      <c r="G195">
        <v>0.49720113432671453</v>
      </c>
      <c r="H195">
        <v>2.378223485827518</v>
      </c>
      <c r="I195">
        <v>2.6733746783107621</v>
      </c>
      <c r="J195">
        <v>2.4591929166507187</v>
      </c>
      <c r="K195">
        <v>0.36729116462662709</v>
      </c>
      <c r="L195">
        <v>1.9928043422072885</v>
      </c>
      <c r="M195">
        <v>5.56479238981228</v>
      </c>
    </row>
    <row r="196" spans="1:13" x14ac:dyDescent="0.3">
      <c r="A196" t="s">
        <v>821</v>
      </c>
      <c r="B196" t="s">
        <v>468</v>
      </c>
      <c r="C196">
        <f t="shared" si="3"/>
        <v>1</v>
      </c>
      <c r="D196">
        <v>-1.48071789326842E-2</v>
      </c>
      <c r="E196">
        <v>6.1917824867830512E-3</v>
      </c>
      <c r="F196">
        <v>4.5921583383864645E-3</v>
      </c>
      <c r="G196">
        <v>0.29226551434766262</v>
      </c>
      <c r="H196">
        <v>2.6016982222507621</v>
      </c>
      <c r="I196">
        <v>1.1895434684345336</v>
      </c>
      <c r="J196">
        <v>2.1029526614076195</v>
      </c>
      <c r="K196">
        <v>0.52462854040014728</v>
      </c>
      <c r="L196">
        <v>1.4497967369237381</v>
      </c>
      <c r="M196">
        <v>11.972924164273929</v>
      </c>
    </row>
    <row r="197" spans="1:13" x14ac:dyDescent="0.3">
      <c r="A197" t="s">
        <v>839</v>
      </c>
      <c r="B197" t="s">
        <v>468</v>
      </c>
      <c r="C197">
        <f t="shared" si="3"/>
        <v>1</v>
      </c>
      <c r="D197">
        <v>0.10365054486489261</v>
      </c>
      <c r="E197">
        <v>6.8290292324814053E-2</v>
      </c>
      <c r="F197">
        <v>2.3302588177391188E-2</v>
      </c>
      <c r="G197">
        <v>0.80268810783888245</v>
      </c>
      <c r="H197">
        <v>4.0127748850201908</v>
      </c>
      <c r="I197">
        <v>21.444966722129784</v>
      </c>
      <c r="J197">
        <v>5.9456592938220654</v>
      </c>
      <c r="K197">
        <v>0.75079588846784562</v>
      </c>
      <c r="L197">
        <v>3.8722862135264182</v>
      </c>
      <c r="M197">
        <v>2.9654225836358723</v>
      </c>
    </row>
    <row r="198" spans="1:13" x14ac:dyDescent="0.3">
      <c r="A198" t="s">
        <v>843</v>
      </c>
      <c r="B198" t="s">
        <v>468</v>
      </c>
      <c r="C198">
        <f t="shared" si="3"/>
        <v>1</v>
      </c>
      <c r="D198">
        <v>6.911402535363495E-2</v>
      </c>
      <c r="E198">
        <v>5.1814290082560388E-2</v>
      </c>
      <c r="F198">
        <v>0</v>
      </c>
      <c r="G198">
        <v>0.48020045470335943</v>
      </c>
      <c r="H198">
        <v>2.1355726783261471</v>
      </c>
      <c r="I198">
        <v>1.3320523866965364</v>
      </c>
      <c r="J198">
        <v>4.9814350082701191</v>
      </c>
      <c r="K198">
        <v>0.53174152762443305</v>
      </c>
      <c r="L198">
        <v>1.2830741657546221</v>
      </c>
      <c r="M198">
        <v>11.243652095435239</v>
      </c>
    </row>
    <row r="199" spans="1:13" x14ac:dyDescent="0.3">
      <c r="A199" t="s">
        <v>845</v>
      </c>
      <c r="B199" t="s">
        <v>468</v>
      </c>
      <c r="C199">
        <f t="shared" si="3"/>
        <v>1</v>
      </c>
      <c r="D199">
        <v>1.2285763691981481E-2</v>
      </c>
      <c r="E199">
        <v>2.8796695714271927E-2</v>
      </c>
      <c r="F199">
        <v>2.5808152192738264E-2</v>
      </c>
      <c r="G199">
        <v>0.29254990645378093</v>
      </c>
      <c r="H199">
        <v>1.1373588063031654</v>
      </c>
      <c r="I199">
        <v>1.7863110396282893</v>
      </c>
      <c r="J199">
        <v>1.4465601497244653</v>
      </c>
      <c r="K199">
        <v>6.0521981847795156E-2</v>
      </c>
      <c r="L199">
        <v>1.0778392393229932</v>
      </c>
      <c r="M199">
        <v>8.0423916924079908</v>
      </c>
    </row>
    <row r="200" spans="1:13" x14ac:dyDescent="0.3">
      <c r="A200" t="s">
        <v>849</v>
      </c>
      <c r="B200" t="s">
        <v>468</v>
      </c>
      <c r="C200">
        <f t="shared" si="3"/>
        <v>1</v>
      </c>
      <c r="D200">
        <v>3.2180893937602761E-2</v>
      </c>
      <c r="E200">
        <v>4.7015665826243176E-2</v>
      </c>
      <c r="F200">
        <v>6.3773382756069762E-4</v>
      </c>
      <c r="G200">
        <v>9.0660742309853336E-3</v>
      </c>
      <c r="H200">
        <v>1.3553937916992733</v>
      </c>
      <c r="I200">
        <v>1.1336049243212702</v>
      </c>
      <c r="J200">
        <v>1.0122881007277622</v>
      </c>
      <c r="K200">
        <v>0.24620094161107201</v>
      </c>
      <c r="L200">
        <v>1.0122881007277622</v>
      </c>
      <c r="M200">
        <v>211.50719475708789</v>
      </c>
    </row>
    <row r="201" spans="1:13" x14ac:dyDescent="0.3">
      <c r="A201" t="s">
        <v>851</v>
      </c>
      <c r="B201" t="s">
        <v>468</v>
      </c>
      <c r="C201">
        <f t="shared" si="3"/>
        <v>1</v>
      </c>
      <c r="D201">
        <v>4.2723880462175914E-2</v>
      </c>
      <c r="E201">
        <v>3.6239798869422135E-2</v>
      </c>
      <c r="F201">
        <v>1.6521343487308773E-3</v>
      </c>
      <c r="G201">
        <v>0.16075205778895954</v>
      </c>
      <c r="H201">
        <v>1.3581999075706075</v>
      </c>
      <c r="I201">
        <v>2.5358910443986851</v>
      </c>
      <c r="J201">
        <v>1.2183334300307496</v>
      </c>
      <c r="K201">
        <v>0.20679821589549907</v>
      </c>
      <c r="L201">
        <v>1.2183334300307496</v>
      </c>
      <c r="M201">
        <v>13.481682732837296</v>
      </c>
    </row>
    <row r="202" spans="1:13" x14ac:dyDescent="0.3">
      <c r="A202" t="s">
        <v>853</v>
      </c>
      <c r="B202" t="s">
        <v>468</v>
      </c>
      <c r="C202">
        <f t="shared" si="3"/>
        <v>1</v>
      </c>
      <c r="D202">
        <v>4.6977869876773659E-2</v>
      </c>
      <c r="E202">
        <v>2.1818263526873986E-2</v>
      </c>
      <c r="F202">
        <v>5.0771919537643722E-3</v>
      </c>
      <c r="G202">
        <v>0.18662452084989756</v>
      </c>
      <c r="H202">
        <v>1.5149461644298423</v>
      </c>
      <c r="I202">
        <v>1.0110497237569063</v>
      </c>
      <c r="J202">
        <v>1.3801591952017591</v>
      </c>
      <c r="K202">
        <v>0.27798786045339074</v>
      </c>
      <c r="L202">
        <v>1.0264305964266303</v>
      </c>
      <c r="M202">
        <v>25.434380520245231</v>
      </c>
    </row>
    <row r="203" spans="1:13" x14ac:dyDescent="0.3">
      <c r="A203" t="s">
        <v>855</v>
      </c>
      <c r="B203" t="s">
        <v>468</v>
      </c>
      <c r="C203">
        <f t="shared" si="3"/>
        <v>1</v>
      </c>
      <c r="D203">
        <v>0.10995828956501974</v>
      </c>
      <c r="E203">
        <v>9.325501336294538E-2</v>
      </c>
      <c r="F203">
        <v>1.8459835692968531E-2</v>
      </c>
      <c r="G203">
        <v>0.39917960401773855</v>
      </c>
      <c r="H203">
        <v>1.4155643750179974</v>
      </c>
      <c r="I203">
        <v>2.9904973368753556</v>
      </c>
      <c r="J203">
        <v>1.7917631868757833</v>
      </c>
      <c r="K203">
        <v>0.27075699957161353</v>
      </c>
      <c r="L203">
        <v>1.2787430063977803</v>
      </c>
      <c r="M203">
        <v>4.3138144799635487</v>
      </c>
    </row>
    <row r="204" spans="1:13" x14ac:dyDescent="0.3">
      <c r="A204" t="s">
        <v>865</v>
      </c>
      <c r="B204" t="s">
        <v>468</v>
      </c>
      <c r="C204">
        <f t="shared" si="3"/>
        <v>1</v>
      </c>
      <c r="D204">
        <v>4.728607009533977E-3</v>
      </c>
      <c r="E204">
        <v>3.2710250814435272E-2</v>
      </c>
      <c r="F204">
        <v>1.8144073855725449E-2</v>
      </c>
      <c r="G204">
        <v>0.33617324465403298</v>
      </c>
      <c r="H204">
        <v>1.3969154337961165</v>
      </c>
      <c r="I204">
        <v>1.4160324462326499</v>
      </c>
      <c r="J204">
        <v>1.7289038719602003</v>
      </c>
      <c r="K204">
        <v>0.2645706470710773</v>
      </c>
      <c r="L204">
        <v>1.1138683176166939</v>
      </c>
      <c r="M204">
        <v>12.777298811865185</v>
      </c>
    </row>
    <row r="205" spans="1:13" x14ac:dyDescent="0.3">
      <c r="A205" t="s">
        <v>867</v>
      </c>
      <c r="B205" t="s">
        <v>468</v>
      </c>
      <c r="C205">
        <f t="shared" si="3"/>
        <v>1</v>
      </c>
      <c r="D205">
        <v>6.327837186343728E-2</v>
      </c>
      <c r="E205">
        <v>4.1494109662298592E-2</v>
      </c>
      <c r="F205">
        <v>5.008943285325097E-3</v>
      </c>
      <c r="G205">
        <v>0.40660820309454054</v>
      </c>
      <c r="H205">
        <v>1.7413932736839552</v>
      </c>
      <c r="I205">
        <v>2.2394378790814122</v>
      </c>
      <c r="J205">
        <v>1.8132888829473168</v>
      </c>
      <c r="K205">
        <v>0.20924491205400406</v>
      </c>
      <c r="L205">
        <v>1.5786838340486409</v>
      </c>
      <c r="M205">
        <v>4.8539140380736479</v>
      </c>
    </row>
    <row r="206" spans="1:13" x14ac:dyDescent="0.3">
      <c r="A206" t="s">
        <v>871</v>
      </c>
      <c r="B206" t="s">
        <v>468</v>
      </c>
      <c r="C206">
        <f t="shared" si="3"/>
        <v>1</v>
      </c>
      <c r="D206">
        <v>0.13768211758368226</v>
      </c>
      <c r="E206">
        <v>0.101575655135765</v>
      </c>
      <c r="F206">
        <v>4.3388219382824909E-2</v>
      </c>
      <c r="G206">
        <v>0.63665214685749849</v>
      </c>
      <c r="H206">
        <v>1.3431018128511445</v>
      </c>
      <c r="I206">
        <v>10.940370293752586</v>
      </c>
      <c r="J206">
        <v>2.8493950149345375</v>
      </c>
      <c r="K206">
        <v>0.20894993135192266</v>
      </c>
      <c r="L206">
        <v>1.3174499359897054</v>
      </c>
      <c r="M206">
        <v>2.1808928047809877</v>
      </c>
    </row>
    <row r="207" spans="1:13" x14ac:dyDescent="0.3">
      <c r="A207" t="s">
        <v>875</v>
      </c>
      <c r="B207" t="s">
        <v>468</v>
      </c>
      <c r="C207">
        <f t="shared" si="3"/>
        <v>1</v>
      </c>
      <c r="D207">
        <v>6.7027668201766644E-2</v>
      </c>
      <c r="E207">
        <v>5.5138814036482679E-2</v>
      </c>
      <c r="F207">
        <v>1.9791016923814485E-2</v>
      </c>
      <c r="G207">
        <v>0.32857355561639356</v>
      </c>
      <c r="H207">
        <v>1.1974200054061412</v>
      </c>
      <c r="I207">
        <v>1.9357653617743302</v>
      </c>
      <c r="J207">
        <v>1.5548661297256083</v>
      </c>
      <c r="K207">
        <v>0.15342718404633937</v>
      </c>
      <c r="L207">
        <v>1.1025134722187606</v>
      </c>
      <c r="M207">
        <v>6.7898601568971397</v>
      </c>
    </row>
    <row r="208" spans="1:13" x14ac:dyDescent="0.3">
      <c r="A208" t="s">
        <v>877</v>
      </c>
      <c r="B208" t="s">
        <v>468</v>
      </c>
      <c r="C208">
        <f t="shared" si="3"/>
        <v>1</v>
      </c>
      <c r="D208">
        <v>3.979122916116163E-2</v>
      </c>
      <c r="E208">
        <v>3.5391298001290608E-2</v>
      </c>
      <c r="F208">
        <v>4.8960803228533939E-3</v>
      </c>
      <c r="G208">
        <v>0.18210991967645304</v>
      </c>
      <c r="H208">
        <v>1.2233352615808597</v>
      </c>
      <c r="I208">
        <v>19.781065881092662</v>
      </c>
      <c r="J208">
        <v>1.2280275743879123</v>
      </c>
      <c r="K208">
        <v>0.15697573716698776</v>
      </c>
      <c r="L208">
        <v>1.1997751100076048</v>
      </c>
      <c r="M208">
        <v>8.0747995658719329</v>
      </c>
    </row>
    <row r="209" spans="1:13" x14ac:dyDescent="0.3">
      <c r="A209" t="s">
        <v>29</v>
      </c>
      <c r="B209" t="s">
        <v>33</v>
      </c>
      <c r="C209">
        <f t="shared" si="3"/>
        <v>0</v>
      </c>
      <c r="D209">
        <v>-7.7838885246444584E-2</v>
      </c>
      <c r="E209">
        <v>-7.9852983049584089E-2</v>
      </c>
      <c r="F209">
        <v>4.0422889392694381E-2</v>
      </c>
      <c r="G209">
        <v>-0.12869785168872891</v>
      </c>
      <c r="H209">
        <v>1.0340376249871759</v>
      </c>
      <c r="I209">
        <v>-0.38926150501455342</v>
      </c>
      <c r="J209">
        <v>0.86692157909883494</v>
      </c>
      <c r="K209">
        <v>-5.882423454224784E-2</v>
      </c>
      <c r="L209">
        <v>0.86692157909883494</v>
      </c>
      <c r="M209">
        <v>-4.9422973141083402</v>
      </c>
    </row>
    <row r="210" spans="1:13" x14ac:dyDescent="0.3">
      <c r="A210" t="s">
        <v>34</v>
      </c>
      <c r="B210" t="s">
        <v>33</v>
      </c>
      <c r="C210">
        <f t="shared" si="3"/>
        <v>0</v>
      </c>
      <c r="D210">
        <v>-4.8687927135712709E-3</v>
      </c>
      <c r="E210">
        <v>0.12569190210578227</v>
      </c>
      <c r="F210">
        <v>9.6470063792050351E-3</v>
      </c>
      <c r="G210">
        <v>0.71385444230300776</v>
      </c>
      <c r="H210">
        <v>1.0664368605613532</v>
      </c>
      <c r="I210">
        <v>27.799475934700361</v>
      </c>
      <c r="J210">
        <v>3.5258004263984208</v>
      </c>
      <c r="K210">
        <v>5.621726609474656E-2</v>
      </c>
      <c r="L210">
        <v>1.0626824489308786</v>
      </c>
      <c r="M210">
        <v>6.6428789858251777E-2</v>
      </c>
    </row>
    <row r="211" spans="1:13" x14ac:dyDescent="0.3">
      <c r="A211" t="s">
        <v>41</v>
      </c>
      <c r="B211" t="s">
        <v>33</v>
      </c>
      <c r="C211">
        <f t="shared" si="3"/>
        <v>0</v>
      </c>
      <c r="D211">
        <v>-0.13171705197987593</v>
      </c>
      <c r="E211">
        <v>-0.14424106951700552</v>
      </c>
      <c r="F211">
        <v>3.9384431881863595E-3</v>
      </c>
      <c r="G211">
        <v>-4.8032248241268026E-2</v>
      </c>
      <c r="H211">
        <v>0.96310326550082148</v>
      </c>
      <c r="I211">
        <v>-9.8271525493672858</v>
      </c>
      <c r="J211">
        <v>0.95373855340620262</v>
      </c>
      <c r="K211">
        <v>-9.5855212027493905E-2</v>
      </c>
      <c r="L211">
        <v>0.95370904197013096</v>
      </c>
      <c r="M211">
        <v>-16.264769026987715</v>
      </c>
    </row>
    <row r="212" spans="1:13" x14ac:dyDescent="0.3">
      <c r="A212" t="s">
        <v>44</v>
      </c>
      <c r="B212" t="s">
        <v>33</v>
      </c>
      <c r="C212">
        <f t="shared" si="3"/>
        <v>0</v>
      </c>
      <c r="D212">
        <v>-0.71874816764428595</v>
      </c>
      <c r="E212">
        <v>-0.69673160297525238</v>
      </c>
      <c r="F212">
        <v>8.4056661972089549E-3</v>
      </c>
      <c r="G212">
        <v>-0.32153830624539731</v>
      </c>
      <c r="H212">
        <v>0.85469706453809335</v>
      </c>
      <c r="I212">
        <v>-1.4193329756924578</v>
      </c>
      <c r="J212">
        <v>0.67373256995346209</v>
      </c>
      <c r="K212">
        <v>-0.46167742802600414</v>
      </c>
      <c r="L212">
        <v>0.56749070526182377</v>
      </c>
      <c r="M212">
        <v>-1.9106627801492901</v>
      </c>
    </row>
    <row r="213" spans="1:13" x14ac:dyDescent="0.3">
      <c r="A213" t="s">
        <v>57</v>
      </c>
      <c r="B213" t="s">
        <v>33</v>
      </c>
      <c r="C213">
        <f t="shared" si="3"/>
        <v>0</v>
      </c>
      <c r="D213">
        <v>-0.259996744450468</v>
      </c>
      <c r="E213">
        <v>-0.24346853571525043</v>
      </c>
      <c r="F213">
        <v>4.1826544734199882E-2</v>
      </c>
      <c r="G213">
        <v>1.6154033202943202E-2</v>
      </c>
      <c r="H213">
        <v>1.0738315418393101</v>
      </c>
      <c r="I213">
        <v>2.8554391624548699E-2</v>
      </c>
      <c r="J213">
        <v>1.0230029747932348</v>
      </c>
      <c r="K213">
        <v>7.9843221963478705E-3</v>
      </c>
      <c r="L213">
        <v>0.7714539742096379</v>
      </c>
      <c r="M213">
        <v>39.571601721686179</v>
      </c>
    </row>
    <row r="214" spans="1:13" x14ac:dyDescent="0.3">
      <c r="A214" t="s">
        <v>65</v>
      </c>
      <c r="B214" t="s">
        <v>33</v>
      </c>
      <c r="C214">
        <f t="shared" si="3"/>
        <v>0</v>
      </c>
      <c r="D214">
        <v>-0.10098338796453142</v>
      </c>
      <c r="E214">
        <v>-2.8284081796684148E-2</v>
      </c>
      <c r="F214">
        <v>1.895294387354262E-2</v>
      </c>
      <c r="G214">
        <v>-1.8901923917397232E-2</v>
      </c>
      <c r="H214">
        <v>1.0805690773368342</v>
      </c>
      <c r="I214">
        <v>0.1122957017959315</v>
      </c>
      <c r="J214">
        <v>0.97324089843118677</v>
      </c>
      <c r="K214">
        <v>3.2715391047942903E-2</v>
      </c>
      <c r="L214">
        <v>0.74286067548351997</v>
      </c>
      <c r="M214">
        <v>-36.805815203621144</v>
      </c>
    </row>
    <row r="215" spans="1:13" x14ac:dyDescent="0.3">
      <c r="A215" t="s">
        <v>67</v>
      </c>
      <c r="B215" t="s">
        <v>33</v>
      </c>
      <c r="C215">
        <f t="shared" si="3"/>
        <v>0</v>
      </c>
      <c r="D215">
        <v>-1.6191895176345419E-2</v>
      </c>
      <c r="E215">
        <v>-1.7621359223300972</v>
      </c>
      <c r="F215">
        <v>0</v>
      </c>
      <c r="G215">
        <v>0.74961574982625812</v>
      </c>
      <c r="H215">
        <v>1.0056697260372252</v>
      </c>
      <c r="I215">
        <v>2.5929085199822694E-2</v>
      </c>
      <c r="J215">
        <v>23.747177261621204</v>
      </c>
      <c r="K215">
        <v>5.6377614742032182E-3</v>
      </c>
      <c r="L215">
        <v>0.78700693891876783</v>
      </c>
      <c r="M215">
        <v>9.2736849914682104E-3</v>
      </c>
    </row>
    <row r="216" spans="1:13" x14ac:dyDescent="0.3">
      <c r="A216" t="s">
        <v>72</v>
      </c>
      <c r="B216" t="s">
        <v>33</v>
      </c>
      <c r="C216">
        <f t="shared" si="3"/>
        <v>0</v>
      </c>
      <c r="D216">
        <v>-0.13831036343790173</v>
      </c>
      <c r="E216">
        <v>0.38195384898140805</v>
      </c>
      <c r="F216">
        <v>5.4245643699639121E-2</v>
      </c>
      <c r="G216">
        <v>-6.1868838114810365E-2</v>
      </c>
      <c r="H216">
        <v>0.99208784397037419</v>
      </c>
      <c r="I216">
        <v>-0.30466093369664077</v>
      </c>
      <c r="J216">
        <v>0.90928817277558394</v>
      </c>
      <c r="K216">
        <v>-0.11571539284987442</v>
      </c>
      <c r="L216">
        <v>0.61526146534725568</v>
      </c>
      <c r="M216">
        <v>-0.95825068129993873</v>
      </c>
    </row>
    <row r="217" spans="1:13" x14ac:dyDescent="0.3">
      <c r="A217" t="s">
        <v>74</v>
      </c>
      <c r="B217" t="s">
        <v>33</v>
      </c>
      <c r="C217">
        <f t="shared" si="3"/>
        <v>0</v>
      </c>
      <c r="D217">
        <v>-0.31350286420833801</v>
      </c>
      <c r="E217">
        <v>-1.6649111617312071</v>
      </c>
      <c r="F217">
        <v>5.3176772198980253E-2</v>
      </c>
      <c r="G217">
        <v>-0.50760449344984182</v>
      </c>
      <c r="H217">
        <v>0.7195643351977139</v>
      </c>
      <c r="I217">
        <v>-4.0943088217269032</v>
      </c>
      <c r="J217">
        <v>0.63474591012739234</v>
      </c>
      <c r="K217">
        <v>-0.46763172894395361</v>
      </c>
      <c r="L217">
        <v>0.63474591012739234</v>
      </c>
      <c r="M217">
        <v>-0.1606420659806134</v>
      </c>
    </row>
    <row r="218" spans="1:13" x14ac:dyDescent="0.3">
      <c r="A218" t="s">
        <v>76</v>
      </c>
      <c r="B218" t="s">
        <v>33</v>
      </c>
      <c r="C218">
        <f t="shared" si="3"/>
        <v>0</v>
      </c>
      <c r="D218">
        <v>-0.2992064536102656</v>
      </c>
      <c r="E218">
        <v>-0.43292105156920518</v>
      </c>
      <c r="F218">
        <v>1.5492922476861395E-2</v>
      </c>
      <c r="G218">
        <v>-0.29433445963481009</v>
      </c>
      <c r="H218">
        <v>0.78897417610144793</v>
      </c>
      <c r="I218">
        <v>-7.3774620021682917</v>
      </c>
      <c r="J218">
        <v>0.76473096919044181</v>
      </c>
      <c r="K218">
        <v>-0.2819003589098657</v>
      </c>
      <c r="L218">
        <v>0.75482767365152481</v>
      </c>
      <c r="M218">
        <v>-2.1298097249269983</v>
      </c>
    </row>
    <row r="219" spans="1:13" x14ac:dyDescent="0.3">
      <c r="A219" t="s">
        <v>78</v>
      </c>
      <c r="B219" t="s">
        <v>33</v>
      </c>
      <c r="C219">
        <f t="shared" si="3"/>
        <v>0</v>
      </c>
      <c r="D219">
        <v>-0.13520235657331806</v>
      </c>
      <c r="E219">
        <v>0.11642169461506037</v>
      </c>
      <c r="F219">
        <v>7.9045987123141526E-3</v>
      </c>
      <c r="G219">
        <v>-0.1203806191135444</v>
      </c>
      <c r="H219">
        <v>0.89738837154881346</v>
      </c>
      <c r="I219">
        <v>-2.0131885445073769</v>
      </c>
      <c r="J219">
        <v>0.88492408494070351</v>
      </c>
      <c r="K219">
        <v>-0.14954589996797413</v>
      </c>
      <c r="L219">
        <v>0.8307275023344578</v>
      </c>
      <c r="M219">
        <v>-7.3908268694652604</v>
      </c>
    </row>
    <row r="220" spans="1:13" x14ac:dyDescent="0.3">
      <c r="A220" t="s">
        <v>80</v>
      </c>
      <c r="B220" t="s">
        <v>33</v>
      </c>
      <c r="C220">
        <f t="shared" si="3"/>
        <v>0</v>
      </c>
      <c r="D220">
        <v>1.3598841548301541E-3</v>
      </c>
      <c r="E220">
        <v>0.45834161531835949</v>
      </c>
      <c r="F220">
        <v>1.0375800935831158E-3</v>
      </c>
      <c r="G220">
        <v>-5.1757210118468622E-2</v>
      </c>
      <c r="H220">
        <v>0.99873680225812023</v>
      </c>
      <c r="I220">
        <v>-8.7327624581775704E-2</v>
      </c>
      <c r="J220">
        <v>0.94582131195089436</v>
      </c>
      <c r="K220">
        <v>-7.9961999160426175E-3</v>
      </c>
      <c r="L220">
        <v>0.90240714065224048</v>
      </c>
      <c r="M220">
        <v>-0.10224657255845068</v>
      </c>
    </row>
    <row r="221" spans="1:13" x14ac:dyDescent="0.3">
      <c r="A221" t="s">
        <v>82</v>
      </c>
      <c r="B221" t="s">
        <v>33</v>
      </c>
      <c r="C221">
        <f t="shared" si="3"/>
        <v>0</v>
      </c>
      <c r="D221">
        <v>7.085400998115189E-3</v>
      </c>
      <c r="E221">
        <v>0.78370000000000006</v>
      </c>
      <c r="F221">
        <v>2.169209781748021E-3</v>
      </c>
      <c r="G221">
        <v>-0.15306979730680298</v>
      </c>
      <c r="H221">
        <v>0.9818586876060339</v>
      </c>
      <c r="I221">
        <v>-0.13727707885525603</v>
      </c>
      <c r="J221">
        <v>0.84970708970422093</v>
      </c>
      <c r="K221">
        <v>-1.8476500358924595E-2</v>
      </c>
      <c r="L221">
        <v>0.84970708970422093</v>
      </c>
      <c r="M221">
        <v>-0.11783129151343688</v>
      </c>
    </row>
    <row r="222" spans="1:13" x14ac:dyDescent="0.3">
      <c r="A222" t="s">
        <v>100</v>
      </c>
      <c r="B222" t="s">
        <v>33</v>
      </c>
      <c r="C222">
        <f t="shared" si="3"/>
        <v>0</v>
      </c>
      <c r="D222">
        <v>-1.8148879230914104E-2</v>
      </c>
      <c r="E222">
        <v>-107.5871485943775</v>
      </c>
      <c r="F222">
        <v>9.3946557483021414E-4</v>
      </c>
      <c r="G222">
        <v>-1.3177902629198268</v>
      </c>
      <c r="H222">
        <v>0.62505274865317439</v>
      </c>
      <c r="I222">
        <v>-0.78140611331349097</v>
      </c>
      <c r="J222">
        <v>0.14873209300608961</v>
      </c>
      <c r="K222">
        <v>-0.60149353490969137</v>
      </c>
      <c r="L222">
        <v>0.14391345259857097</v>
      </c>
      <c r="M222">
        <v>-1.1785552918978536E-4</v>
      </c>
    </row>
    <row r="223" spans="1:13" x14ac:dyDescent="0.3">
      <c r="A223" t="s">
        <v>103</v>
      </c>
      <c r="B223" t="s">
        <v>33</v>
      </c>
      <c r="C223">
        <f t="shared" si="3"/>
        <v>0</v>
      </c>
      <c r="D223">
        <v>-6.3270705775056724E-2</v>
      </c>
      <c r="E223">
        <v>-0.9082275703805226</v>
      </c>
      <c r="F223">
        <v>1.0682533216741596E-2</v>
      </c>
      <c r="G223">
        <v>0.76313628804683609</v>
      </c>
      <c r="H223">
        <v>0.59816838889072477</v>
      </c>
      <c r="I223">
        <v>-2832.4444444444443</v>
      </c>
      <c r="J223">
        <v>4.2374788856426742</v>
      </c>
      <c r="K223">
        <v>-0.86005996168241949</v>
      </c>
      <c r="L223">
        <v>0.59748384363035911</v>
      </c>
      <c r="M223">
        <v>9.0369916393741659E-2</v>
      </c>
    </row>
    <row r="224" spans="1:13" x14ac:dyDescent="0.3">
      <c r="A224" t="s">
        <v>111</v>
      </c>
      <c r="B224" t="s">
        <v>33</v>
      </c>
      <c r="C224">
        <f t="shared" si="3"/>
        <v>0</v>
      </c>
      <c r="D224">
        <v>-1.1842556240256364E-4</v>
      </c>
      <c r="E224">
        <v>7.0312368016488436E-2</v>
      </c>
      <c r="F224">
        <v>1.6733009245367901E-6</v>
      </c>
      <c r="G224">
        <v>0.16654247072340375</v>
      </c>
      <c r="H224">
        <v>1.0549848818649652</v>
      </c>
      <c r="I224">
        <v>10.896528006220283</v>
      </c>
      <c r="J224">
        <v>1.2012900790954515</v>
      </c>
      <c r="K224">
        <v>5.2094955852774343E-2</v>
      </c>
      <c r="L224">
        <v>1.0485683851635632</v>
      </c>
      <c r="M224">
        <v>0.10163179528386437</v>
      </c>
    </row>
    <row r="225" spans="1:13" x14ac:dyDescent="0.3">
      <c r="A225" t="s">
        <v>113</v>
      </c>
      <c r="B225" t="s">
        <v>33</v>
      </c>
      <c r="C225">
        <f t="shared" si="3"/>
        <v>0</v>
      </c>
      <c r="D225">
        <v>-0.16736052036647073</v>
      </c>
      <c r="E225">
        <v>0.30186484315636347</v>
      </c>
      <c r="F225">
        <v>2.2857317227174601E-2</v>
      </c>
      <c r="G225">
        <v>-0.37868396395980197</v>
      </c>
      <c r="H225">
        <v>1.0940993244321171</v>
      </c>
      <c r="I225">
        <v>-3.5171166359495271E-2</v>
      </c>
      <c r="J225">
        <v>0.52485623600445319</v>
      </c>
      <c r="K225">
        <v>-2.0458919169418093E-2</v>
      </c>
      <c r="L225">
        <v>0.45766636076304262</v>
      </c>
      <c r="M225">
        <v>-1.4419569094415092</v>
      </c>
    </row>
    <row r="226" spans="1:13" x14ac:dyDescent="0.3">
      <c r="A226" t="s">
        <v>115</v>
      </c>
      <c r="B226" t="s">
        <v>33</v>
      </c>
      <c r="C226">
        <f t="shared" si="3"/>
        <v>0</v>
      </c>
      <c r="D226">
        <v>-0.97975804066596495</v>
      </c>
      <c r="E226">
        <v>-1.7677354520050184</v>
      </c>
      <c r="F226">
        <v>2.968814454883519E-3</v>
      </c>
      <c r="G226">
        <v>-1.097793598858565</v>
      </c>
      <c r="H226">
        <v>0.50741956309636937</v>
      </c>
      <c r="I226">
        <v>-3.0554751045210531</v>
      </c>
      <c r="J226">
        <v>0.33354226416794669</v>
      </c>
      <c r="K226">
        <v>-1.3530928219966996</v>
      </c>
      <c r="L226">
        <v>0.2787829185319296</v>
      </c>
      <c r="M226">
        <v>-0.60932158764168409</v>
      </c>
    </row>
    <row r="227" spans="1:13" x14ac:dyDescent="0.3">
      <c r="A227" t="s">
        <v>117</v>
      </c>
      <c r="B227" t="s">
        <v>33</v>
      </c>
      <c r="C227">
        <f t="shared" si="3"/>
        <v>0</v>
      </c>
      <c r="D227">
        <v>1.0988707444106679E-2</v>
      </c>
      <c r="E227">
        <v>0.10531850701049557</v>
      </c>
      <c r="F227">
        <v>1.9031036507432514E-2</v>
      </c>
      <c r="G227">
        <v>6.0550734093191429E-2</v>
      </c>
      <c r="H227">
        <v>1.1701172073949859</v>
      </c>
      <c r="I227">
        <v>0.59702906894937702</v>
      </c>
      <c r="J227">
        <v>1.0783417244775224</v>
      </c>
      <c r="K227">
        <v>9.7307578721040219E-2</v>
      </c>
      <c r="L227">
        <v>0.97524124759811193</v>
      </c>
      <c r="M227">
        <v>12.03685687269242</v>
      </c>
    </row>
    <row r="228" spans="1:13" x14ac:dyDescent="0.3">
      <c r="A228" t="s">
        <v>119</v>
      </c>
      <c r="B228" t="s">
        <v>33</v>
      </c>
      <c r="C228">
        <f t="shared" si="3"/>
        <v>0</v>
      </c>
      <c r="D228">
        <v>-8.0151437104386998E-3</v>
      </c>
      <c r="E228">
        <v>-3.554667850273709</v>
      </c>
      <c r="F228">
        <v>2.4257635495065993E-5</v>
      </c>
      <c r="G228">
        <v>0.20161448569448817</v>
      </c>
      <c r="H228">
        <v>1.0299270828280869</v>
      </c>
      <c r="I228">
        <v>6.5785438146769598E-2</v>
      </c>
      <c r="J228">
        <v>1.3968906357821327</v>
      </c>
      <c r="K228">
        <v>1.9091702272549596E-2</v>
      </c>
      <c r="L228">
        <v>0.73083571809671632</v>
      </c>
      <c r="M228">
        <v>1.0525373250540168E-2</v>
      </c>
    </row>
    <row r="229" spans="1:13" x14ac:dyDescent="0.3">
      <c r="A229" t="s">
        <v>121</v>
      </c>
      <c r="B229" t="s">
        <v>33</v>
      </c>
      <c r="C229">
        <f t="shared" si="3"/>
        <v>0</v>
      </c>
      <c r="D229">
        <v>-0.75352923844978448</v>
      </c>
      <c r="E229">
        <v>-0.38938388797508983</v>
      </c>
      <c r="F229">
        <v>1.5826233476937956E-2</v>
      </c>
      <c r="G229">
        <v>-0.76976567014841457</v>
      </c>
      <c r="H229">
        <v>0.56228672024352555</v>
      </c>
      <c r="I229">
        <v>-220.80862110188883</v>
      </c>
      <c r="J229">
        <v>0.5630733956629882</v>
      </c>
      <c r="K229">
        <v>-1.0541474413914469</v>
      </c>
      <c r="L229">
        <v>0.55779277400070593</v>
      </c>
      <c r="M229">
        <v>-2.4760870799393642</v>
      </c>
    </row>
    <row r="230" spans="1:13" x14ac:dyDescent="0.3">
      <c r="A230" t="s">
        <v>123</v>
      </c>
      <c r="B230" t="s">
        <v>33</v>
      </c>
      <c r="C230">
        <f t="shared" si="3"/>
        <v>0</v>
      </c>
      <c r="D230">
        <v>-6.9865525902249218E-2</v>
      </c>
      <c r="E230">
        <v>-31.705615194054499</v>
      </c>
      <c r="F230">
        <v>6.2890751855281994E-3</v>
      </c>
      <c r="G230">
        <v>-1.0518511724701578</v>
      </c>
      <c r="H230">
        <v>0.4875485891541258</v>
      </c>
      <c r="I230" t="e">
        <v>#DIV/0!</v>
      </c>
      <c r="J230">
        <v>0.48717144486206149</v>
      </c>
      <c r="K230">
        <v>-1.0571726894941817</v>
      </c>
      <c r="L230">
        <v>0.48717144486206149</v>
      </c>
      <c r="M230">
        <v>-1.1273334452495448E-3</v>
      </c>
    </row>
    <row r="231" spans="1:13" x14ac:dyDescent="0.3">
      <c r="A231" t="s">
        <v>130</v>
      </c>
      <c r="B231" t="s">
        <v>33</v>
      </c>
      <c r="C231">
        <f t="shared" si="3"/>
        <v>0</v>
      </c>
      <c r="D231">
        <v>-4.7984927239222231E-3</v>
      </c>
      <c r="E231">
        <v>-0.60816213687210252</v>
      </c>
      <c r="F231">
        <v>7.1826689131065932E-5</v>
      </c>
      <c r="G231">
        <v>-0.41835733592809976</v>
      </c>
      <c r="H231">
        <v>0.88966808730851221</v>
      </c>
      <c r="I231">
        <v>-0.33478151009114665</v>
      </c>
      <c r="J231">
        <v>0.3216825614910902</v>
      </c>
      <c r="K231">
        <v>-0.26791834661375274</v>
      </c>
      <c r="L231">
        <v>0.17651025297599973</v>
      </c>
      <c r="M231">
        <v>-1.8830274044520371E-2</v>
      </c>
    </row>
    <row r="232" spans="1:13" x14ac:dyDescent="0.3">
      <c r="A232" t="s">
        <v>134</v>
      </c>
      <c r="B232" t="s">
        <v>33</v>
      </c>
      <c r="C232">
        <f t="shared" si="3"/>
        <v>0</v>
      </c>
      <c r="D232">
        <v>-1.5298575586270749E-2</v>
      </c>
      <c r="E232">
        <v>0.10488205329703486</v>
      </c>
      <c r="F232">
        <v>3.634946291349628E-3</v>
      </c>
      <c r="G232">
        <v>-0.2873878822449194</v>
      </c>
      <c r="H232">
        <v>0.98991988805024911</v>
      </c>
      <c r="I232">
        <v>-2.5796222399574353E-2</v>
      </c>
      <c r="J232">
        <v>0.63645475604991097</v>
      </c>
      <c r="K232">
        <v>-1.2799679541614975E-2</v>
      </c>
      <c r="L232">
        <v>0.49805530515610702</v>
      </c>
      <c r="M232">
        <v>-4.3640815286686611E-2</v>
      </c>
    </row>
    <row r="233" spans="1:13" x14ac:dyDescent="0.3">
      <c r="A233" t="s">
        <v>142</v>
      </c>
      <c r="B233" t="s">
        <v>33</v>
      </c>
      <c r="C233">
        <f t="shared" si="3"/>
        <v>0</v>
      </c>
      <c r="D233">
        <v>-0.32018954685958068</v>
      </c>
      <c r="E233">
        <v>-0.4414989188940005</v>
      </c>
      <c r="F233">
        <v>1.947269641602788E-2</v>
      </c>
      <c r="G233">
        <v>-1.2454758953105214</v>
      </c>
      <c r="H233">
        <v>0.5258360405611695</v>
      </c>
      <c r="I233">
        <v>-2.1122934389026633</v>
      </c>
      <c r="J233">
        <v>0.29480691843860618</v>
      </c>
      <c r="K233">
        <v>-0.98148476222260939</v>
      </c>
      <c r="L233">
        <v>0.27378856412071778</v>
      </c>
      <c r="M233">
        <v>-0.3067114938853468</v>
      </c>
    </row>
    <row r="234" spans="1:13" x14ac:dyDescent="0.3">
      <c r="A234" t="s">
        <v>151</v>
      </c>
      <c r="B234" t="s">
        <v>33</v>
      </c>
      <c r="C234">
        <f t="shared" si="3"/>
        <v>0</v>
      </c>
      <c r="D234">
        <v>-0.40279389871239524</v>
      </c>
      <c r="E234">
        <v>-0.29643885634402367</v>
      </c>
      <c r="F234">
        <v>1.6171670586136448E-2</v>
      </c>
      <c r="G234">
        <v>-0.91096067915161139</v>
      </c>
      <c r="H234">
        <v>0.67699369307522028</v>
      </c>
      <c r="I234">
        <v>-1.2492161230478915</v>
      </c>
      <c r="J234">
        <v>0.38328536557483983</v>
      </c>
      <c r="K234">
        <v>-0.53918585242277128</v>
      </c>
      <c r="L234">
        <v>0.38328536557483983</v>
      </c>
      <c r="M234">
        <v>-1.622339287975558</v>
      </c>
    </row>
    <row r="235" spans="1:13" x14ac:dyDescent="0.3">
      <c r="A235" t="s">
        <v>168</v>
      </c>
      <c r="B235" t="s">
        <v>33</v>
      </c>
      <c r="C235">
        <f t="shared" si="3"/>
        <v>0</v>
      </c>
      <c r="D235">
        <v>-5.7126407085128256E-2</v>
      </c>
      <c r="E235">
        <v>-5.2092708053009555E-3</v>
      </c>
      <c r="F235">
        <v>3.590417742801747E-3</v>
      </c>
      <c r="G235">
        <v>-3.1962537525691975E-2</v>
      </c>
      <c r="H235">
        <v>0.84669734324114132</v>
      </c>
      <c r="I235">
        <v>-1.7822565198329765</v>
      </c>
      <c r="J235">
        <v>0.96117731534761119</v>
      </c>
      <c r="K235">
        <v>-0.32814513103820125</v>
      </c>
      <c r="L235">
        <v>0.67001942869377418</v>
      </c>
      <c r="M235">
        <v>-32.465967602203442</v>
      </c>
    </row>
    <row r="236" spans="1:13" x14ac:dyDescent="0.3">
      <c r="A236" t="s">
        <v>176</v>
      </c>
      <c r="B236" t="s">
        <v>33</v>
      </c>
      <c r="C236">
        <f t="shared" si="3"/>
        <v>0</v>
      </c>
      <c r="D236">
        <v>-3.6573981492293356E-3</v>
      </c>
      <c r="E236">
        <v>-6.4843942245662112E-4</v>
      </c>
      <c r="F236">
        <v>2.3036449531579901E-3</v>
      </c>
      <c r="G236">
        <v>-0.11189338704277631</v>
      </c>
      <c r="H236">
        <v>0.6830514886597302</v>
      </c>
      <c r="I236">
        <v>-0.83350800829931693</v>
      </c>
      <c r="J236">
        <v>0.79845852934974659</v>
      </c>
      <c r="K236">
        <v>-0.46401847679474334</v>
      </c>
      <c r="L236">
        <v>0.30279298102167024</v>
      </c>
      <c r="M236">
        <v>-0.72328409973711605</v>
      </c>
    </row>
    <row r="237" spans="1:13" x14ac:dyDescent="0.3">
      <c r="A237" t="s">
        <v>178</v>
      </c>
      <c r="B237" t="s">
        <v>33</v>
      </c>
      <c r="C237">
        <f t="shared" si="3"/>
        <v>0</v>
      </c>
      <c r="D237">
        <v>5.2329291793213502E-3</v>
      </c>
      <c r="E237">
        <v>187.93030794165315</v>
      </c>
      <c r="F237">
        <v>1.8853828468591214E-4</v>
      </c>
      <c r="G237">
        <v>-0.16365095038594332</v>
      </c>
      <c r="H237">
        <v>1.4390741624348182</v>
      </c>
      <c r="I237">
        <v>0.57008589812233446</v>
      </c>
      <c r="J237">
        <v>0.76290630229623868</v>
      </c>
      <c r="K237">
        <v>0.26592075088926692</v>
      </c>
      <c r="L237">
        <v>0.75779703238719631</v>
      </c>
      <c r="M237">
        <v>-1.0146724597831199E-3</v>
      </c>
    </row>
    <row r="238" spans="1:13" x14ac:dyDescent="0.3">
      <c r="A238" t="s">
        <v>180</v>
      </c>
      <c r="B238" t="s">
        <v>33</v>
      </c>
      <c r="C238">
        <f t="shared" si="3"/>
        <v>0</v>
      </c>
      <c r="D238">
        <v>-13.287242043128158</v>
      </c>
      <c r="E238">
        <v>-7.9746516287257823</v>
      </c>
      <c r="F238">
        <v>5.787139428772857E-2</v>
      </c>
      <c r="G238">
        <v>-0.78157071879637074</v>
      </c>
      <c r="H238">
        <v>4.5512579716328612E-2</v>
      </c>
      <c r="I238">
        <v>-623.9910356881096</v>
      </c>
      <c r="J238">
        <v>0.55282526296916645</v>
      </c>
      <c r="K238">
        <v>-21.074421109755551</v>
      </c>
      <c r="L238">
        <v>4.3975456238784551E-2</v>
      </c>
      <c r="M238">
        <v>-2.8061897061904717</v>
      </c>
    </row>
    <row r="239" spans="1:13" x14ac:dyDescent="0.3">
      <c r="A239" t="s">
        <v>107</v>
      </c>
      <c r="B239" t="s">
        <v>33</v>
      </c>
      <c r="C239">
        <f t="shared" si="3"/>
        <v>0</v>
      </c>
      <c r="D239">
        <v>2.7510205759774409E-2</v>
      </c>
      <c r="E239">
        <v>4.1680834076405188E-2</v>
      </c>
      <c r="F239">
        <v>1.3712961903340058E-2</v>
      </c>
      <c r="G239">
        <v>0.2881308798165565</v>
      </c>
      <c r="H239">
        <v>1.1000630320220854</v>
      </c>
      <c r="I239">
        <v>0.51993726926969563</v>
      </c>
      <c r="J239">
        <v>1.5025648454726248</v>
      </c>
      <c r="K239">
        <v>6.9273401983246233E-2</v>
      </c>
      <c r="L239">
        <v>0.94765114806161388</v>
      </c>
      <c r="M239">
        <v>4.3049094767275378</v>
      </c>
    </row>
    <row r="240" spans="1:13" x14ac:dyDescent="0.3">
      <c r="A240" t="s">
        <v>132</v>
      </c>
      <c r="B240" t="s">
        <v>33</v>
      </c>
      <c r="C240">
        <f t="shared" si="3"/>
        <v>0</v>
      </c>
      <c r="D240">
        <v>-0.58083671475577725</v>
      </c>
      <c r="E240">
        <v>-1.0283152170894407</v>
      </c>
      <c r="F240">
        <v>1.3382454238881689E-2</v>
      </c>
      <c r="G240">
        <v>-0.20613433992998723</v>
      </c>
      <c r="H240">
        <v>0.70851726926000191</v>
      </c>
      <c r="I240">
        <v>-5.6287157865241104</v>
      </c>
      <c r="J240">
        <v>0.81507523213553701</v>
      </c>
      <c r="K240">
        <v>-0.43774202873581025</v>
      </c>
      <c r="L240">
        <v>0.64372948418570197</v>
      </c>
      <c r="M240">
        <v>-2.9739450886983612</v>
      </c>
    </row>
    <row r="241" spans="1:13" x14ac:dyDescent="0.3">
      <c r="A241" t="s">
        <v>136</v>
      </c>
      <c r="B241" t="s">
        <v>33</v>
      </c>
      <c r="C241">
        <f t="shared" si="3"/>
        <v>0</v>
      </c>
      <c r="D241">
        <v>-1.1879717925780372E-2</v>
      </c>
      <c r="E241">
        <v>-0.56338303020841463</v>
      </c>
      <c r="F241">
        <v>1.2566926864703866E-3</v>
      </c>
      <c r="G241">
        <v>-2.1117589629901423</v>
      </c>
      <c r="H241">
        <v>0.3343809448017222</v>
      </c>
      <c r="I241">
        <v>-19.603696185733806</v>
      </c>
      <c r="J241">
        <v>0.29386804276185097</v>
      </c>
      <c r="K241">
        <v>-2.3128425855349675</v>
      </c>
      <c r="L241">
        <v>0.29386804276185097</v>
      </c>
      <c r="M241">
        <v>-4.5013718713449525E-3</v>
      </c>
    </row>
    <row r="242" spans="1:13" x14ac:dyDescent="0.3">
      <c r="A242" t="s">
        <v>159</v>
      </c>
      <c r="B242" t="s">
        <v>33</v>
      </c>
      <c r="C242">
        <f t="shared" si="3"/>
        <v>0</v>
      </c>
      <c r="D242">
        <v>-4.1917969337655056E-2</v>
      </c>
      <c r="E242">
        <v>-4.5837920594509043E-2</v>
      </c>
      <c r="F242">
        <v>2.9291124927949864E-2</v>
      </c>
      <c r="G242">
        <v>0.48519284549843006</v>
      </c>
      <c r="H242">
        <v>1.2377803423513181</v>
      </c>
      <c r="I242">
        <v>5.8014392692940513</v>
      </c>
      <c r="J242">
        <v>1.982636138176874</v>
      </c>
      <c r="K242">
        <v>9.2643089908622744E-2</v>
      </c>
      <c r="L242">
        <v>1.2117366826650262</v>
      </c>
      <c r="M242">
        <v>1.1768046086722841</v>
      </c>
    </row>
    <row r="243" spans="1:13" x14ac:dyDescent="0.3">
      <c r="A243" t="s">
        <v>164</v>
      </c>
      <c r="B243" t="s">
        <v>33</v>
      </c>
      <c r="C243">
        <f t="shared" si="3"/>
        <v>0</v>
      </c>
      <c r="D243">
        <v>-0.19513656566974563</v>
      </c>
      <c r="E243">
        <v>-100.36521739130434</v>
      </c>
      <c r="F243">
        <v>2.6828554006129947E-5</v>
      </c>
      <c r="G243">
        <v>0.65660420578545431</v>
      </c>
      <c r="H243">
        <v>1.0158991390296366</v>
      </c>
      <c r="I243">
        <v>-1.0021032378545089E-4</v>
      </c>
      <c r="J243">
        <v>5.8991802327615899</v>
      </c>
      <c r="K243">
        <v>-2.0981287406858513E-5</v>
      </c>
      <c r="L243">
        <v>0.80319778245088924</v>
      </c>
      <c r="M243">
        <v>1.2969661518149633E-3</v>
      </c>
    </row>
    <row r="244" spans="1:13" x14ac:dyDescent="0.3">
      <c r="A244" t="s">
        <v>172</v>
      </c>
      <c r="B244" t="s">
        <v>33</v>
      </c>
      <c r="C244">
        <f t="shared" si="3"/>
        <v>0</v>
      </c>
      <c r="D244">
        <v>8.7458382127957972E-3</v>
      </c>
      <c r="E244">
        <v>2.6556043437944817E-2</v>
      </c>
      <c r="F244">
        <v>3.9712061631460658E-3</v>
      </c>
      <c r="G244">
        <v>0.17502805387606235</v>
      </c>
      <c r="H244">
        <v>1.1848567214069761</v>
      </c>
      <c r="I244">
        <v>0.91265019576076689</v>
      </c>
      <c r="J244">
        <v>1.2403975635994506</v>
      </c>
      <c r="K244">
        <v>8.3535871626304492E-2</v>
      </c>
      <c r="L244">
        <v>1.0700506697030066</v>
      </c>
      <c r="M244">
        <v>9.0104386203415636</v>
      </c>
    </row>
    <row r="245" spans="1:13" x14ac:dyDescent="0.3">
      <c r="A245" t="s">
        <v>182</v>
      </c>
      <c r="B245" t="s">
        <v>33</v>
      </c>
      <c r="C245">
        <f t="shared" si="3"/>
        <v>0</v>
      </c>
      <c r="D245">
        <v>-4.5380621008738586E-3</v>
      </c>
      <c r="E245">
        <v>5.2856459442875418E-2</v>
      </c>
      <c r="F245">
        <v>5.3485469324370972E-3</v>
      </c>
      <c r="G245">
        <v>0.29751248035322986</v>
      </c>
      <c r="H245">
        <v>1.058584747451889</v>
      </c>
      <c r="I245">
        <v>0.28565096925472988</v>
      </c>
      <c r="J245">
        <v>1.5058580435444053</v>
      </c>
      <c r="K245">
        <v>3.2665100116061406E-2</v>
      </c>
      <c r="L245">
        <v>0.93753220263795611</v>
      </c>
      <c r="M245">
        <v>0.92905095456535391</v>
      </c>
    </row>
    <row r="246" spans="1:13" x14ac:dyDescent="0.3">
      <c r="A246" t="s">
        <v>184</v>
      </c>
      <c r="B246" t="s">
        <v>33</v>
      </c>
      <c r="C246">
        <f t="shared" si="3"/>
        <v>0</v>
      </c>
      <c r="D246">
        <v>2.5899072550168371E-2</v>
      </c>
      <c r="E246">
        <v>0.56246163378407066</v>
      </c>
      <c r="F246">
        <v>0</v>
      </c>
      <c r="G246">
        <v>-0.48987999809543414</v>
      </c>
      <c r="H246">
        <v>1.1608592718020989</v>
      </c>
      <c r="I246">
        <v>0.14561882427387887</v>
      </c>
      <c r="J246">
        <v>8.987154699790767E-2</v>
      </c>
      <c r="K246">
        <v>0.13856914073002466</v>
      </c>
      <c r="L246">
        <v>5.6155048622320687E-2</v>
      </c>
      <c r="M246">
        <v>-0.10144827160738128</v>
      </c>
    </row>
    <row r="247" spans="1:13" x14ac:dyDescent="0.3">
      <c r="A247" t="s">
        <v>186</v>
      </c>
      <c r="B247" t="s">
        <v>33</v>
      </c>
      <c r="C247">
        <f t="shared" si="3"/>
        <v>0</v>
      </c>
      <c r="D247">
        <v>1.7215972125108978E-2</v>
      </c>
      <c r="E247">
        <v>0.13863141271713825</v>
      </c>
      <c r="F247">
        <v>1.6447232304524689E-2</v>
      </c>
      <c r="G247">
        <v>-4.2938782117254673E-2</v>
      </c>
      <c r="H247">
        <v>0.98748621462520458</v>
      </c>
      <c r="I247">
        <v>-0.58549958072631103</v>
      </c>
      <c r="J247">
        <v>0.9575985445864158</v>
      </c>
      <c r="K247">
        <v>-1.3213299068329219E-2</v>
      </c>
      <c r="L247">
        <v>0.9575985445864158</v>
      </c>
      <c r="M247">
        <v>-7.6038607054228882</v>
      </c>
    </row>
    <row r="248" spans="1:13" x14ac:dyDescent="0.3">
      <c r="A248" t="s">
        <v>188</v>
      </c>
      <c r="B248" t="s">
        <v>33</v>
      </c>
      <c r="C248">
        <f t="shared" si="3"/>
        <v>0</v>
      </c>
      <c r="D248">
        <v>2.8471356393516161E-3</v>
      </c>
      <c r="E248">
        <v>3.758429928442901E-2</v>
      </c>
      <c r="F248">
        <v>1.188164721537433E-2</v>
      </c>
      <c r="G248">
        <v>0.11533806059685715</v>
      </c>
      <c r="H248">
        <v>1.3781165019529094</v>
      </c>
      <c r="I248">
        <v>0.77007146792077519</v>
      </c>
      <c r="J248">
        <v>1.1806274062363074</v>
      </c>
      <c r="K248">
        <v>0.18460553959021653</v>
      </c>
      <c r="L248">
        <v>1.0389336010771639</v>
      </c>
      <c r="M248">
        <v>7.6516040287710814</v>
      </c>
    </row>
    <row r="249" spans="1:13" x14ac:dyDescent="0.3">
      <c r="A249" t="s">
        <v>196</v>
      </c>
      <c r="B249" t="s">
        <v>33</v>
      </c>
      <c r="C249">
        <f t="shared" si="3"/>
        <v>0</v>
      </c>
      <c r="D249">
        <v>-4.7696943981779656E-2</v>
      </c>
      <c r="E249">
        <v>1.3669593165696371E-2</v>
      </c>
      <c r="F249">
        <v>5.8981132242723479E-2</v>
      </c>
      <c r="G249">
        <v>0.18728745861099225</v>
      </c>
      <c r="H249">
        <v>1.2701777902343323</v>
      </c>
      <c r="I249">
        <v>1.981874676333506</v>
      </c>
      <c r="J249">
        <v>1.2587587990053566</v>
      </c>
      <c r="K249">
        <v>0.15175639055233739</v>
      </c>
      <c r="L249">
        <v>1.1572324514905215</v>
      </c>
      <c r="M249">
        <v>5.542075112480898</v>
      </c>
    </row>
    <row r="250" spans="1:13" x14ac:dyDescent="0.3">
      <c r="A250" t="s">
        <v>198</v>
      </c>
      <c r="B250" t="s">
        <v>33</v>
      </c>
      <c r="C250">
        <f t="shared" si="3"/>
        <v>0</v>
      </c>
      <c r="D250">
        <v>-1.4871343988220483E-2</v>
      </c>
      <c r="E250">
        <v>-0.23843370064652541</v>
      </c>
      <c r="F250">
        <v>1.5247594276419972E-4</v>
      </c>
      <c r="G250">
        <v>0.74538635981184842</v>
      </c>
      <c r="H250">
        <v>0.57493137849794984</v>
      </c>
      <c r="I250">
        <v>-4.195044729092559</v>
      </c>
      <c r="J250">
        <v>51.709976376521894</v>
      </c>
      <c r="K250">
        <v>-1.0064470095811997</v>
      </c>
      <c r="L250">
        <v>0.4369969284211363</v>
      </c>
      <c r="M250">
        <v>5.5080592853789724E-2</v>
      </c>
    </row>
    <row r="251" spans="1:13" x14ac:dyDescent="0.3">
      <c r="A251" t="s">
        <v>200</v>
      </c>
      <c r="B251" t="s">
        <v>33</v>
      </c>
      <c r="C251">
        <f t="shared" si="3"/>
        <v>0</v>
      </c>
      <c r="D251">
        <v>-0.59300375102804481</v>
      </c>
      <c r="E251">
        <v>-1.0013989558038265</v>
      </c>
      <c r="F251">
        <v>1.15592909891399E-2</v>
      </c>
      <c r="G251">
        <v>-0.15860325715298823</v>
      </c>
      <c r="H251">
        <v>0.7024382965419117</v>
      </c>
      <c r="I251">
        <v>-2.7263700835880962</v>
      </c>
      <c r="J251">
        <v>0.83359240108861599</v>
      </c>
      <c r="K251">
        <v>-0.51890685285401905</v>
      </c>
      <c r="L251">
        <v>0.55808567580249013</v>
      </c>
      <c r="M251">
        <v>-4.050090279611287</v>
      </c>
    </row>
    <row r="252" spans="1:13" x14ac:dyDescent="0.3">
      <c r="A252" t="s">
        <v>208</v>
      </c>
      <c r="B252" t="s">
        <v>33</v>
      </c>
      <c r="C252">
        <f t="shared" si="3"/>
        <v>0</v>
      </c>
      <c r="D252">
        <v>-3.1212345242252852E-3</v>
      </c>
      <c r="E252">
        <v>-688.16666666666663</v>
      </c>
      <c r="F252">
        <v>0</v>
      </c>
      <c r="G252">
        <v>0.87136179964335791</v>
      </c>
      <c r="H252">
        <v>0.93476688871782332</v>
      </c>
      <c r="I252" t="e">
        <v>#DIV/0!</v>
      </c>
      <c r="J252">
        <v>7.8170612607280274</v>
      </c>
      <c r="K252">
        <v>-6.9794889137544808E-2</v>
      </c>
      <c r="L252">
        <v>0.93400275174176206</v>
      </c>
      <c r="M252">
        <v>5.2094977827075059E-6</v>
      </c>
    </row>
    <row r="253" spans="1:13" x14ac:dyDescent="0.3">
      <c r="A253" t="s">
        <v>214</v>
      </c>
      <c r="B253" t="s">
        <v>33</v>
      </c>
      <c r="C253">
        <f t="shared" si="3"/>
        <v>0</v>
      </c>
      <c r="D253">
        <v>-0.53804847624934837</v>
      </c>
      <c r="E253">
        <v>30.908600700997575</v>
      </c>
      <c r="F253">
        <v>7.2593737847300069E-2</v>
      </c>
      <c r="G253">
        <v>-3.3137423969720539</v>
      </c>
      <c r="H253">
        <v>0.13374037749563389</v>
      </c>
      <c r="I253">
        <v>-11.381256924105081</v>
      </c>
      <c r="J253">
        <v>8.301390247793633E-2</v>
      </c>
      <c r="K253">
        <v>-7.9669933021925452</v>
      </c>
      <c r="L253">
        <v>4.0120780042938675E-2</v>
      </c>
      <c r="M253">
        <v>-4.3927754772983286E-4</v>
      </c>
    </row>
    <row r="254" spans="1:13" x14ac:dyDescent="0.3">
      <c r="A254" t="s">
        <v>228</v>
      </c>
      <c r="B254" t="s">
        <v>33</v>
      </c>
      <c r="C254">
        <f t="shared" si="3"/>
        <v>0</v>
      </c>
      <c r="D254">
        <v>-3.178503805254005E-2</v>
      </c>
      <c r="E254">
        <v>-0.47135141525116919</v>
      </c>
      <c r="F254">
        <v>1.8215266427009172E-4</v>
      </c>
      <c r="G254">
        <v>-4.7884851417760207E-2</v>
      </c>
      <c r="H254">
        <v>1.0143291193086936</v>
      </c>
      <c r="I254">
        <v>-0.13887354400676119</v>
      </c>
      <c r="J254">
        <v>0.94989716695761517</v>
      </c>
      <c r="K254">
        <v>-1.2742923762977199E-2</v>
      </c>
      <c r="L254">
        <v>0.92085520325403325</v>
      </c>
      <c r="M254">
        <v>-1.2245605146253857</v>
      </c>
    </row>
    <row r="255" spans="1:13" x14ac:dyDescent="0.3">
      <c r="A255" t="s">
        <v>230</v>
      </c>
      <c r="B255" t="s">
        <v>33</v>
      </c>
      <c r="C255">
        <f t="shared" si="3"/>
        <v>0</v>
      </c>
      <c r="D255">
        <v>-0.36700886029776764</v>
      </c>
      <c r="E255">
        <v>-9.5726552809846392</v>
      </c>
      <c r="F255">
        <v>1.2159844277093053E-2</v>
      </c>
      <c r="G255">
        <v>0.33198160548120759</v>
      </c>
      <c r="H255">
        <v>1.5012037230363038</v>
      </c>
      <c r="I255">
        <v>-242.87561697926949</v>
      </c>
      <c r="J255">
        <v>1.4983720221279584</v>
      </c>
      <c r="K255">
        <v>-0.4373039561368311</v>
      </c>
      <c r="L255">
        <v>1.4983720221279584</v>
      </c>
      <c r="M255">
        <v>0.11222994235111609</v>
      </c>
    </row>
    <row r="256" spans="1:13" x14ac:dyDescent="0.3">
      <c r="A256" t="s">
        <v>234</v>
      </c>
      <c r="B256" t="s">
        <v>33</v>
      </c>
      <c r="C256">
        <f t="shared" si="3"/>
        <v>0</v>
      </c>
      <c r="D256">
        <v>-2.3846660838250594E-3</v>
      </c>
      <c r="E256">
        <v>2.2805497879774282E-2</v>
      </c>
      <c r="F256">
        <v>1.2770043629730388E-2</v>
      </c>
      <c r="G256">
        <v>0.15904379540282429</v>
      </c>
      <c r="H256">
        <v>1.0488009772285731</v>
      </c>
      <c r="I256">
        <v>3.4733671955769321</v>
      </c>
      <c r="J256">
        <v>1.1917702509929058</v>
      </c>
      <c r="K256">
        <v>3.8395261709084048E-2</v>
      </c>
      <c r="L256">
        <v>1.036623662772761</v>
      </c>
      <c r="M256">
        <v>5.5868589923832017</v>
      </c>
    </row>
    <row r="257" spans="1:13" x14ac:dyDescent="0.3">
      <c r="A257" t="s">
        <v>240</v>
      </c>
      <c r="B257" t="s">
        <v>33</v>
      </c>
      <c r="C257">
        <f t="shared" si="3"/>
        <v>0</v>
      </c>
      <c r="D257">
        <v>-0.23856436556453606</v>
      </c>
      <c r="E257">
        <v>-0.32863452450813851</v>
      </c>
      <c r="F257">
        <v>2.2352871295366473E-3</v>
      </c>
      <c r="G257">
        <v>-0.24068688097014784</v>
      </c>
      <c r="H257">
        <v>0.85938804716901607</v>
      </c>
      <c r="I257">
        <v>-0.8339751881198626</v>
      </c>
      <c r="J257">
        <v>0.74516547323969518</v>
      </c>
      <c r="K257">
        <v>-0.24702667874040754</v>
      </c>
      <c r="L257">
        <v>0.60483398121417231</v>
      </c>
      <c r="M257">
        <v>-3.644860023505784</v>
      </c>
    </row>
    <row r="258" spans="1:13" x14ac:dyDescent="0.3">
      <c r="A258" t="s">
        <v>242</v>
      </c>
      <c r="B258" t="s">
        <v>33</v>
      </c>
      <c r="C258">
        <f t="shared" si="3"/>
        <v>0</v>
      </c>
      <c r="D258">
        <v>-0.46526341792802811</v>
      </c>
      <c r="E258">
        <v>-0.79514598699905881</v>
      </c>
      <c r="F258">
        <v>1.4539952253704585E-2</v>
      </c>
      <c r="G258">
        <v>-0.57422666824226676</v>
      </c>
      <c r="H258">
        <v>0.64989706069136222</v>
      </c>
      <c r="I258">
        <v>-19.443570939669502</v>
      </c>
      <c r="J258">
        <v>0.62681177613875694</v>
      </c>
      <c r="K258">
        <v>-0.56485658252356585</v>
      </c>
      <c r="L258">
        <v>0.62681177613875694</v>
      </c>
      <c r="M258">
        <v>-1.8081405702752438</v>
      </c>
    </row>
    <row r="259" spans="1:13" x14ac:dyDescent="0.3">
      <c r="A259" t="s">
        <v>247</v>
      </c>
      <c r="B259" t="s">
        <v>33</v>
      </c>
      <c r="C259">
        <f t="shared" ref="C259:C322" si="4">IF(B259="Attiva", 1, 0)</f>
        <v>0</v>
      </c>
      <c r="D259">
        <v>-0.39842048043913142</v>
      </c>
      <c r="E259">
        <v>-1.3800022391558382</v>
      </c>
      <c r="F259">
        <v>3.2186509704063807E-3</v>
      </c>
      <c r="G259">
        <v>0.46602786088289927</v>
      </c>
      <c r="H259">
        <v>1.0995725905286777</v>
      </c>
      <c r="I259">
        <v>1.1612552023411502</v>
      </c>
      <c r="J259">
        <v>2.0161210333189161</v>
      </c>
      <c r="K259">
        <v>8.7486569546625134E-2</v>
      </c>
      <c r="L259">
        <v>1.0167330616129748</v>
      </c>
      <c r="M259">
        <v>0.71355513087286437</v>
      </c>
    </row>
    <row r="260" spans="1:13" x14ac:dyDescent="0.3">
      <c r="A260" t="s">
        <v>251</v>
      </c>
      <c r="B260" t="s">
        <v>33</v>
      </c>
      <c r="C260">
        <f t="shared" si="4"/>
        <v>0</v>
      </c>
      <c r="D260">
        <v>-0.67008371270872569</v>
      </c>
      <c r="E260">
        <v>-0.51317687735830952</v>
      </c>
      <c r="F260">
        <v>3.2302101771682849E-2</v>
      </c>
      <c r="G260">
        <v>-0.55368154268915082</v>
      </c>
      <c r="H260">
        <v>0.60817762565671507</v>
      </c>
      <c r="I260">
        <v>-4.9958071767158545</v>
      </c>
      <c r="J260">
        <v>0.59996108903893819</v>
      </c>
      <c r="K260">
        <v>-0.77174939097747075</v>
      </c>
      <c r="L260">
        <v>0.5050232047842268</v>
      </c>
      <c r="M260">
        <v>-3.1045532877755431</v>
      </c>
    </row>
    <row r="261" spans="1:13" x14ac:dyDescent="0.3">
      <c r="A261" t="s">
        <v>255</v>
      </c>
      <c r="B261" t="s">
        <v>33</v>
      </c>
      <c r="C261">
        <f t="shared" si="4"/>
        <v>0</v>
      </c>
      <c r="D261">
        <v>0.10492937372362152</v>
      </c>
      <c r="E261">
        <v>0.10674536125063387</v>
      </c>
      <c r="F261">
        <v>4.8934869218285134E-5</v>
      </c>
      <c r="G261">
        <v>-0.70748314138211099</v>
      </c>
      <c r="H261">
        <v>0.58635042753445221</v>
      </c>
      <c r="I261">
        <v>-425.08695652173913</v>
      </c>
      <c r="J261">
        <v>0.58516695757718196</v>
      </c>
      <c r="K261">
        <v>-0.85798119801213013</v>
      </c>
      <c r="L261">
        <v>0.58516695757718196</v>
      </c>
      <c r="M261">
        <v>-3.0514926390703283</v>
      </c>
    </row>
    <row r="262" spans="1:13" x14ac:dyDescent="0.3">
      <c r="A262" t="s">
        <v>259</v>
      </c>
      <c r="B262" t="s">
        <v>33</v>
      </c>
      <c r="C262">
        <f t="shared" si="4"/>
        <v>0</v>
      </c>
      <c r="D262">
        <v>2.0959020475811975E-2</v>
      </c>
      <c r="E262">
        <v>0.1736648250460405</v>
      </c>
      <c r="F262">
        <v>5.5259856728757358E-3</v>
      </c>
      <c r="G262">
        <v>0.7666641646831025</v>
      </c>
      <c r="H262">
        <v>1.0364456868219711</v>
      </c>
      <c r="I262" t="e">
        <v>#DIV/0!</v>
      </c>
      <c r="J262">
        <v>4.2861700039261876</v>
      </c>
      <c r="K262">
        <v>3.5164106798228595E-2</v>
      </c>
      <c r="L262">
        <v>1.0364087671124502</v>
      </c>
      <c r="M262">
        <v>0.22526222514274905</v>
      </c>
    </row>
    <row r="263" spans="1:13" x14ac:dyDescent="0.3">
      <c r="A263" t="s">
        <v>261</v>
      </c>
      <c r="B263" t="s">
        <v>33</v>
      </c>
      <c r="C263">
        <f t="shared" si="4"/>
        <v>0</v>
      </c>
      <c r="D263">
        <v>-0.38650017638204082</v>
      </c>
      <c r="E263">
        <v>0.53354857964565749</v>
      </c>
      <c r="F263">
        <v>1.5968117349587233E-3</v>
      </c>
      <c r="G263">
        <v>-0.54288809580397102</v>
      </c>
      <c r="H263">
        <v>0.7123432416522868</v>
      </c>
      <c r="I263">
        <v>-1.4351071003222642</v>
      </c>
      <c r="J263">
        <v>0.56194039469389701</v>
      </c>
      <c r="K263">
        <v>-0.42220564773503833</v>
      </c>
      <c r="L263">
        <v>0.49608565808798055</v>
      </c>
      <c r="M263">
        <v>-4.3727406359853886E-2</v>
      </c>
    </row>
    <row r="264" spans="1:13" x14ac:dyDescent="0.3">
      <c r="A264" t="s">
        <v>273</v>
      </c>
      <c r="B264" t="s">
        <v>33</v>
      </c>
      <c r="C264">
        <f t="shared" si="4"/>
        <v>0</v>
      </c>
      <c r="D264">
        <v>-0.65689485761872335</v>
      </c>
      <c r="E264">
        <v>-0.67821558447263863</v>
      </c>
      <c r="F264">
        <v>2.1659850991087796E-2</v>
      </c>
      <c r="G264">
        <v>-1.2242613710957546</v>
      </c>
      <c r="H264">
        <v>0.48788682530301136</v>
      </c>
      <c r="I264">
        <v>-3.4997298855945824</v>
      </c>
      <c r="J264">
        <v>0.35382947871623793</v>
      </c>
      <c r="K264">
        <v>-1.1452716411853867</v>
      </c>
      <c r="L264">
        <v>0.32706954630548901</v>
      </c>
      <c r="M264">
        <v>-1.303701785545641</v>
      </c>
    </row>
    <row r="265" spans="1:13" x14ac:dyDescent="0.3">
      <c r="A265" t="s">
        <v>313</v>
      </c>
      <c r="B265" t="s">
        <v>33</v>
      </c>
      <c r="C265">
        <f t="shared" si="4"/>
        <v>0</v>
      </c>
      <c r="D265">
        <v>-1.0458082235054034</v>
      </c>
      <c r="E265">
        <v>-11.878487227148771</v>
      </c>
      <c r="F265">
        <v>8.3820090343418897E-3</v>
      </c>
      <c r="G265">
        <v>-2.5900541947357354</v>
      </c>
      <c r="H265">
        <v>0.29365244120595846</v>
      </c>
      <c r="I265">
        <v>-3.5133874405436858</v>
      </c>
      <c r="J265">
        <v>6.9996593072059896E-2</v>
      </c>
      <c r="K265">
        <v>-2.7961087212155262</v>
      </c>
      <c r="L265">
        <v>5.7244640155589589E-2</v>
      </c>
      <c r="M265">
        <v>-9.6592360257113041E-2</v>
      </c>
    </row>
    <row r="266" spans="1:13" x14ac:dyDescent="0.3">
      <c r="A266" t="s">
        <v>325</v>
      </c>
      <c r="B266" t="s">
        <v>33</v>
      </c>
      <c r="C266">
        <f t="shared" si="4"/>
        <v>0</v>
      </c>
      <c r="D266">
        <v>-1.4994920016770825</v>
      </c>
      <c r="E266">
        <v>-3.7508736070263442</v>
      </c>
      <c r="F266">
        <v>5.2519390680898104E-3</v>
      </c>
      <c r="G266">
        <v>-2.3429254093839655</v>
      </c>
      <c r="H266">
        <v>0.30903576275617084</v>
      </c>
      <c r="I266">
        <v>-38.642482156550464</v>
      </c>
      <c r="J266">
        <v>0.27595225903021231</v>
      </c>
      <c r="K266">
        <v>-2.2772988305963819</v>
      </c>
      <c r="L266">
        <v>0.27595225903021231</v>
      </c>
      <c r="M266">
        <v>-0.11081903940445727</v>
      </c>
    </row>
    <row r="267" spans="1:13" x14ac:dyDescent="0.3">
      <c r="A267" t="s">
        <v>345</v>
      </c>
      <c r="B267" t="s">
        <v>33</v>
      </c>
      <c r="C267">
        <f t="shared" si="4"/>
        <v>0</v>
      </c>
      <c r="D267">
        <v>-1.7740904149195458</v>
      </c>
      <c r="E267">
        <v>-3.755088655824891</v>
      </c>
      <c r="F267">
        <v>2.7936902657518654E-2</v>
      </c>
      <c r="G267">
        <v>-5.0655211315273645</v>
      </c>
      <c r="H267">
        <v>0.15637628129515807</v>
      </c>
      <c r="I267">
        <v>-16.165906185750394</v>
      </c>
      <c r="J267">
        <v>0.11513630955460141</v>
      </c>
      <c r="K267">
        <v>-5.5107427411052985</v>
      </c>
      <c r="L267">
        <v>0.10306968362431852</v>
      </c>
      <c r="M267">
        <v>-0.28056745430892627</v>
      </c>
    </row>
    <row r="268" spans="1:13" x14ac:dyDescent="0.3">
      <c r="A268" t="s">
        <v>220</v>
      </c>
      <c r="B268" t="s">
        <v>33</v>
      </c>
      <c r="C268">
        <f t="shared" si="4"/>
        <v>0</v>
      </c>
      <c r="D268">
        <v>-5.618320851461453E-4</v>
      </c>
      <c r="E268">
        <v>9.0928934780958162E-2</v>
      </c>
      <c r="F268">
        <v>1.6312556691833768E-4</v>
      </c>
      <c r="G268">
        <v>-2.3211445961139741E-2</v>
      </c>
      <c r="H268">
        <v>1.0151191229398524</v>
      </c>
      <c r="I268">
        <v>6.4354381354173873E-2</v>
      </c>
      <c r="J268">
        <v>0.97592465182882859</v>
      </c>
      <c r="K268">
        <v>3.8029775618193314E-3</v>
      </c>
      <c r="L268">
        <v>0.95513094707145307</v>
      </c>
      <c r="M268">
        <v>-16.697691616924622</v>
      </c>
    </row>
    <row r="269" spans="1:13" x14ac:dyDescent="0.3">
      <c r="A269" t="s">
        <v>222</v>
      </c>
      <c r="B269" t="s">
        <v>33</v>
      </c>
      <c r="C269">
        <f t="shared" si="4"/>
        <v>0</v>
      </c>
      <c r="D269">
        <v>0.36670714578989466</v>
      </c>
      <c r="E269">
        <v>0.27119525480271256</v>
      </c>
      <c r="F269">
        <v>0</v>
      </c>
      <c r="G269">
        <v>0.69992419743987888</v>
      </c>
      <c r="H269">
        <v>3.3324912954274177</v>
      </c>
      <c r="I269" t="e">
        <v>#DIV/0!</v>
      </c>
      <c r="J269">
        <v>3.3324912954274177</v>
      </c>
      <c r="K269">
        <v>0.69992419743987888</v>
      </c>
      <c r="L269">
        <v>3.3324912954274177</v>
      </c>
      <c r="M269">
        <v>1.5134698387038772</v>
      </c>
    </row>
    <row r="270" spans="1:13" x14ac:dyDescent="0.3">
      <c r="A270" t="s">
        <v>249</v>
      </c>
      <c r="B270" t="s">
        <v>33</v>
      </c>
      <c r="C270">
        <f t="shared" si="4"/>
        <v>0</v>
      </c>
      <c r="D270">
        <v>1.2803118395037234E-2</v>
      </c>
      <c r="E270">
        <v>2.3016111111111113</v>
      </c>
      <c r="F270">
        <v>9.2179885674458875E-5</v>
      </c>
      <c r="G270">
        <v>0.27386497128469756</v>
      </c>
      <c r="H270">
        <v>1.2430757751542563</v>
      </c>
      <c r="I270" t="e">
        <v>#DIV/0!</v>
      </c>
      <c r="J270">
        <v>1.3794284272536987</v>
      </c>
      <c r="K270">
        <v>0.18373001205880962</v>
      </c>
      <c r="L270">
        <v>1.2376658172573562</v>
      </c>
      <c r="M270">
        <v>3.9372834494102824E-2</v>
      </c>
    </row>
    <row r="271" spans="1:13" x14ac:dyDescent="0.3">
      <c r="A271" t="s">
        <v>269</v>
      </c>
      <c r="B271" t="s">
        <v>33</v>
      </c>
      <c r="C271">
        <f t="shared" si="4"/>
        <v>0</v>
      </c>
      <c r="D271">
        <v>7.1260759508293538E-4</v>
      </c>
      <c r="E271">
        <v>0.10247826086956523</v>
      </c>
      <c r="F271">
        <v>0</v>
      </c>
      <c r="G271">
        <v>-0.37667215328896247</v>
      </c>
      <c r="H271">
        <v>0.97378835635325367</v>
      </c>
      <c r="I271">
        <v>-9.5357460317460313E-2</v>
      </c>
      <c r="J271">
        <v>0.61995187039291377</v>
      </c>
      <c r="K271">
        <v>-2.6917187370063114E-2</v>
      </c>
      <c r="L271">
        <v>0.59833921484444541</v>
      </c>
      <c r="M271">
        <v>-4.3774254267513982E-2</v>
      </c>
    </row>
    <row r="272" spans="1:13" x14ac:dyDescent="0.3">
      <c r="A272" t="s">
        <v>279</v>
      </c>
      <c r="B272" t="s">
        <v>33</v>
      </c>
      <c r="C272">
        <f t="shared" si="4"/>
        <v>0</v>
      </c>
      <c r="D272">
        <v>8.816512504181322E-3</v>
      </c>
      <c r="E272">
        <v>3.502715610969305E-2</v>
      </c>
      <c r="F272">
        <v>2.4504865088675731E-2</v>
      </c>
      <c r="G272">
        <v>8.9268216925185412E-2</v>
      </c>
      <c r="H272">
        <v>1.2069897434163168</v>
      </c>
      <c r="I272">
        <v>0.7690030538262288</v>
      </c>
      <c r="J272">
        <v>1.1257856598188867</v>
      </c>
      <c r="K272">
        <v>0.15139196649289768</v>
      </c>
      <c r="L272">
        <v>0.9643285391977352</v>
      </c>
      <c r="M272">
        <v>19.737765780954348</v>
      </c>
    </row>
    <row r="273" spans="1:13" x14ac:dyDescent="0.3">
      <c r="A273" t="s">
        <v>285</v>
      </c>
      <c r="B273" t="s">
        <v>33</v>
      </c>
      <c r="C273">
        <f t="shared" si="4"/>
        <v>0</v>
      </c>
      <c r="D273">
        <v>-0.23436825578682538</v>
      </c>
      <c r="E273">
        <v>-0.26337778674340684</v>
      </c>
      <c r="F273">
        <v>7.177202292866355E-3</v>
      </c>
      <c r="G273">
        <v>8.9746060707295239E-2</v>
      </c>
      <c r="H273">
        <v>0.9504898983401916</v>
      </c>
      <c r="I273">
        <v>-3.6090494500581238</v>
      </c>
      <c r="J273">
        <v>1.1021418891911126</v>
      </c>
      <c r="K273">
        <v>-0.10371721896000102</v>
      </c>
      <c r="L273">
        <v>0.92044220306884639</v>
      </c>
      <c r="M273">
        <v>12.112665839457861</v>
      </c>
    </row>
    <row r="274" spans="1:13" x14ac:dyDescent="0.3">
      <c r="A274" t="s">
        <v>291</v>
      </c>
      <c r="B274" t="s">
        <v>33</v>
      </c>
      <c r="C274">
        <f t="shared" si="4"/>
        <v>0</v>
      </c>
      <c r="D274">
        <v>-8.6492246325050509E-2</v>
      </c>
      <c r="E274">
        <v>-0.18636269036221983</v>
      </c>
      <c r="F274">
        <v>1.9197708509694664E-3</v>
      </c>
      <c r="G274">
        <v>-2.2222300051834521E-3</v>
      </c>
      <c r="H274">
        <v>0.95744827112119335</v>
      </c>
      <c r="I274">
        <v>-14.058560110230795</v>
      </c>
      <c r="J274">
        <v>0.99776968529538923</v>
      </c>
      <c r="K274">
        <v>-7.1468598086325483E-2</v>
      </c>
      <c r="L274">
        <v>0.95184993301778742</v>
      </c>
      <c r="M274">
        <v>-174.17336485421595</v>
      </c>
    </row>
    <row r="275" spans="1:13" x14ac:dyDescent="0.3">
      <c r="A275" t="s">
        <v>293</v>
      </c>
      <c r="B275" t="s">
        <v>33</v>
      </c>
      <c r="C275">
        <f t="shared" si="4"/>
        <v>0</v>
      </c>
      <c r="D275">
        <v>-0.81073874990649419</v>
      </c>
      <c r="E275">
        <v>-3.5268763010090485</v>
      </c>
      <c r="F275">
        <v>3.0714226942632587E-3</v>
      </c>
      <c r="G275">
        <v>-0.17969772595613306</v>
      </c>
      <c r="H275">
        <v>0.58606481154719403</v>
      </c>
      <c r="I275">
        <v>-102.82396000714159</v>
      </c>
      <c r="J275">
        <v>0.84639256985486111</v>
      </c>
      <c r="K275">
        <v>-1.0125327780009616</v>
      </c>
      <c r="L275">
        <v>0.58029368746596555</v>
      </c>
      <c r="M275">
        <v>-1.4170775853634674</v>
      </c>
    </row>
    <row r="276" spans="1:13" x14ac:dyDescent="0.3">
      <c r="A276" t="s">
        <v>301</v>
      </c>
      <c r="B276" t="s">
        <v>33</v>
      </c>
      <c r="C276">
        <f t="shared" si="4"/>
        <v>0</v>
      </c>
      <c r="D276">
        <v>-1.6672947925414058E-2</v>
      </c>
      <c r="E276">
        <v>-0.35640788327526135</v>
      </c>
      <c r="F276">
        <v>1.1643529172991E-4</v>
      </c>
      <c r="G276">
        <v>0.46985244343171673</v>
      </c>
      <c r="H276">
        <v>1.012860405126178</v>
      </c>
      <c r="I276">
        <v>0.27460000000000001</v>
      </c>
      <c r="J276">
        <v>1.9709521206862943</v>
      </c>
      <c r="K276">
        <v>1.2697115082286185E-2</v>
      </c>
      <c r="L276">
        <v>0.96602717451373055</v>
      </c>
      <c r="M276">
        <v>0.14460885619024</v>
      </c>
    </row>
    <row r="277" spans="1:13" x14ac:dyDescent="0.3">
      <c r="A277" t="s">
        <v>303</v>
      </c>
      <c r="B277" t="s">
        <v>33</v>
      </c>
      <c r="C277">
        <f t="shared" si="4"/>
        <v>0</v>
      </c>
      <c r="D277">
        <v>3.3545437981876928E-3</v>
      </c>
      <c r="E277">
        <v>0.64569081003840312</v>
      </c>
      <c r="F277">
        <v>9.892744145875011E-4</v>
      </c>
      <c r="G277">
        <v>0.34816063471623965</v>
      </c>
      <c r="H277">
        <v>1.5317614491423179</v>
      </c>
      <c r="I277">
        <v>13.690759001942329</v>
      </c>
      <c r="J277">
        <v>1.5571181078749963</v>
      </c>
      <c r="K277">
        <v>0.34004020784878736</v>
      </c>
      <c r="L277">
        <v>1.4905449631163326</v>
      </c>
      <c r="M277">
        <v>0.14918114910920321</v>
      </c>
    </row>
    <row r="278" spans="1:13" x14ac:dyDescent="0.3">
      <c r="A278" t="s">
        <v>307</v>
      </c>
      <c r="B278" t="s">
        <v>33</v>
      </c>
      <c r="C278">
        <f t="shared" si="4"/>
        <v>0</v>
      </c>
      <c r="D278">
        <v>-0.15777881372752597</v>
      </c>
      <c r="E278">
        <v>-1.0016593082073624</v>
      </c>
      <c r="F278">
        <v>3.5690828449057152E-3</v>
      </c>
      <c r="G278">
        <v>-3.1719651372370244E-3</v>
      </c>
      <c r="H278">
        <v>1.0082386413223716</v>
      </c>
      <c r="I278">
        <v>-0.96094620605815018</v>
      </c>
      <c r="J278">
        <v>0.99598059277116069</v>
      </c>
      <c r="K278">
        <v>-0.12772209045775171</v>
      </c>
      <c r="L278">
        <v>0.79246594869467568</v>
      </c>
      <c r="M278">
        <v>-41.480897513644635</v>
      </c>
    </row>
    <row r="279" spans="1:13" x14ac:dyDescent="0.3">
      <c r="A279" t="s">
        <v>309</v>
      </c>
      <c r="B279" t="s">
        <v>33</v>
      </c>
      <c r="C279">
        <f t="shared" si="4"/>
        <v>0</v>
      </c>
      <c r="D279">
        <v>-0.13743779221117697</v>
      </c>
      <c r="E279">
        <v>-81.149199999999993</v>
      </c>
      <c r="F279">
        <v>1.2396614492791698E-4</v>
      </c>
      <c r="G279">
        <v>0.17454353314154875</v>
      </c>
      <c r="H279">
        <v>1.1823545744828543</v>
      </c>
      <c r="I279">
        <v>0.20698621142481943</v>
      </c>
      <c r="J279">
        <v>3.1727161997563953</v>
      </c>
      <c r="K279">
        <v>0.15423002407092115</v>
      </c>
      <c r="L279">
        <v>0.30135591651626636</v>
      </c>
      <c r="M279">
        <v>1.4015024105841463E-2</v>
      </c>
    </row>
    <row r="280" spans="1:13" x14ac:dyDescent="0.3">
      <c r="A280" t="s">
        <v>317</v>
      </c>
      <c r="B280" t="s">
        <v>33</v>
      </c>
      <c r="C280">
        <f t="shared" si="4"/>
        <v>0</v>
      </c>
      <c r="D280">
        <v>-6.1136979454397181E-2</v>
      </c>
      <c r="E280">
        <v>-0.14444236959294579</v>
      </c>
      <c r="F280">
        <v>2.56143537103894E-3</v>
      </c>
      <c r="G280">
        <v>-0.2069470160657832</v>
      </c>
      <c r="H280">
        <v>0.84332005407165345</v>
      </c>
      <c r="I280">
        <v>-0.84779311076172603</v>
      </c>
      <c r="J280">
        <v>0.79032436439896947</v>
      </c>
      <c r="K280">
        <v>-0.18584096734287955</v>
      </c>
      <c r="L280">
        <v>0.65782291703955997</v>
      </c>
      <c r="M280">
        <v>-1.5430406329361204</v>
      </c>
    </row>
    <row r="281" spans="1:13" x14ac:dyDescent="0.3">
      <c r="A281" t="s">
        <v>319</v>
      </c>
      <c r="B281" t="s">
        <v>33</v>
      </c>
      <c r="C281">
        <f t="shared" si="4"/>
        <v>0</v>
      </c>
      <c r="D281">
        <v>2.0246001772210705E-2</v>
      </c>
      <c r="E281">
        <v>0.51876123549599606</v>
      </c>
      <c r="F281">
        <v>0</v>
      </c>
      <c r="G281">
        <v>0.65599136456680585</v>
      </c>
      <c r="H281">
        <v>1.1988826972653803</v>
      </c>
      <c r="I281">
        <v>4.8109749523843748</v>
      </c>
      <c r="J281">
        <v>3.0867730355817238</v>
      </c>
      <c r="K281">
        <v>0.14265407439216846</v>
      </c>
      <c r="L281">
        <v>1.1633336654837003</v>
      </c>
      <c r="M281">
        <v>9.9395569676797899E-2</v>
      </c>
    </row>
    <row r="282" spans="1:13" x14ac:dyDescent="0.3">
      <c r="A282" t="s">
        <v>323</v>
      </c>
      <c r="B282" t="s">
        <v>33</v>
      </c>
      <c r="C282">
        <f t="shared" si="4"/>
        <v>0</v>
      </c>
      <c r="D282">
        <v>5.3540476565652022E-3</v>
      </c>
      <c r="E282">
        <v>3.2577140096078205E-2</v>
      </c>
      <c r="F282">
        <v>6.8571714365247703E-4</v>
      </c>
      <c r="G282">
        <v>-0.1491987279555409</v>
      </c>
      <c r="H282">
        <v>1.1444088421337395</v>
      </c>
      <c r="I282">
        <v>0.18474777661757824</v>
      </c>
      <c r="J282">
        <v>0.82860279349073607</v>
      </c>
      <c r="K282">
        <v>5.1491708518059287E-2</v>
      </c>
      <c r="L282">
        <v>0.82544659206770299</v>
      </c>
      <c r="M282">
        <v>-3.7430738761630726</v>
      </c>
    </row>
    <row r="283" spans="1:13" x14ac:dyDescent="0.3">
      <c r="A283" t="s">
        <v>331</v>
      </c>
      <c r="B283" t="s">
        <v>33</v>
      </c>
      <c r="C283">
        <f t="shared" si="4"/>
        <v>0</v>
      </c>
      <c r="D283">
        <v>-0.69332265568394158</v>
      </c>
      <c r="E283">
        <v>-6.602527423658465</v>
      </c>
      <c r="F283">
        <v>2.2103507964860951E-5</v>
      </c>
      <c r="G283">
        <v>-2.0492387693266365</v>
      </c>
      <c r="H283">
        <v>0.3283232405895225</v>
      </c>
      <c r="I283">
        <v>-591.28865619546241</v>
      </c>
      <c r="J283">
        <v>0.32718728651299372</v>
      </c>
      <c r="K283">
        <v>-2.0457789043640187</v>
      </c>
      <c r="L283">
        <v>0.32718728651299372</v>
      </c>
      <c r="M283">
        <v>-7.9509366158546105E-2</v>
      </c>
    </row>
    <row r="284" spans="1:13" x14ac:dyDescent="0.3">
      <c r="A284" t="s">
        <v>360</v>
      </c>
      <c r="B284" t="s">
        <v>33</v>
      </c>
      <c r="C284">
        <f t="shared" si="4"/>
        <v>0</v>
      </c>
      <c r="D284">
        <v>-0.43149057343230912</v>
      </c>
      <c r="E284">
        <v>-0.40240504158449797</v>
      </c>
      <c r="F284">
        <v>3.7818640694188631E-2</v>
      </c>
      <c r="G284">
        <v>-0.5235170682599658</v>
      </c>
      <c r="H284">
        <v>0.6656875480040122</v>
      </c>
      <c r="I284">
        <v>-16.251549698729896</v>
      </c>
      <c r="J284">
        <v>0.64472614551967755</v>
      </c>
      <c r="K284">
        <v>-0.61269725574280598</v>
      </c>
      <c r="L284">
        <v>0.63243123867214102</v>
      </c>
      <c r="M284">
        <v>-2.3301387909021094</v>
      </c>
    </row>
    <row r="285" spans="1:13" x14ac:dyDescent="0.3">
      <c r="A285" t="s">
        <v>374</v>
      </c>
      <c r="B285" t="s">
        <v>33</v>
      </c>
      <c r="C285">
        <f t="shared" si="4"/>
        <v>0</v>
      </c>
      <c r="D285">
        <v>-1.1663646539371643E-2</v>
      </c>
      <c r="E285">
        <v>5.3416017849137687E-2</v>
      </c>
      <c r="F285">
        <v>2.5351769664005895E-2</v>
      </c>
      <c r="G285">
        <v>-0.10954709497301807</v>
      </c>
      <c r="H285">
        <v>1.0833469728370244</v>
      </c>
      <c r="I285">
        <v>0.20291400784540572</v>
      </c>
      <c r="J285">
        <v>0.85517402410343546</v>
      </c>
      <c r="K285">
        <v>7.165747408201828E-2</v>
      </c>
      <c r="L285">
        <v>0.7007715732764086</v>
      </c>
      <c r="M285">
        <v>-7.5395194343544221</v>
      </c>
    </row>
    <row r="286" spans="1:13" x14ac:dyDescent="0.3">
      <c r="A286" t="s">
        <v>390</v>
      </c>
      <c r="B286" t="s">
        <v>33</v>
      </c>
      <c r="C286">
        <f t="shared" si="4"/>
        <v>0</v>
      </c>
      <c r="D286">
        <v>-1.0336310062400254</v>
      </c>
      <c r="E286">
        <v>-1.3040966098283875</v>
      </c>
      <c r="F286">
        <v>9.4754142079803618E-3</v>
      </c>
      <c r="G286">
        <v>-2.3948512457853171</v>
      </c>
      <c r="H286">
        <v>0.29442421321212342</v>
      </c>
      <c r="I286">
        <v>-36.659101552649588</v>
      </c>
      <c r="J286">
        <v>0.28014502196858238</v>
      </c>
      <c r="K286">
        <v>-2.4214230815905506</v>
      </c>
      <c r="L286">
        <v>0.27440370019041804</v>
      </c>
      <c r="M286">
        <v>-0.86892085373087469</v>
      </c>
    </row>
    <row r="287" spans="1:13" x14ac:dyDescent="0.3">
      <c r="A287" t="s">
        <v>396</v>
      </c>
      <c r="B287" t="s">
        <v>33</v>
      </c>
      <c r="C287">
        <f t="shared" si="4"/>
        <v>0</v>
      </c>
      <c r="D287">
        <v>-0.67085780755115076</v>
      </c>
      <c r="E287">
        <v>-0.33133656107830084</v>
      </c>
      <c r="F287">
        <v>1.7203484488101585E-2</v>
      </c>
      <c r="G287">
        <v>-4.5133740939174283</v>
      </c>
      <c r="H287">
        <v>0.18908198995535447</v>
      </c>
      <c r="I287">
        <v>-22.82650931855796</v>
      </c>
      <c r="J287">
        <v>0.14660224490914767</v>
      </c>
      <c r="K287">
        <v>-4.7987897888433659</v>
      </c>
      <c r="L287">
        <v>0.14660224490914767</v>
      </c>
      <c r="M287">
        <v>-1.7857262961024336</v>
      </c>
    </row>
    <row r="288" spans="1:13" x14ac:dyDescent="0.3">
      <c r="A288" t="s">
        <v>422</v>
      </c>
      <c r="B288" t="s">
        <v>33</v>
      </c>
      <c r="C288">
        <f t="shared" si="4"/>
        <v>0</v>
      </c>
      <c r="D288">
        <v>-0.67957115553077962</v>
      </c>
      <c r="E288">
        <v>-1.0650604883764474</v>
      </c>
      <c r="F288">
        <v>1.4058368493375063E-2</v>
      </c>
      <c r="G288">
        <v>-3.1518440354276223</v>
      </c>
      <c r="H288">
        <v>0.24452455016670208</v>
      </c>
      <c r="I288">
        <v>-51.785222222222224</v>
      </c>
      <c r="J288">
        <v>0.22929675504145769</v>
      </c>
      <c r="K288">
        <v>-3.2249308054248544</v>
      </c>
      <c r="L288">
        <v>0.22929675504145769</v>
      </c>
      <c r="M288">
        <v>-0.18174244162242084</v>
      </c>
    </row>
    <row r="289" spans="1:13" x14ac:dyDescent="0.3">
      <c r="A289" t="s">
        <v>295</v>
      </c>
      <c r="B289" t="s">
        <v>33</v>
      </c>
      <c r="C289">
        <f t="shared" si="4"/>
        <v>0</v>
      </c>
      <c r="D289">
        <v>2.800805015758754E-2</v>
      </c>
      <c r="E289">
        <v>5.1143856604607456E-2</v>
      </c>
      <c r="F289">
        <v>1.6750743176290425E-2</v>
      </c>
      <c r="G289">
        <v>-0.19909050234169612</v>
      </c>
      <c r="H289">
        <v>1.1349894128700238</v>
      </c>
      <c r="I289">
        <v>0.21160750501222636</v>
      </c>
      <c r="J289">
        <v>0.75624276750897612</v>
      </c>
      <c r="K289">
        <v>8.0568996419724426E-2</v>
      </c>
      <c r="L289">
        <v>0.70104529128129311</v>
      </c>
      <c r="M289">
        <v>-8.7458421985815598</v>
      </c>
    </row>
    <row r="290" spans="1:13" x14ac:dyDescent="0.3">
      <c r="A290" t="s">
        <v>337</v>
      </c>
      <c r="B290" t="s">
        <v>33</v>
      </c>
      <c r="C290">
        <f t="shared" si="4"/>
        <v>0</v>
      </c>
      <c r="D290">
        <v>8.483759372699376E-2</v>
      </c>
      <c r="E290">
        <v>6.8358702147853917E-2</v>
      </c>
      <c r="F290">
        <v>6.3611791032178503E-4</v>
      </c>
      <c r="G290">
        <v>0.23097508454854593</v>
      </c>
      <c r="H290">
        <v>1.3530171005532636</v>
      </c>
      <c r="I290">
        <v>8.1248895708374</v>
      </c>
      <c r="J290">
        <v>1.3125132391959184</v>
      </c>
      <c r="K290">
        <v>0.23184279343884709</v>
      </c>
      <c r="L290">
        <v>1.3125132391959184</v>
      </c>
      <c r="M290">
        <v>8.1702931850558329</v>
      </c>
    </row>
    <row r="291" spans="1:13" x14ac:dyDescent="0.3">
      <c r="A291" t="s">
        <v>339</v>
      </c>
      <c r="B291" t="s">
        <v>33</v>
      </c>
      <c r="C291">
        <f t="shared" si="4"/>
        <v>0</v>
      </c>
      <c r="D291">
        <v>0.38790538634532395</v>
      </c>
      <c r="E291">
        <v>0.42758440281656535</v>
      </c>
      <c r="F291">
        <v>6.1953646281851923E-5</v>
      </c>
      <c r="G291">
        <v>0.57654441798291023</v>
      </c>
      <c r="H291">
        <v>2.4404546713989785</v>
      </c>
      <c r="I291">
        <v>43.034836672258962</v>
      </c>
      <c r="J291">
        <v>2.4070305181353988</v>
      </c>
      <c r="K291">
        <v>0.58939958748841004</v>
      </c>
      <c r="L291">
        <v>2.4070305181353988</v>
      </c>
      <c r="M291">
        <v>1.6310469077107377</v>
      </c>
    </row>
    <row r="292" spans="1:13" x14ac:dyDescent="0.3">
      <c r="A292" t="s">
        <v>351</v>
      </c>
      <c r="B292" t="s">
        <v>33</v>
      </c>
      <c r="C292">
        <f t="shared" si="4"/>
        <v>0</v>
      </c>
      <c r="D292">
        <v>-0.54254870718362458</v>
      </c>
      <c r="E292">
        <v>-0.45491533644518717</v>
      </c>
      <c r="F292">
        <v>5.0104807382494454E-3</v>
      </c>
      <c r="G292">
        <v>-0.47393116370563121</v>
      </c>
      <c r="H292">
        <v>0.68876188189492904</v>
      </c>
      <c r="I292">
        <v>-30.305402115906752</v>
      </c>
      <c r="J292">
        <v>0.67357427979745577</v>
      </c>
      <c r="K292">
        <v>-0.50374746330349474</v>
      </c>
      <c r="L292">
        <v>0.67357427979745577</v>
      </c>
      <c r="M292">
        <v>-2.7351518554639398</v>
      </c>
    </row>
    <row r="293" spans="1:13" x14ac:dyDescent="0.3">
      <c r="A293" t="s">
        <v>356</v>
      </c>
      <c r="B293" t="s">
        <v>33</v>
      </c>
      <c r="C293">
        <f t="shared" si="4"/>
        <v>0</v>
      </c>
      <c r="D293">
        <v>4.9270366750665852E-3</v>
      </c>
      <c r="E293">
        <v>0.13693831263614112</v>
      </c>
      <c r="F293">
        <v>8.4573551445160265E-4</v>
      </c>
      <c r="G293">
        <v>0.29758080897849326</v>
      </c>
      <c r="H293">
        <v>1.0202535867581795</v>
      </c>
      <c r="I293">
        <v>2.3885812488065685</v>
      </c>
      <c r="J293">
        <v>1.4366843345660496</v>
      </c>
      <c r="K293">
        <v>1.9851522230403981E-2</v>
      </c>
      <c r="L293">
        <v>0.99886499605743995</v>
      </c>
      <c r="M293">
        <v>0.23748093475687146</v>
      </c>
    </row>
    <row r="294" spans="1:13" x14ac:dyDescent="0.3">
      <c r="A294" t="s">
        <v>362</v>
      </c>
      <c r="B294" t="s">
        <v>33</v>
      </c>
      <c r="C294">
        <f t="shared" si="4"/>
        <v>0</v>
      </c>
      <c r="D294">
        <v>7.0986763100267568E-3</v>
      </c>
      <c r="E294">
        <v>2.1755425882787095E-2</v>
      </c>
      <c r="F294">
        <v>5.0222166191116954E-3</v>
      </c>
      <c r="G294">
        <v>0.39667613678670061</v>
      </c>
      <c r="H294">
        <v>1.0356328279894373</v>
      </c>
      <c r="I294">
        <v>2.5018875047187619</v>
      </c>
      <c r="J294">
        <v>1.6724467756865167</v>
      </c>
      <c r="K294">
        <v>2.1932400882259992E-2</v>
      </c>
      <c r="L294">
        <v>1.0217303016126795</v>
      </c>
      <c r="M294">
        <v>1.4468369109095913</v>
      </c>
    </row>
    <row r="295" spans="1:13" x14ac:dyDescent="0.3">
      <c r="A295" t="s">
        <v>370</v>
      </c>
      <c r="B295" t="s">
        <v>33</v>
      </c>
      <c r="C295">
        <f t="shared" si="4"/>
        <v>0</v>
      </c>
      <c r="D295">
        <v>2.2445714688655503E-2</v>
      </c>
      <c r="E295">
        <v>1.3177042251738873E-2</v>
      </c>
      <c r="F295">
        <v>2.6771709118079054E-5</v>
      </c>
      <c r="G295">
        <v>0.11775940093679113</v>
      </c>
      <c r="H295">
        <v>1.0792270373976056</v>
      </c>
      <c r="I295">
        <v>4.8751146638710523</v>
      </c>
      <c r="J295">
        <v>1.1360066782766385</v>
      </c>
      <c r="K295">
        <v>7.0206494129014474E-2</v>
      </c>
      <c r="L295">
        <v>1.0615221367267218</v>
      </c>
      <c r="M295">
        <v>15.197371794871795</v>
      </c>
    </row>
    <row r="296" spans="1:13" x14ac:dyDescent="0.3">
      <c r="A296" t="s">
        <v>386</v>
      </c>
      <c r="B296" t="s">
        <v>33</v>
      </c>
      <c r="C296">
        <f t="shared" si="4"/>
        <v>0</v>
      </c>
      <c r="D296">
        <v>-0.39417542185668797</v>
      </c>
      <c r="E296">
        <v>-338.59499999999997</v>
      </c>
      <c r="F296">
        <v>5.5477965872352351E-3</v>
      </c>
      <c r="G296">
        <v>-0.62582594700182959</v>
      </c>
      <c r="H296">
        <v>0.49745096384360438</v>
      </c>
      <c r="I296" t="e">
        <v>#DIV/0!</v>
      </c>
      <c r="J296">
        <v>0.615071989621085</v>
      </c>
      <c r="K296">
        <v>-1.0102483916673928</v>
      </c>
      <c r="L296">
        <v>0.49745096384360438</v>
      </c>
      <c r="M296">
        <v>-1.4653947040635395E-3</v>
      </c>
    </row>
    <row r="297" spans="1:13" x14ac:dyDescent="0.3">
      <c r="A297" t="s">
        <v>388</v>
      </c>
      <c r="B297" t="s">
        <v>33</v>
      </c>
      <c r="C297">
        <f t="shared" si="4"/>
        <v>0</v>
      </c>
      <c r="D297">
        <v>-0.48006415143849873</v>
      </c>
      <c r="E297">
        <v>-778.98113207547169</v>
      </c>
      <c r="F297">
        <v>1.7952610521071765E-3</v>
      </c>
      <c r="G297">
        <v>-1.4027976357874288</v>
      </c>
      <c r="H297">
        <v>0.42036146816515119</v>
      </c>
      <c r="I297">
        <v>-30.618385972108285</v>
      </c>
      <c r="J297">
        <v>0.4034679385523256</v>
      </c>
      <c r="K297">
        <v>-1.4112983081369657</v>
      </c>
      <c r="L297">
        <v>0.39883490940447064</v>
      </c>
      <c r="M297">
        <v>-5.357287258416669E-4</v>
      </c>
    </row>
    <row r="298" spans="1:13" x14ac:dyDescent="0.3">
      <c r="A298" t="s">
        <v>392</v>
      </c>
      <c r="B298" t="s">
        <v>33</v>
      </c>
      <c r="C298">
        <f t="shared" si="4"/>
        <v>0</v>
      </c>
      <c r="D298">
        <v>-1.7415609192412854E-3</v>
      </c>
      <c r="E298">
        <v>1.3349493604708669E-2</v>
      </c>
      <c r="F298">
        <v>5.0540779421150671E-3</v>
      </c>
      <c r="G298">
        <v>-9.8538516163196189E-3</v>
      </c>
      <c r="H298">
        <v>1.0237788898021589</v>
      </c>
      <c r="I298">
        <v>0.64908527589259368</v>
      </c>
      <c r="J298">
        <v>0.98991183473196909</v>
      </c>
      <c r="K298">
        <v>2.1472025847448322E-2</v>
      </c>
      <c r="L298">
        <v>0.98991183473196909</v>
      </c>
      <c r="M298">
        <v>-157.73972263496779</v>
      </c>
    </row>
    <row r="299" spans="1:13" x14ac:dyDescent="0.3">
      <c r="A299" t="s">
        <v>398</v>
      </c>
      <c r="B299" t="s">
        <v>33</v>
      </c>
      <c r="C299">
        <f t="shared" si="4"/>
        <v>0</v>
      </c>
      <c r="D299">
        <v>5.8993701862259419E-3</v>
      </c>
      <c r="E299">
        <v>4.1628880172197152E-2</v>
      </c>
      <c r="F299">
        <v>1.8071859557822124E-2</v>
      </c>
      <c r="G299">
        <v>0.25560264941689081</v>
      </c>
      <c r="H299">
        <v>1.1285751740612346</v>
      </c>
      <c r="I299">
        <v>0.29104124248307212</v>
      </c>
      <c r="J299">
        <v>1.4126862405968035</v>
      </c>
      <c r="K299">
        <v>3.1731568432084169E-2</v>
      </c>
      <c r="L299">
        <v>0.98746467795030157</v>
      </c>
      <c r="M299">
        <v>7.3941548342792505</v>
      </c>
    </row>
    <row r="300" spans="1:13" x14ac:dyDescent="0.3">
      <c r="A300" t="s">
        <v>404</v>
      </c>
      <c r="B300" t="s">
        <v>33</v>
      </c>
      <c r="C300">
        <f t="shared" si="4"/>
        <v>0</v>
      </c>
      <c r="D300">
        <v>-0.47248306258241585</v>
      </c>
      <c r="E300">
        <v>-0.45419843001672</v>
      </c>
      <c r="F300">
        <v>3.3266700526694282E-2</v>
      </c>
      <c r="G300">
        <v>0.17821879520779785</v>
      </c>
      <c r="H300">
        <v>1.0828053569201663</v>
      </c>
      <c r="I300">
        <v>-16.352207293666027</v>
      </c>
      <c r="J300">
        <v>1.2243958166069526</v>
      </c>
      <c r="K300">
        <v>-0.38290425427323421</v>
      </c>
      <c r="L300">
        <v>1.052957833872209</v>
      </c>
      <c r="M300">
        <v>5.561825202931673</v>
      </c>
    </row>
    <row r="301" spans="1:13" x14ac:dyDescent="0.3">
      <c r="A301" t="s">
        <v>406</v>
      </c>
      <c r="B301" t="s">
        <v>33</v>
      </c>
      <c r="C301">
        <f t="shared" si="4"/>
        <v>0</v>
      </c>
      <c r="D301">
        <v>-0.11127058633056086</v>
      </c>
      <c r="E301">
        <v>-0.12426309527028856</v>
      </c>
      <c r="F301">
        <v>9.6151300403314773E-3</v>
      </c>
      <c r="G301">
        <v>-0.89126189860357508</v>
      </c>
      <c r="H301">
        <v>0.52874749961301293</v>
      </c>
      <c r="I301" t="e">
        <v>#DIV/0!</v>
      </c>
      <c r="J301">
        <v>0.52874749961301293</v>
      </c>
      <c r="K301">
        <v>-0.89126189860357508</v>
      </c>
      <c r="L301">
        <v>0.52874749961301293</v>
      </c>
      <c r="M301">
        <v>-0.94343208852887717</v>
      </c>
    </row>
    <row r="302" spans="1:13" x14ac:dyDescent="0.3">
      <c r="A302" t="s">
        <v>414</v>
      </c>
      <c r="B302" t="s">
        <v>33</v>
      </c>
      <c r="C302">
        <f t="shared" si="4"/>
        <v>0</v>
      </c>
      <c r="D302">
        <v>-8.6306558765709648E-4</v>
      </c>
      <c r="E302">
        <v>3.3525275144657897E-2</v>
      </c>
      <c r="F302">
        <v>1.5239710560913682E-2</v>
      </c>
      <c r="G302">
        <v>0.24711194324506766</v>
      </c>
      <c r="H302">
        <v>1.3852281498798051</v>
      </c>
      <c r="I302">
        <v>53.824806201550388</v>
      </c>
      <c r="J302">
        <v>1.3423064199545687</v>
      </c>
      <c r="K302">
        <v>0.11054538738807584</v>
      </c>
      <c r="L302">
        <v>1.3423064199545687</v>
      </c>
      <c r="M302">
        <v>4.5918872252145455</v>
      </c>
    </row>
    <row r="303" spans="1:13" x14ac:dyDescent="0.3">
      <c r="A303" t="s">
        <v>432</v>
      </c>
      <c r="B303" t="s">
        <v>33</v>
      </c>
      <c r="C303">
        <f t="shared" si="4"/>
        <v>0</v>
      </c>
      <c r="D303">
        <v>7.0115212698086626E-2</v>
      </c>
      <c r="E303">
        <v>0.176678420507654</v>
      </c>
      <c r="F303">
        <v>1.1473947286015609E-2</v>
      </c>
      <c r="G303">
        <v>-0.40416971621616032</v>
      </c>
      <c r="H303">
        <v>0.60208080224660909</v>
      </c>
      <c r="I303">
        <v>-8.5490147904279894</v>
      </c>
      <c r="J303">
        <v>0.66246753964307425</v>
      </c>
      <c r="K303">
        <v>-0.71940836672331587</v>
      </c>
      <c r="L303">
        <v>0.4776036168814356</v>
      </c>
      <c r="M303">
        <v>-1.4623097069896873</v>
      </c>
    </row>
    <row r="304" spans="1:13" x14ac:dyDescent="0.3">
      <c r="A304" t="s">
        <v>446</v>
      </c>
      <c r="B304" t="s">
        <v>33</v>
      </c>
      <c r="C304">
        <f t="shared" si="4"/>
        <v>0</v>
      </c>
      <c r="D304">
        <v>-0.39664520979185264</v>
      </c>
      <c r="E304">
        <v>-17.255964125560538</v>
      </c>
      <c r="F304">
        <v>3.8133662717936861E-2</v>
      </c>
      <c r="G304">
        <v>-1.3284091211451987</v>
      </c>
      <c r="H304">
        <v>0.25747388814824052</v>
      </c>
      <c r="I304">
        <v>-27.532693187014178</v>
      </c>
      <c r="J304">
        <v>0.40260374288039052</v>
      </c>
      <c r="K304">
        <v>-2.8838889923635689</v>
      </c>
      <c r="L304">
        <v>0.23050500040419764</v>
      </c>
      <c r="M304">
        <v>-2.2333231848991299E-2</v>
      </c>
    </row>
    <row r="305" spans="1:13" x14ac:dyDescent="0.3">
      <c r="A305" t="s">
        <v>448</v>
      </c>
      <c r="B305" t="s">
        <v>33</v>
      </c>
      <c r="C305">
        <f t="shared" si="4"/>
        <v>0</v>
      </c>
      <c r="D305">
        <v>-0.53573981345689037</v>
      </c>
      <c r="E305">
        <v>-13733.199999999999</v>
      </c>
      <c r="F305">
        <v>2.7367360084371565E-4</v>
      </c>
      <c r="G305">
        <v>-0.41328104631963158</v>
      </c>
      <c r="H305">
        <v>0.24705658179710208</v>
      </c>
      <c r="I305">
        <v>-81.712538226299699</v>
      </c>
      <c r="J305">
        <v>0.69964671285057334</v>
      </c>
      <c r="K305">
        <v>-3.0477100895107325</v>
      </c>
      <c r="L305">
        <v>0.23784187799071957</v>
      </c>
      <c r="M305">
        <v>-1.3142331449599159E-4</v>
      </c>
    </row>
    <row r="306" spans="1:13" x14ac:dyDescent="0.3">
      <c r="A306" t="s">
        <v>450</v>
      </c>
      <c r="B306" t="s">
        <v>33</v>
      </c>
      <c r="C306">
        <f t="shared" si="4"/>
        <v>0</v>
      </c>
      <c r="D306">
        <v>6.1082345804718476E-2</v>
      </c>
      <c r="E306">
        <v>15.164897959183675</v>
      </c>
      <c r="F306">
        <v>0</v>
      </c>
      <c r="G306">
        <v>-0.39508139784886964</v>
      </c>
      <c r="H306">
        <v>0.9161077553988809</v>
      </c>
      <c r="I306">
        <v>-0.30172194572601446</v>
      </c>
      <c r="J306">
        <v>0.63806286741681983</v>
      </c>
      <c r="K306">
        <v>-9.1574647312740842E-2</v>
      </c>
      <c r="L306">
        <v>0.63806286741681983</v>
      </c>
      <c r="M306">
        <v>-1.7093420777227378E-2</v>
      </c>
    </row>
    <row r="307" spans="1:13" x14ac:dyDescent="0.3">
      <c r="A307" t="s">
        <v>454</v>
      </c>
      <c r="B307" t="s">
        <v>33</v>
      </c>
      <c r="C307">
        <f t="shared" si="4"/>
        <v>0</v>
      </c>
      <c r="D307">
        <v>-0.26639260137754867</v>
      </c>
      <c r="E307">
        <v>-0.14831718579016201</v>
      </c>
      <c r="F307">
        <v>2.3453612178254229E-3</v>
      </c>
      <c r="G307">
        <v>-0.81447894999330961</v>
      </c>
      <c r="H307">
        <v>0.52552042880840744</v>
      </c>
      <c r="I307">
        <v>-14.183928912669598</v>
      </c>
      <c r="J307">
        <v>0.53480253033518943</v>
      </c>
      <c r="K307">
        <v>-0.90287559756231073</v>
      </c>
      <c r="L307">
        <v>0.49206851473629365</v>
      </c>
      <c r="M307">
        <v>-1.9584736586640781</v>
      </c>
    </row>
    <row r="308" spans="1:13" x14ac:dyDescent="0.3">
      <c r="A308" t="s">
        <v>460</v>
      </c>
      <c r="B308" t="s">
        <v>33</v>
      </c>
      <c r="C308">
        <f t="shared" si="4"/>
        <v>0</v>
      </c>
      <c r="D308">
        <v>0.10402765834225446</v>
      </c>
      <c r="E308">
        <v>0.1818828141663027</v>
      </c>
      <c r="F308">
        <v>0</v>
      </c>
      <c r="G308">
        <v>-0.54121452038957141</v>
      </c>
      <c r="H308">
        <v>0.65735917305204028</v>
      </c>
      <c r="I308">
        <v>-204.85714285714286</v>
      </c>
      <c r="J308">
        <v>0.64422767043295481</v>
      </c>
      <c r="K308">
        <v>-1.1857049823287942</v>
      </c>
      <c r="L308">
        <v>0.64422767043295481</v>
      </c>
      <c r="M308">
        <v>-3.9935238764804502</v>
      </c>
    </row>
    <row r="309" spans="1:13" x14ac:dyDescent="0.3">
      <c r="A309" t="s">
        <v>462</v>
      </c>
      <c r="B309" t="s">
        <v>33</v>
      </c>
      <c r="C309">
        <f t="shared" si="4"/>
        <v>0</v>
      </c>
      <c r="D309">
        <v>-0.10408033971439334</v>
      </c>
      <c r="E309">
        <v>-3.8268921855806486E-2</v>
      </c>
      <c r="F309">
        <v>1.0458632253987403E-2</v>
      </c>
      <c r="G309">
        <v>-7.7211374441984537</v>
      </c>
      <c r="H309">
        <v>9.7680127980714265E-2</v>
      </c>
      <c r="I309">
        <v>-348.01537475976937</v>
      </c>
      <c r="J309">
        <v>0.11164815938015119</v>
      </c>
      <c r="K309">
        <v>-9.8583094399883855</v>
      </c>
      <c r="L309">
        <v>9.4788153807293302E-2</v>
      </c>
      <c r="M309">
        <v>-1.2436513028783895E-2</v>
      </c>
    </row>
    <row r="310" spans="1:13" x14ac:dyDescent="0.3">
      <c r="A310" t="s">
        <v>50</v>
      </c>
      <c r="B310" t="s">
        <v>33</v>
      </c>
      <c r="C310">
        <f t="shared" si="4"/>
        <v>0</v>
      </c>
      <c r="D310">
        <v>-1.7622739038508292E-3</v>
      </c>
      <c r="E310">
        <v>-3.8283917383787849E-2</v>
      </c>
      <c r="F310">
        <v>1.5214463321895938E-3</v>
      </c>
      <c r="G310">
        <v>0.64088128246383069</v>
      </c>
      <c r="H310">
        <v>1.0195874146187218</v>
      </c>
      <c r="I310">
        <v>-312.5875402792696</v>
      </c>
      <c r="J310">
        <v>2.7847349695562023</v>
      </c>
      <c r="K310">
        <v>-8.8362345766915349E-3</v>
      </c>
      <c r="L310">
        <v>1.0195585928891067</v>
      </c>
      <c r="M310">
        <v>9.8382773844743025E-3</v>
      </c>
    </row>
    <row r="311" spans="1:13" x14ac:dyDescent="0.3">
      <c r="A311" t="s">
        <v>54</v>
      </c>
      <c r="B311" t="s">
        <v>33</v>
      </c>
      <c r="C311">
        <f t="shared" si="4"/>
        <v>0</v>
      </c>
      <c r="D311">
        <v>-6.9468640787716612E-2</v>
      </c>
      <c r="E311">
        <v>-8.1602256101545409E-2</v>
      </c>
      <c r="F311">
        <v>7.1791142296642168E-3</v>
      </c>
      <c r="G311">
        <v>0.30054523979090364</v>
      </c>
      <c r="H311">
        <v>1.3654427571926051</v>
      </c>
      <c r="I311">
        <v>5.489639740434102</v>
      </c>
      <c r="J311">
        <v>1.4774743746355989</v>
      </c>
      <c r="K311">
        <v>0.24595140055520878</v>
      </c>
      <c r="L311">
        <v>1.2698523894529943</v>
      </c>
      <c r="M311">
        <v>2.0669784811928134</v>
      </c>
    </row>
    <row r="312" spans="1:13" x14ac:dyDescent="0.3">
      <c r="A312" t="s">
        <v>63</v>
      </c>
      <c r="B312" t="s">
        <v>33</v>
      </c>
      <c r="C312">
        <f t="shared" si="4"/>
        <v>0</v>
      </c>
      <c r="D312">
        <v>-2.6252174389800181E-3</v>
      </c>
      <c r="E312">
        <v>-1404.5333333333335</v>
      </c>
      <c r="F312">
        <v>0</v>
      </c>
      <c r="G312">
        <v>6.3385996109313822E-2</v>
      </c>
      <c r="H312">
        <v>1.0676756869382786</v>
      </c>
      <c r="I312" t="e">
        <v>#DIV/0!</v>
      </c>
      <c r="J312">
        <v>1.0676756869382786</v>
      </c>
      <c r="K312">
        <v>6.2712001802967487E-2</v>
      </c>
      <c r="L312">
        <v>1.0676756869382786</v>
      </c>
      <c r="M312">
        <v>2.9490173874065161E-5</v>
      </c>
    </row>
    <row r="313" spans="1:13" x14ac:dyDescent="0.3">
      <c r="A313" t="s">
        <v>88</v>
      </c>
      <c r="B313" t="s">
        <v>33</v>
      </c>
      <c r="C313">
        <f t="shared" si="4"/>
        <v>0</v>
      </c>
      <c r="D313">
        <v>-2.3393014071190543E-2</v>
      </c>
      <c r="E313">
        <v>-0.30091318858684096</v>
      </c>
      <c r="F313">
        <v>5.8573744450937763E-6</v>
      </c>
      <c r="G313">
        <v>-1.9288779203087409</v>
      </c>
      <c r="H313">
        <v>0.40860856671078771</v>
      </c>
      <c r="I313">
        <v>-3.8316085161340823</v>
      </c>
      <c r="J313">
        <v>0.21108477271812218</v>
      </c>
      <c r="K313">
        <v>-1.8534012537196911</v>
      </c>
      <c r="L313">
        <v>0.21088164268911194</v>
      </c>
      <c r="M313">
        <v>-3.9007984028312022E-2</v>
      </c>
    </row>
    <row r="314" spans="1:13" x14ac:dyDescent="0.3">
      <c r="A314" t="s">
        <v>95</v>
      </c>
      <c r="B314" t="s">
        <v>33</v>
      </c>
      <c r="C314">
        <f t="shared" si="4"/>
        <v>0</v>
      </c>
      <c r="D314">
        <v>-0.11250468187843506</v>
      </c>
      <c r="E314">
        <v>5.8169883329683512E-3</v>
      </c>
      <c r="F314">
        <v>8.0899944251612912E-4</v>
      </c>
      <c r="G314">
        <v>-1.4025027704831357</v>
      </c>
      <c r="H314">
        <v>0.37975055531096213</v>
      </c>
      <c r="I314">
        <v>-8.6635296417016789</v>
      </c>
      <c r="J314">
        <v>0.36057379705961806</v>
      </c>
      <c r="K314">
        <v>-1.782458196512902</v>
      </c>
      <c r="L314">
        <v>0.30033495382674713</v>
      </c>
      <c r="M314">
        <v>-0.11695069313045169</v>
      </c>
    </row>
    <row r="315" spans="1:13" x14ac:dyDescent="0.3">
      <c r="A315" t="s">
        <v>105</v>
      </c>
      <c r="B315" t="s">
        <v>33</v>
      </c>
      <c r="C315">
        <f t="shared" si="4"/>
        <v>0</v>
      </c>
      <c r="D315">
        <v>-8.2732614156094913E-4</v>
      </c>
      <c r="E315">
        <v>0.1969930519515728</v>
      </c>
      <c r="F315">
        <v>1.1122710548904282E-2</v>
      </c>
      <c r="G315">
        <v>0.29764363503467373</v>
      </c>
      <c r="H315">
        <v>1.5051486863256009</v>
      </c>
      <c r="I315">
        <v>2.0451645932781823</v>
      </c>
      <c r="J315">
        <v>1.5541915821838725</v>
      </c>
      <c r="K315">
        <v>0.31677278035336387</v>
      </c>
      <c r="L315">
        <v>1.2563788917436813</v>
      </c>
      <c r="M315">
        <v>0.22516755536815963</v>
      </c>
    </row>
    <row r="316" spans="1:13" x14ac:dyDescent="0.3">
      <c r="A316" t="s">
        <v>138</v>
      </c>
      <c r="B316" t="s">
        <v>33</v>
      </c>
      <c r="C316">
        <f t="shared" si="4"/>
        <v>0</v>
      </c>
      <c r="D316">
        <v>-0.45792052203204986</v>
      </c>
      <c r="E316">
        <v>-1.9621090469717566</v>
      </c>
      <c r="F316">
        <v>5.4158547520631255E-2</v>
      </c>
      <c r="G316">
        <v>4.6233643191714621E-2</v>
      </c>
      <c r="H316">
        <v>1.310647093710158</v>
      </c>
      <c r="I316">
        <v>-2.701649428345251</v>
      </c>
      <c r="J316">
        <v>1.0605959900808533</v>
      </c>
      <c r="K316">
        <v>-0.50793645729188819</v>
      </c>
      <c r="L316">
        <v>1.0605959900808533</v>
      </c>
      <c r="M316">
        <v>6.7193988771570883</v>
      </c>
    </row>
    <row r="317" spans="1:13" x14ac:dyDescent="0.3">
      <c r="A317" t="s">
        <v>155</v>
      </c>
      <c r="B317" t="s">
        <v>33</v>
      </c>
      <c r="C317">
        <f t="shared" si="4"/>
        <v>0</v>
      </c>
      <c r="D317">
        <v>-1.0517264430000595</v>
      </c>
      <c r="E317">
        <v>-1.9227157095910847</v>
      </c>
      <c r="F317">
        <v>1.6931216452993759E-3</v>
      </c>
      <c r="G317">
        <v>-2.9415726091933019</v>
      </c>
      <c r="H317">
        <v>0.25865497863702036</v>
      </c>
      <c r="I317">
        <v>-38.445365632896277</v>
      </c>
      <c r="J317">
        <v>0.23914759960986223</v>
      </c>
      <c r="K317">
        <v>-2.899493074482995</v>
      </c>
      <c r="L317">
        <v>0.23914759960986223</v>
      </c>
      <c r="M317">
        <v>-0.62282518851549018</v>
      </c>
    </row>
    <row r="318" spans="1:13" x14ac:dyDescent="0.3">
      <c r="A318" t="s">
        <v>157</v>
      </c>
      <c r="B318" t="s">
        <v>33</v>
      </c>
      <c r="C318">
        <f t="shared" si="4"/>
        <v>0</v>
      </c>
      <c r="D318">
        <v>-0.10242822962067957</v>
      </c>
      <c r="E318">
        <v>-0.19999875583117735</v>
      </c>
      <c r="F318">
        <v>8.8823591664246039E-5</v>
      </c>
      <c r="G318">
        <v>-1.1468896508560611</v>
      </c>
      <c r="H318">
        <v>0.46600619732397636</v>
      </c>
      <c r="I318">
        <v>-954986.39999999991</v>
      </c>
      <c r="J318">
        <v>0.46554231505434396</v>
      </c>
      <c r="K318">
        <v>-1.145894208580194</v>
      </c>
      <c r="L318">
        <v>0.46554231505434396</v>
      </c>
      <c r="M318">
        <v>-0.60545083991061044</v>
      </c>
    </row>
    <row r="319" spans="1:13" x14ac:dyDescent="0.3">
      <c r="A319" t="s">
        <v>166</v>
      </c>
      <c r="B319" t="s">
        <v>33</v>
      </c>
      <c r="C319">
        <f t="shared" si="4"/>
        <v>0</v>
      </c>
      <c r="D319">
        <v>-0.36790237078762711</v>
      </c>
      <c r="E319">
        <v>-1.3100070889454152</v>
      </c>
      <c r="F319">
        <v>1.7330544460622738E-2</v>
      </c>
      <c r="G319">
        <v>-0.40486644813513978</v>
      </c>
      <c r="H319">
        <v>0.55879471656268864</v>
      </c>
      <c r="I319">
        <v>-3.399460154143465</v>
      </c>
      <c r="J319">
        <v>0.64521051534859231</v>
      </c>
      <c r="K319">
        <v>-0.89117435331621919</v>
      </c>
      <c r="L319">
        <v>0.41142888233559755</v>
      </c>
      <c r="M319">
        <v>-0.74129692495160748</v>
      </c>
    </row>
    <row r="320" spans="1:13" x14ac:dyDescent="0.3">
      <c r="A320" t="s">
        <v>149</v>
      </c>
      <c r="B320" t="s">
        <v>33</v>
      </c>
      <c r="C320">
        <f t="shared" si="4"/>
        <v>0</v>
      </c>
      <c r="D320">
        <v>-1.0588648481961661E-2</v>
      </c>
      <c r="E320">
        <v>-0.31081129218986553</v>
      </c>
      <c r="F320">
        <v>2.6514589896790985E-5</v>
      </c>
      <c r="G320">
        <v>-0.11701509722986136</v>
      </c>
      <c r="H320">
        <v>0.85793993802825541</v>
      </c>
      <c r="I320">
        <v>-2.4973070864021327</v>
      </c>
      <c r="J320">
        <v>0.88861625311076398</v>
      </c>
      <c r="K320">
        <v>-0.16580781723213206</v>
      </c>
      <c r="L320">
        <v>0.80092382384071437</v>
      </c>
      <c r="M320">
        <v>-0.2144690701565401</v>
      </c>
    </row>
    <row r="321" spans="1:13" x14ac:dyDescent="0.3">
      <c r="A321" t="s">
        <v>161</v>
      </c>
      <c r="B321" t="s">
        <v>33</v>
      </c>
      <c r="C321">
        <f t="shared" si="4"/>
        <v>0</v>
      </c>
      <c r="D321">
        <v>3.8762410312672769E-3</v>
      </c>
      <c r="E321">
        <v>0.89081356637536413</v>
      </c>
      <c r="F321">
        <v>7.771658316451565E-7</v>
      </c>
      <c r="G321">
        <v>0.60827479370117576</v>
      </c>
      <c r="H321">
        <v>1.0524074928385354</v>
      </c>
      <c r="I321">
        <v>0.16919889861547652</v>
      </c>
      <c r="J321">
        <v>4.0681686979429834</v>
      </c>
      <c r="K321">
        <v>3.2063908763088192E-2</v>
      </c>
      <c r="L321">
        <v>0.84879628595917778</v>
      </c>
      <c r="M321">
        <v>1.5557362920161693E-2</v>
      </c>
    </row>
    <row r="322" spans="1:13" x14ac:dyDescent="0.3">
      <c r="A322" t="s">
        <v>170</v>
      </c>
      <c r="B322" t="s">
        <v>33</v>
      </c>
      <c r="C322">
        <f t="shared" si="4"/>
        <v>0</v>
      </c>
      <c r="D322">
        <v>-9.172458892371213E-2</v>
      </c>
      <c r="E322">
        <v>-2.802470724488483</v>
      </c>
      <c r="F322">
        <v>8.7480726562376415E-3</v>
      </c>
      <c r="G322">
        <v>-0.86337569849340468</v>
      </c>
      <c r="H322">
        <v>0.75793897227752494</v>
      </c>
      <c r="I322">
        <v>-0.59945188703889318</v>
      </c>
      <c r="J322">
        <v>0.33365268313471175</v>
      </c>
      <c r="K322">
        <v>-0.33901287195027557</v>
      </c>
      <c r="L322">
        <v>0.32766347080083003</v>
      </c>
      <c r="M322">
        <v>-2.3576397874695888E-2</v>
      </c>
    </row>
    <row r="323" spans="1:13" x14ac:dyDescent="0.3">
      <c r="A323" t="s">
        <v>202</v>
      </c>
      <c r="B323" t="s">
        <v>33</v>
      </c>
      <c r="C323">
        <f t="shared" ref="C323:C386" si="5">IF(B323="Attiva", 1, 0)</f>
        <v>0</v>
      </c>
      <c r="D323">
        <v>-8.5413252462005467E-3</v>
      </c>
      <c r="E323">
        <v>-8.0670000000000002</v>
      </c>
      <c r="F323">
        <v>5.0574061295152967E-4</v>
      </c>
      <c r="G323">
        <v>0.91187034600509043</v>
      </c>
      <c r="H323">
        <v>1.0786479792755947</v>
      </c>
      <c r="I323">
        <v>4.8835035171318362</v>
      </c>
      <c r="J323">
        <v>12.547113816428565</v>
      </c>
      <c r="K323">
        <v>3.7866420998958754E-2</v>
      </c>
      <c r="L323">
        <v>1.0687674482601559</v>
      </c>
      <c r="M323">
        <v>7.7180324882859569E-4</v>
      </c>
    </row>
    <row r="324" spans="1:13" x14ac:dyDescent="0.3">
      <c r="A324" t="s">
        <v>204</v>
      </c>
      <c r="B324" t="s">
        <v>33</v>
      </c>
      <c r="C324">
        <f t="shared" si="5"/>
        <v>0</v>
      </c>
      <c r="D324">
        <v>-3.6234223584282445E-2</v>
      </c>
      <c r="E324">
        <v>0.45021747995106703</v>
      </c>
      <c r="F324">
        <v>4.1112253873109982E-2</v>
      </c>
      <c r="G324">
        <v>0.97169363499995565</v>
      </c>
      <c r="H324">
        <v>1.0298187947437312</v>
      </c>
      <c r="I324">
        <v>11.73255646669544</v>
      </c>
      <c r="J324">
        <v>38.606463669341544</v>
      </c>
      <c r="K324">
        <v>2.8954670122400435E-2</v>
      </c>
      <c r="L324">
        <v>1.0272773142426745</v>
      </c>
      <c r="M324">
        <v>1.0752515302274734E-2</v>
      </c>
    </row>
    <row r="325" spans="1:13" x14ac:dyDescent="0.3">
      <c r="A325" t="s">
        <v>212</v>
      </c>
      <c r="B325" t="s">
        <v>33</v>
      </c>
      <c r="C325">
        <f t="shared" si="5"/>
        <v>0</v>
      </c>
      <c r="D325">
        <v>-0.16736215989579073</v>
      </c>
      <c r="E325">
        <v>-1.0498918421802543</v>
      </c>
      <c r="F325">
        <v>2.2378636805858918E-2</v>
      </c>
      <c r="G325">
        <v>0.21530907784188372</v>
      </c>
      <c r="H325">
        <v>0.91587548783159267</v>
      </c>
      <c r="I325">
        <v>-233.3450834879406</v>
      </c>
      <c r="J325">
        <v>1.2745319090922886</v>
      </c>
      <c r="K325">
        <v>-9.6573292443398823E-2</v>
      </c>
      <c r="L325">
        <v>0.91549643929966729</v>
      </c>
      <c r="M325">
        <v>0.55063754972638235</v>
      </c>
    </row>
    <row r="326" spans="1:13" x14ac:dyDescent="0.3">
      <c r="A326" t="s">
        <v>218</v>
      </c>
      <c r="B326" t="s">
        <v>33</v>
      </c>
      <c r="C326">
        <f t="shared" si="5"/>
        <v>0</v>
      </c>
      <c r="D326">
        <v>0.16297991367710771</v>
      </c>
      <c r="E326">
        <v>0.17686261107313739</v>
      </c>
      <c r="F326">
        <v>1.2510698111205682E-2</v>
      </c>
      <c r="G326">
        <v>0.78039771679318182</v>
      </c>
      <c r="H326">
        <v>0.97940452750107798</v>
      </c>
      <c r="I326" t="e">
        <v>#DIV/0!</v>
      </c>
      <c r="J326">
        <v>4.5673452480668031</v>
      </c>
      <c r="K326">
        <v>-3.9472565752860019E-2</v>
      </c>
      <c r="L326">
        <v>0.97858103846797262</v>
      </c>
      <c r="M326">
        <v>2.0866282355600769</v>
      </c>
    </row>
    <row r="327" spans="1:13" x14ac:dyDescent="0.3">
      <c r="A327" t="s">
        <v>226</v>
      </c>
      <c r="B327" t="s">
        <v>33</v>
      </c>
      <c r="C327">
        <f t="shared" si="5"/>
        <v>0</v>
      </c>
      <c r="D327">
        <v>-4.1637927271139824E-2</v>
      </c>
      <c r="E327">
        <v>-0.80615793286645732</v>
      </c>
      <c r="F327">
        <v>0</v>
      </c>
      <c r="G327">
        <v>-0.62560234706553219</v>
      </c>
      <c r="H327">
        <v>0.67410268113210403</v>
      </c>
      <c r="I327">
        <v>-3.424153803194125</v>
      </c>
      <c r="J327">
        <v>0.57827978052058771</v>
      </c>
      <c r="K327">
        <v>-0.48349337979980417</v>
      </c>
      <c r="L327">
        <v>0.57827978052058771</v>
      </c>
      <c r="M327">
        <v>-8.4189368135852344E-2</v>
      </c>
    </row>
    <row r="328" spans="1:13" x14ac:dyDescent="0.3">
      <c r="A328" t="s">
        <v>464</v>
      </c>
      <c r="B328" t="s">
        <v>33</v>
      </c>
      <c r="C328">
        <f t="shared" si="5"/>
        <v>0</v>
      </c>
      <c r="D328">
        <v>-0.7349772789209521</v>
      </c>
      <c r="E328">
        <v>-0.59193157921540429</v>
      </c>
      <c r="F328">
        <v>4.3698191496145622E-5</v>
      </c>
      <c r="G328">
        <v>-60.315199597028084</v>
      </c>
      <c r="H328">
        <v>1.5574570439186805E-3</v>
      </c>
      <c r="I328" t="e">
        <v>#DIV/0!</v>
      </c>
      <c r="J328">
        <v>1.6309169774739989E-2</v>
      </c>
      <c r="K328">
        <v>-641.07228308777235</v>
      </c>
      <c r="L328">
        <v>1.5574570439186805E-3</v>
      </c>
      <c r="M328">
        <v>-3.3617502813369717</v>
      </c>
    </row>
    <row r="329" spans="1:13" x14ac:dyDescent="0.3">
      <c r="A329" t="s">
        <v>232</v>
      </c>
      <c r="B329" t="s">
        <v>33</v>
      </c>
      <c r="C329">
        <f t="shared" si="5"/>
        <v>0</v>
      </c>
      <c r="D329">
        <v>0.1293510054123945</v>
      </c>
      <c r="E329">
        <v>0.86182323430127372</v>
      </c>
      <c r="F329">
        <v>1.6703097979259206E-5</v>
      </c>
      <c r="G329">
        <v>0.1340712190247477</v>
      </c>
      <c r="H329">
        <v>1.1898327714614974</v>
      </c>
      <c r="I329">
        <v>0.82871623999812272</v>
      </c>
      <c r="J329">
        <v>1.1990938296831823</v>
      </c>
      <c r="K329">
        <v>0.15954575803818358</v>
      </c>
      <c r="L329">
        <v>0.96076428903145905</v>
      </c>
      <c r="M329">
        <v>1.806673562838842</v>
      </c>
    </row>
    <row r="330" spans="1:13" x14ac:dyDescent="0.3">
      <c r="A330" t="s">
        <v>236</v>
      </c>
      <c r="B330" t="s">
        <v>33</v>
      </c>
      <c r="C330">
        <f t="shared" si="5"/>
        <v>0</v>
      </c>
      <c r="D330">
        <v>7.1521920856504823E-3</v>
      </c>
      <c r="E330">
        <v>6.7167979693806168E-2</v>
      </c>
      <c r="F330">
        <v>1.4092935424624697E-2</v>
      </c>
      <c r="G330">
        <v>8.37943412268643E-2</v>
      </c>
      <c r="H330">
        <v>1.1042920938220646</v>
      </c>
      <c r="I330">
        <v>0.18391204944093167</v>
      </c>
      <c r="J330">
        <v>1.1335391796472536</v>
      </c>
      <c r="K330">
        <v>5.1924533554146453E-2</v>
      </c>
      <c r="L330">
        <v>0.7854643628629997</v>
      </c>
      <c r="M330">
        <v>10.375452871294279</v>
      </c>
    </row>
    <row r="331" spans="1:13" x14ac:dyDescent="0.3">
      <c r="A331" t="s">
        <v>238</v>
      </c>
      <c r="B331" t="s">
        <v>33</v>
      </c>
      <c r="C331">
        <f t="shared" si="5"/>
        <v>0</v>
      </c>
      <c r="D331">
        <v>1.8325493193619918E-4</v>
      </c>
      <c r="E331">
        <v>5.0822375375248405E-2</v>
      </c>
      <c r="F331">
        <v>8.1798743462235431E-6</v>
      </c>
      <c r="G331">
        <v>-1.9473407435379154E-2</v>
      </c>
      <c r="H331">
        <v>1.0090986898341952</v>
      </c>
      <c r="I331">
        <v>0.35719737444664934</v>
      </c>
      <c r="J331">
        <v>0.98034941007035137</v>
      </c>
      <c r="K331">
        <v>2.5138760046775283E-3</v>
      </c>
      <c r="L331">
        <v>0.98034941007035137</v>
      </c>
      <c r="M331">
        <v>-1.3047747772598131</v>
      </c>
    </row>
    <row r="332" spans="1:13" x14ac:dyDescent="0.3">
      <c r="A332" t="s">
        <v>257</v>
      </c>
      <c r="B332" t="s">
        <v>33</v>
      </c>
      <c r="C332">
        <f t="shared" si="5"/>
        <v>0</v>
      </c>
      <c r="D332">
        <v>-0.20908897100836066</v>
      </c>
      <c r="E332">
        <v>-0.57008152301006798</v>
      </c>
      <c r="F332">
        <v>3.2879135822557116E-2</v>
      </c>
      <c r="G332">
        <v>0.30515759222561306</v>
      </c>
      <c r="H332">
        <v>0.85256207211331225</v>
      </c>
      <c r="I332">
        <v>-1.3217226465301379</v>
      </c>
      <c r="J332">
        <v>1.596821467957358</v>
      </c>
      <c r="K332">
        <v>-0.21099195357722164</v>
      </c>
      <c r="L332">
        <v>0.69608474166153433</v>
      </c>
      <c r="M332">
        <v>1.0096434569442334</v>
      </c>
    </row>
    <row r="333" spans="1:13" x14ac:dyDescent="0.3">
      <c r="A333" t="s">
        <v>265</v>
      </c>
      <c r="B333" t="s">
        <v>33</v>
      </c>
      <c r="C333">
        <f t="shared" si="5"/>
        <v>0</v>
      </c>
      <c r="D333">
        <v>3.759639568603328E-3</v>
      </c>
      <c r="E333">
        <v>6.1904414983258743E-2</v>
      </c>
      <c r="F333">
        <v>2.6415522738238273E-2</v>
      </c>
      <c r="G333">
        <v>0.11513147573661993</v>
      </c>
      <c r="H333">
        <v>1.1721589392987348</v>
      </c>
      <c r="I333">
        <v>1.5285856487492424</v>
      </c>
      <c r="J333">
        <v>1.1432946587921711</v>
      </c>
      <c r="K333">
        <v>9.4313788713561192E-2</v>
      </c>
      <c r="L333">
        <v>1.0767347941659553</v>
      </c>
      <c r="M333">
        <v>9.6303359580661247</v>
      </c>
    </row>
    <row r="334" spans="1:13" x14ac:dyDescent="0.3">
      <c r="A334" t="s">
        <v>271</v>
      </c>
      <c r="B334" t="s">
        <v>33</v>
      </c>
      <c r="C334">
        <f t="shared" si="5"/>
        <v>0</v>
      </c>
      <c r="D334">
        <v>-1.5962295335649357E-2</v>
      </c>
      <c r="E334">
        <v>-0.4249719146204462</v>
      </c>
      <c r="F334">
        <v>9.1223358921527879E-3</v>
      </c>
      <c r="G334">
        <v>-0.51670766414222047</v>
      </c>
      <c r="H334">
        <v>1.0282934127216568</v>
      </c>
      <c r="I334">
        <v>5.0558213500983967E-2</v>
      </c>
      <c r="J334">
        <v>0.46867291265976041</v>
      </c>
      <c r="K334">
        <v>2.7514921686379954E-2</v>
      </c>
      <c r="L334">
        <v>0.46867291265976041</v>
      </c>
      <c r="M334">
        <v>-1.7704219349339394E-2</v>
      </c>
    </row>
    <row r="335" spans="1:13" x14ac:dyDescent="0.3">
      <c r="A335" t="s">
        <v>275</v>
      </c>
      <c r="B335" t="s">
        <v>33</v>
      </c>
      <c r="C335">
        <f t="shared" si="5"/>
        <v>0</v>
      </c>
      <c r="D335">
        <v>-4.6431792217996294E-2</v>
      </c>
      <c r="E335">
        <v>-1.9284062637935879E-2</v>
      </c>
      <c r="F335">
        <v>1.114986773327269E-2</v>
      </c>
      <c r="G335">
        <v>-0.20692531413843041</v>
      </c>
      <c r="H335">
        <v>1.0743429131489124</v>
      </c>
      <c r="I335">
        <v>0.18215665692005056</v>
      </c>
      <c r="J335">
        <v>0.77769125520426496</v>
      </c>
      <c r="K335">
        <v>4.9125968068538195E-2</v>
      </c>
      <c r="L335">
        <v>0.77769125520426496</v>
      </c>
      <c r="M335">
        <v>-5.8500214569448978</v>
      </c>
    </row>
    <row r="336" spans="1:13" x14ac:dyDescent="0.3">
      <c r="A336" t="s">
        <v>289</v>
      </c>
      <c r="B336" t="s">
        <v>33</v>
      </c>
      <c r="C336">
        <f t="shared" si="5"/>
        <v>0</v>
      </c>
      <c r="D336">
        <v>-1.0528253484351084</v>
      </c>
      <c r="E336">
        <v>-0.45040204286958929</v>
      </c>
      <c r="F336">
        <v>2.5460702548142262E-2</v>
      </c>
      <c r="G336">
        <v>-0.984900778777278</v>
      </c>
      <c r="H336">
        <v>0.48059804554393026</v>
      </c>
      <c r="I336">
        <v>-22.035248172502421</v>
      </c>
      <c r="J336">
        <v>0.48614500452893022</v>
      </c>
      <c r="K336">
        <v>-1.1455279304792048</v>
      </c>
      <c r="L336">
        <v>0.4478161230116437</v>
      </c>
      <c r="M336">
        <v>-2.6652748083331788</v>
      </c>
    </row>
    <row r="337" spans="1:13" x14ac:dyDescent="0.3">
      <c r="A337" t="s">
        <v>297</v>
      </c>
      <c r="B337" t="s">
        <v>33</v>
      </c>
      <c r="C337">
        <f t="shared" si="5"/>
        <v>0</v>
      </c>
      <c r="D337">
        <v>0</v>
      </c>
      <c r="E337">
        <v>0</v>
      </c>
      <c r="F337">
        <v>0</v>
      </c>
      <c r="G337">
        <v>-1.1742054492069076</v>
      </c>
      <c r="H337">
        <v>0.45993813526903521</v>
      </c>
      <c r="I337" t="e">
        <v>#DIV/0!</v>
      </c>
      <c r="J337">
        <v>0.45993813526903521</v>
      </c>
      <c r="K337">
        <v>-1.1742054492069076</v>
      </c>
      <c r="L337">
        <v>0.45993813526903521</v>
      </c>
      <c r="M337">
        <v>-9.0328184877706934E-3</v>
      </c>
    </row>
    <row r="338" spans="1:13" x14ac:dyDescent="0.3">
      <c r="A338" t="s">
        <v>311</v>
      </c>
      <c r="B338" t="s">
        <v>33</v>
      </c>
      <c r="C338">
        <f t="shared" si="5"/>
        <v>0</v>
      </c>
      <c r="D338">
        <v>-1.154135148014777</v>
      </c>
      <c r="E338">
        <v>-7.7391160430854384</v>
      </c>
      <c r="F338">
        <v>1.4022529078987095E-2</v>
      </c>
      <c r="G338">
        <v>0.3492275510727143</v>
      </c>
      <c r="H338">
        <v>1.581224251852152</v>
      </c>
      <c r="I338">
        <v>-27.377659574468083</v>
      </c>
      <c r="J338">
        <v>1.552207073171112</v>
      </c>
      <c r="K338">
        <v>-0.48200675054907355</v>
      </c>
      <c r="L338">
        <v>1.552207073171112</v>
      </c>
      <c r="M338">
        <v>0.52018381512353606</v>
      </c>
    </row>
    <row r="339" spans="1:13" x14ac:dyDescent="0.3">
      <c r="A339" t="s">
        <v>329</v>
      </c>
      <c r="B339" t="s">
        <v>33</v>
      </c>
      <c r="C339">
        <f t="shared" si="5"/>
        <v>0</v>
      </c>
      <c r="D339">
        <v>-0.53209329196944277</v>
      </c>
      <c r="E339">
        <v>-1.2477778530046133</v>
      </c>
      <c r="F339">
        <v>3.8154966719838846E-3</v>
      </c>
      <c r="G339">
        <v>-0.5373632976515671</v>
      </c>
      <c r="H339">
        <v>0.63226520095662753</v>
      </c>
      <c r="I339">
        <v>-12.556168505516551</v>
      </c>
      <c r="J339">
        <v>0.63830086166990163</v>
      </c>
      <c r="K339">
        <v>-0.63437732261271618</v>
      </c>
      <c r="L339">
        <v>0.59957737507199493</v>
      </c>
      <c r="M339">
        <v>-0.92858313630658496</v>
      </c>
    </row>
    <row r="340" spans="1:13" x14ac:dyDescent="0.3">
      <c r="A340" t="s">
        <v>343</v>
      </c>
      <c r="B340" t="s">
        <v>33</v>
      </c>
      <c r="C340">
        <f t="shared" si="5"/>
        <v>0</v>
      </c>
      <c r="D340">
        <v>-1.3652864645540276E-2</v>
      </c>
      <c r="E340">
        <v>0.17500366999412803</v>
      </c>
      <c r="F340">
        <v>1.6932565602312294E-2</v>
      </c>
      <c r="G340">
        <v>-0.42298523883744382</v>
      </c>
      <c r="H340">
        <v>1.5517678455177646</v>
      </c>
      <c r="I340">
        <v>0.1376602698548981</v>
      </c>
      <c r="J340">
        <v>0.34362510724340267</v>
      </c>
      <c r="K340">
        <v>0.10713303383148437</v>
      </c>
      <c r="L340">
        <v>0.34362510724340267</v>
      </c>
      <c r="M340">
        <v>-0.17897409118824531</v>
      </c>
    </row>
    <row r="341" spans="1:13" x14ac:dyDescent="0.3">
      <c r="A341" t="s">
        <v>347</v>
      </c>
      <c r="B341" t="s">
        <v>33</v>
      </c>
      <c r="C341">
        <f t="shared" si="5"/>
        <v>0</v>
      </c>
      <c r="D341">
        <v>-6.0626496227754872E-2</v>
      </c>
      <c r="E341">
        <v>-0.2155656108597285</v>
      </c>
      <c r="F341">
        <v>6.5219362329166659E-3</v>
      </c>
      <c r="G341">
        <v>-3.6087462548639544</v>
      </c>
      <c r="H341">
        <v>0.21899606095637394</v>
      </c>
      <c r="I341">
        <v>-84.003525224176883</v>
      </c>
      <c r="J341">
        <v>0.2096987851937272</v>
      </c>
      <c r="K341">
        <v>-3.5662921772789753</v>
      </c>
      <c r="L341">
        <v>0.2096987851937272</v>
      </c>
      <c r="M341">
        <v>-4.4491275482327709E-2</v>
      </c>
    </row>
    <row r="342" spans="1:13" x14ac:dyDescent="0.3">
      <c r="A342" t="s">
        <v>358</v>
      </c>
      <c r="B342" t="s">
        <v>33</v>
      </c>
      <c r="C342">
        <f t="shared" si="5"/>
        <v>0</v>
      </c>
      <c r="D342">
        <v>-6.2547178063374911E-2</v>
      </c>
      <c r="E342">
        <v>-0.19893361041233731</v>
      </c>
      <c r="F342">
        <v>6.4762952184908157E-4</v>
      </c>
      <c r="G342">
        <v>-2.1379429592725518</v>
      </c>
      <c r="H342">
        <v>0.24885209405871711</v>
      </c>
      <c r="I342">
        <v>-1867881</v>
      </c>
      <c r="J342">
        <v>0.31867975676477378</v>
      </c>
      <c r="K342">
        <v>-3.0184512161028794</v>
      </c>
      <c r="L342">
        <v>0.24885169191965906</v>
      </c>
      <c r="M342">
        <v>-0.13821575747314446</v>
      </c>
    </row>
    <row r="343" spans="1:13" x14ac:dyDescent="0.3">
      <c r="A343" t="s">
        <v>368</v>
      </c>
      <c r="B343" t="s">
        <v>33</v>
      </c>
      <c r="C343">
        <f t="shared" si="5"/>
        <v>0</v>
      </c>
      <c r="D343">
        <v>-1.4365564570183873</v>
      </c>
      <c r="E343">
        <v>-4.2887809762202753</v>
      </c>
      <c r="F343">
        <v>2.7303754266211604E-2</v>
      </c>
      <c r="G343">
        <v>-3.3446666904407532</v>
      </c>
      <c r="H343">
        <v>0.22816759061194514</v>
      </c>
      <c r="I343">
        <v>-4.2500526025974494</v>
      </c>
      <c r="J343">
        <v>4.6062175666546398E-2</v>
      </c>
      <c r="K343">
        <v>-3.5636616847443565</v>
      </c>
      <c r="L343">
        <v>3.6849464368687357E-2</v>
      </c>
      <c r="M343">
        <v>-0.22418442044539466</v>
      </c>
    </row>
    <row r="344" spans="1:13" x14ac:dyDescent="0.3">
      <c r="A344" t="s">
        <v>364</v>
      </c>
      <c r="B344" t="s">
        <v>33</v>
      </c>
      <c r="C344">
        <f t="shared" si="5"/>
        <v>0</v>
      </c>
      <c r="D344">
        <v>-0.80604871132376721</v>
      </c>
      <c r="E344">
        <v>-0.57407554295929986</v>
      </c>
      <c r="F344">
        <v>1.2883475150165321E-2</v>
      </c>
      <c r="G344">
        <v>-0.47752624442611719</v>
      </c>
      <c r="H344">
        <v>0.6858085072983211</v>
      </c>
      <c r="I344">
        <v>-27.595524956970738</v>
      </c>
      <c r="J344">
        <v>0.67250843911435132</v>
      </c>
      <c r="K344">
        <v>-0.50425991417268901</v>
      </c>
      <c r="L344">
        <v>0.67250843911435132</v>
      </c>
      <c r="M344">
        <v>-2.3987866546649395</v>
      </c>
    </row>
    <row r="345" spans="1:13" x14ac:dyDescent="0.3">
      <c r="A345" t="s">
        <v>372</v>
      </c>
      <c r="B345" t="s">
        <v>33</v>
      </c>
      <c r="C345">
        <f t="shared" si="5"/>
        <v>0</v>
      </c>
      <c r="D345">
        <v>-0.36239651693070407</v>
      </c>
      <c r="E345">
        <v>-0.30946882883715021</v>
      </c>
      <c r="F345">
        <v>1.7475563985781345E-2</v>
      </c>
      <c r="G345">
        <v>-0.35563100293988509</v>
      </c>
      <c r="H345">
        <v>0.74052093290861198</v>
      </c>
      <c r="I345">
        <v>-67.109477756286267</v>
      </c>
      <c r="J345">
        <v>0.73664779793173096</v>
      </c>
      <c r="K345">
        <v>-0.35100164495980674</v>
      </c>
      <c r="L345">
        <v>0.73664779793173096</v>
      </c>
      <c r="M345">
        <v>-3.9420820864103412</v>
      </c>
    </row>
    <row r="346" spans="1:13" x14ac:dyDescent="0.3">
      <c r="A346" t="s">
        <v>376</v>
      </c>
      <c r="B346" t="s">
        <v>33</v>
      </c>
      <c r="C346">
        <f t="shared" si="5"/>
        <v>0</v>
      </c>
      <c r="D346">
        <v>1.2998470768144924E-2</v>
      </c>
      <c r="E346">
        <v>0.89630044843049328</v>
      </c>
      <c r="F346">
        <v>0</v>
      </c>
      <c r="G346">
        <v>0.21557916645975339</v>
      </c>
      <c r="H346">
        <v>0.87992772979607037</v>
      </c>
      <c r="I346">
        <v>-66.354602510460253</v>
      </c>
      <c r="J346">
        <v>1.2755509805328491</v>
      </c>
      <c r="K346">
        <v>-0.13696219640424306</v>
      </c>
      <c r="L346">
        <v>0.87811147545966828</v>
      </c>
      <c r="M346">
        <v>7.1469348102596975E-2</v>
      </c>
    </row>
    <row r="347" spans="1:13" x14ac:dyDescent="0.3">
      <c r="A347" t="s">
        <v>380</v>
      </c>
      <c r="B347" t="s">
        <v>33</v>
      </c>
      <c r="C347">
        <f t="shared" si="5"/>
        <v>0</v>
      </c>
      <c r="D347">
        <v>-6.0273478572881928E-2</v>
      </c>
      <c r="E347">
        <v>-3.8614594949664689E-2</v>
      </c>
      <c r="F347">
        <v>1.9481814877668192E-2</v>
      </c>
      <c r="G347">
        <v>4.8107224411260668E-2</v>
      </c>
      <c r="H347">
        <v>1.0714941519300627</v>
      </c>
      <c r="I347">
        <v>0.16531581889323643</v>
      </c>
      <c r="J347">
        <v>1.0643123743898937</v>
      </c>
      <c r="K347">
        <v>3.3702669652914435E-2</v>
      </c>
      <c r="L347">
        <v>0.85305036548969515</v>
      </c>
      <c r="M347">
        <v>11.928024781341106</v>
      </c>
    </row>
    <row r="348" spans="1:13" x14ac:dyDescent="0.3">
      <c r="A348" t="s">
        <v>394</v>
      </c>
      <c r="B348" t="s">
        <v>33</v>
      </c>
      <c r="C348">
        <f t="shared" si="5"/>
        <v>0</v>
      </c>
      <c r="D348">
        <v>-4.0732263716718294E-2</v>
      </c>
      <c r="E348">
        <v>2.1342025246475629E-2</v>
      </c>
      <c r="F348">
        <v>4.0142267894835368E-2</v>
      </c>
      <c r="G348">
        <v>6.7680034389854997E-3</v>
      </c>
      <c r="H348">
        <v>0.98395640391302419</v>
      </c>
      <c r="I348">
        <v>-2.1251078515962036</v>
      </c>
      <c r="J348">
        <v>1.006951575142728</v>
      </c>
      <c r="K348">
        <v>-3.6934104439190443E-2</v>
      </c>
      <c r="L348">
        <v>0.96463228097441978</v>
      </c>
      <c r="M348">
        <v>32.062038404726735</v>
      </c>
    </row>
    <row r="349" spans="1:13" x14ac:dyDescent="0.3">
      <c r="A349" t="s">
        <v>408</v>
      </c>
      <c r="B349" t="s">
        <v>33</v>
      </c>
      <c r="C349">
        <f t="shared" si="5"/>
        <v>0</v>
      </c>
      <c r="D349">
        <v>-0.11310628200125813</v>
      </c>
      <c r="E349">
        <v>-1.6971063659948116</v>
      </c>
      <c r="F349">
        <v>2.2675228434238098E-4</v>
      </c>
      <c r="G349">
        <v>-0.47511173592241901</v>
      </c>
      <c r="H349">
        <v>0.88375982732749836</v>
      </c>
      <c r="I349">
        <v>-0.38284166666666669</v>
      </c>
      <c r="J349">
        <v>0.58011533429993489</v>
      </c>
      <c r="K349">
        <v>-0.13153773252667775</v>
      </c>
      <c r="L349">
        <v>0.58011533429993489</v>
      </c>
      <c r="M349">
        <v>-0.15099012884330293</v>
      </c>
    </row>
    <row r="350" spans="1:13" x14ac:dyDescent="0.3">
      <c r="A350" t="s">
        <v>412</v>
      </c>
      <c r="B350" t="s">
        <v>33</v>
      </c>
      <c r="C350">
        <f t="shared" si="5"/>
        <v>0</v>
      </c>
      <c r="D350">
        <v>-0.56139391836882491</v>
      </c>
      <c r="E350">
        <v>-1.4376725017959093</v>
      </c>
      <c r="F350">
        <v>1.4505125965854515E-2</v>
      </c>
      <c r="G350">
        <v>-0.58653070844652844</v>
      </c>
      <c r="H350">
        <v>0.66348830749287546</v>
      </c>
      <c r="I350">
        <v>-0.75761555714847273</v>
      </c>
      <c r="J350">
        <v>0.35963703465438718</v>
      </c>
      <c r="K350">
        <v>-0.50805391190006577</v>
      </c>
      <c r="L350">
        <v>0.2185557464582969</v>
      </c>
      <c r="M350">
        <v>-0.83908252611987644</v>
      </c>
    </row>
    <row r="351" spans="1:13" x14ac:dyDescent="0.3">
      <c r="A351" t="s">
        <v>420</v>
      </c>
      <c r="B351" t="s">
        <v>33</v>
      </c>
      <c r="C351">
        <f t="shared" si="5"/>
        <v>0</v>
      </c>
      <c r="D351">
        <v>-0.5819697092620616</v>
      </c>
      <c r="E351">
        <v>-0.94200959199701106</v>
      </c>
      <c r="F351">
        <v>8.3957347940616898E-4</v>
      </c>
      <c r="G351">
        <v>-0.68903655608535397</v>
      </c>
      <c r="H351">
        <v>0.61344258894305559</v>
      </c>
      <c r="I351">
        <v>-11.02928509905254</v>
      </c>
      <c r="J351">
        <v>0.57731563115859352</v>
      </c>
      <c r="K351">
        <v>-0.64953839910723343</v>
      </c>
      <c r="L351">
        <v>0.57731563115859352</v>
      </c>
      <c r="M351">
        <v>-1.2873401879708475</v>
      </c>
    </row>
    <row r="352" spans="1:13" x14ac:dyDescent="0.3">
      <c r="A352" t="s">
        <v>426</v>
      </c>
      <c r="B352" t="s">
        <v>33</v>
      </c>
      <c r="C352">
        <f t="shared" si="5"/>
        <v>0</v>
      </c>
      <c r="D352">
        <v>9.5498062694190311E-2</v>
      </c>
      <c r="E352">
        <v>0.14587714285714287</v>
      </c>
      <c r="F352">
        <v>0</v>
      </c>
      <c r="G352">
        <v>0.19605821885602262</v>
      </c>
      <c r="H352">
        <v>1.2599874217275984</v>
      </c>
      <c r="I352">
        <v>20.094399436421277</v>
      </c>
      <c r="J352">
        <v>1.2470308896849052</v>
      </c>
      <c r="K352">
        <v>0.20634128344799152</v>
      </c>
      <c r="L352">
        <v>1.2470308896849052</v>
      </c>
      <c r="M352">
        <v>6.4569689143067981</v>
      </c>
    </row>
    <row r="353" spans="1:13" x14ac:dyDescent="0.3">
      <c r="A353" t="s">
        <v>430</v>
      </c>
      <c r="B353" t="s">
        <v>33</v>
      </c>
      <c r="C353">
        <f t="shared" si="5"/>
        <v>0</v>
      </c>
      <c r="D353">
        <v>2.2939261558183074E-3</v>
      </c>
      <c r="E353">
        <v>4.4417818722787064E-2</v>
      </c>
      <c r="F353">
        <v>6.768960546156522E-3</v>
      </c>
      <c r="G353">
        <v>0.2090066849396619</v>
      </c>
      <c r="H353">
        <v>1.3109056519924778</v>
      </c>
      <c r="I353">
        <v>8.4216089254257191</v>
      </c>
      <c r="J353">
        <v>1.2739880445916139</v>
      </c>
      <c r="K353">
        <v>0.2371685952531554</v>
      </c>
      <c r="L353">
        <v>1.2739880445916139</v>
      </c>
      <c r="M353">
        <v>6.900644829496005</v>
      </c>
    </row>
    <row r="354" spans="1:13" x14ac:dyDescent="0.3">
      <c r="A354" t="s">
        <v>436</v>
      </c>
      <c r="B354" t="s">
        <v>33</v>
      </c>
      <c r="C354">
        <f t="shared" si="5"/>
        <v>0</v>
      </c>
      <c r="D354">
        <v>-0.20642191800000875</v>
      </c>
      <c r="E354">
        <v>-1.8356973995271868</v>
      </c>
      <c r="F354">
        <v>7.0643422134829036E-3</v>
      </c>
      <c r="G354">
        <v>-0.53604937473148329</v>
      </c>
      <c r="H354">
        <v>0.65291761427046069</v>
      </c>
      <c r="I354">
        <v>-217.17517006802723</v>
      </c>
      <c r="J354">
        <v>0.65000392111914773</v>
      </c>
      <c r="K354">
        <v>-0.58992363732116204</v>
      </c>
      <c r="L354">
        <v>0.65000392111914773</v>
      </c>
      <c r="M354">
        <v>-0.21143256030404092</v>
      </c>
    </row>
    <row r="355" spans="1:13" x14ac:dyDescent="0.3">
      <c r="A355" t="s">
        <v>440</v>
      </c>
      <c r="B355" t="s">
        <v>33</v>
      </c>
      <c r="C355">
        <f t="shared" si="5"/>
        <v>0</v>
      </c>
      <c r="D355">
        <v>-0.12157071984848271</v>
      </c>
      <c r="E355">
        <v>-2.0622609759828667</v>
      </c>
      <c r="F355">
        <v>4.7575878212291417E-3</v>
      </c>
      <c r="G355">
        <v>-0.58894153432189766</v>
      </c>
      <c r="H355">
        <v>0.37162245393349608</v>
      </c>
      <c r="I355">
        <v>-13.239303294206739</v>
      </c>
      <c r="J355">
        <v>0.59667172973243643</v>
      </c>
      <c r="K355">
        <v>-1.7043958936562253</v>
      </c>
      <c r="L355">
        <v>0.32378067779170616</v>
      </c>
      <c r="M355">
        <v>-0.10821145680729025</v>
      </c>
    </row>
    <row r="356" spans="1:13" x14ac:dyDescent="0.3">
      <c r="A356" t="s">
        <v>442</v>
      </c>
      <c r="B356" t="s">
        <v>33</v>
      </c>
      <c r="C356">
        <f t="shared" si="5"/>
        <v>0</v>
      </c>
      <c r="D356">
        <v>-0.29845171137455079</v>
      </c>
      <c r="E356">
        <v>0.13552377339571453</v>
      </c>
      <c r="F356">
        <v>0</v>
      </c>
      <c r="G356">
        <v>0.57946410410330962</v>
      </c>
      <c r="H356">
        <v>2.4482163895400384</v>
      </c>
      <c r="I356">
        <v>3.1207888249794573</v>
      </c>
      <c r="J356">
        <v>2.4186535168158576</v>
      </c>
      <c r="K356">
        <v>3.7684366147572299E-2</v>
      </c>
      <c r="L356">
        <v>2.4186535168158576</v>
      </c>
      <c r="M356">
        <v>3.8593260389376889</v>
      </c>
    </row>
    <row r="357" spans="1:13" x14ac:dyDescent="0.3">
      <c r="A357" t="s">
        <v>444</v>
      </c>
      <c r="B357" t="s">
        <v>33</v>
      </c>
      <c r="C357">
        <f t="shared" si="5"/>
        <v>0</v>
      </c>
      <c r="D357">
        <v>-1.4607028392860926</v>
      </c>
      <c r="E357">
        <v>-2.104233665784653</v>
      </c>
      <c r="F357">
        <v>0</v>
      </c>
      <c r="G357">
        <v>-1.0973916668838106</v>
      </c>
      <c r="H357">
        <v>0.47797029826283194</v>
      </c>
      <c r="I357">
        <v>-231.036</v>
      </c>
      <c r="J357">
        <v>0.47547937766839865</v>
      </c>
      <c r="K357">
        <v>-1.2040336659978634</v>
      </c>
      <c r="L357">
        <v>0.47547937766839865</v>
      </c>
      <c r="M357">
        <v>-0.69994728668917661</v>
      </c>
    </row>
    <row r="358" spans="1:13" x14ac:dyDescent="0.3">
      <c r="A358" t="s">
        <v>452</v>
      </c>
      <c r="B358" t="s">
        <v>33</v>
      </c>
      <c r="C358">
        <f t="shared" si="5"/>
        <v>0</v>
      </c>
      <c r="D358">
        <v>1.8199179625132837E-2</v>
      </c>
      <c r="E358">
        <v>5.5470393448932592E-2</v>
      </c>
      <c r="F358">
        <v>2.8956515135111554E-3</v>
      </c>
      <c r="G358">
        <v>-1.0311133998395228</v>
      </c>
      <c r="H358">
        <v>0.59668717530959481</v>
      </c>
      <c r="I358">
        <v>-1.9750244033794473</v>
      </c>
      <c r="J358">
        <v>0.38452795390697048</v>
      </c>
      <c r="K358">
        <v>-0.70269817127938583</v>
      </c>
      <c r="L358">
        <v>0.38439056459507936</v>
      </c>
      <c r="M358">
        <v>-0.8751146935504478</v>
      </c>
    </row>
    <row r="359" spans="1:13" x14ac:dyDescent="0.3">
      <c r="A359" t="s">
        <v>456</v>
      </c>
      <c r="B359" t="s">
        <v>33</v>
      </c>
      <c r="C359">
        <f t="shared" si="5"/>
        <v>0</v>
      </c>
      <c r="D359">
        <v>1.0815722979690834</v>
      </c>
      <c r="E359">
        <v>1.1239868421052632</v>
      </c>
      <c r="F359">
        <v>1.2149982859845608E-4</v>
      </c>
      <c r="G359">
        <v>-0.9509420294541856</v>
      </c>
      <c r="H359">
        <v>0.41898838800590765</v>
      </c>
      <c r="I359">
        <v>-48.175256155375436</v>
      </c>
      <c r="J359">
        <v>0.50177226857154489</v>
      </c>
      <c r="K359">
        <v>-2.0374612742783595</v>
      </c>
      <c r="L359">
        <v>0.40126824112840948</v>
      </c>
      <c r="M359">
        <v>-1.0338166879778001</v>
      </c>
    </row>
    <row r="360" spans="1:13" x14ac:dyDescent="0.3">
      <c r="A360" t="s">
        <v>37</v>
      </c>
      <c r="B360" t="s">
        <v>33</v>
      </c>
      <c r="C360">
        <f t="shared" si="5"/>
        <v>0</v>
      </c>
      <c r="D360">
        <v>-2.9960627684812759E-2</v>
      </c>
      <c r="E360">
        <v>-7.9784335526359842E-2</v>
      </c>
      <c r="F360">
        <v>2.7147339582414006E-4</v>
      </c>
      <c r="G360">
        <v>8.6624380874333037E-2</v>
      </c>
      <c r="H360">
        <v>1.0919521150367451</v>
      </c>
      <c r="I360">
        <v>-11.515023516128245</v>
      </c>
      <c r="J360">
        <v>1.0949537747163036</v>
      </c>
      <c r="K360">
        <v>-1.0351719227503154E-2</v>
      </c>
      <c r="L360">
        <v>1.0907551910992095</v>
      </c>
      <c r="M360">
        <v>3.3486429010207233</v>
      </c>
    </row>
    <row r="361" spans="1:13" x14ac:dyDescent="0.3">
      <c r="A361" t="s">
        <v>47</v>
      </c>
      <c r="B361" t="s">
        <v>33</v>
      </c>
      <c r="C361">
        <f t="shared" si="5"/>
        <v>0</v>
      </c>
      <c r="D361">
        <v>-1.6770902253527398E-2</v>
      </c>
      <c r="E361">
        <v>0.77543842089394366</v>
      </c>
      <c r="F361">
        <v>2.5047673464881477E-2</v>
      </c>
      <c r="G361">
        <v>-0.72432050563490047</v>
      </c>
      <c r="H361">
        <v>1.1733291993993267</v>
      </c>
      <c r="I361">
        <v>6.6022620512482103E-2</v>
      </c>
      <c r="J361">
        <v>0.15013360101488676</v>
      </c>
      <c r="K361">
        <v>5.757468128873082E-2</v>
      </c>
      <c r="L361">
        <v>0.15013360101488676</v>
      </c>
      <c r="M361">
        <v>-5.0269725163806248E-2</v>
      </c>
    </row>
    <row r="362" spans="1:13" x14ac:dyDescent="0.3">
      <c r="A362" t="s">
        <v>60</v>
      </c>
      <c r="B362" t="s">
        <v>33</v>
      </c>
      <c r="C362">
        <f t="shared" si="5"/>
        <v>0</v>
      </c>
      <c r="D362">
        <v>-0.54770027716308056</v>
      </c>
      <c r="E362">
        <v>-24.178015915731198</v>
      </c>
      <c r="F362">
        <v>7.580126738625535E-4</v>
      </c>
      <c r="G362">
        <v>0.82549219826305176</v>
      </c>
      <c r="H362">
        <v>0.69965408275795515</v>
      </c>
      <c r="I362">
        <v>-5.1950078457084334</v>
      </c>
      <c r="J362">
        <v>25.625752900059489</v>
      </c>
      <c r="K362">
        <v>-0.7324165757316119</v>
      </c>
      <c r="L362">
        <v>0.6010124417718451</v>
      </c>
      <c r="M362">
        <v>3.2727684951618714E-2</v>
      </c>
    </row>
    <row r="363" spans="1:13" x14ac:dyDescent="0.3">
      <c r="A363" t="s">
        <v>69</v>
      </c>
      <c r="B363" t="s">
        <v>33</v>
      </c>
      <c r="C363">
        <f t="shared" si="5"/>
        <v>0</v>
      </c>
      <c r="D363">
        <v>-1.0920860560528935E-2</v>
      </c>
      <c r="E363">
        <v>-4.125264898950741</v>
      </c>
      <c r="F363">
        <v>2.2945219899855896E-6</v>
      </c>
      <c r="G363">
        <v>-0.11840301694695406</v>
      </c>
      <c r="H363">
        <v>0.89837606969843864</v>
      </c>
      <c r="I363">
        <v>-37.231411929047731</v>
      </c>
      <c r="J363">
        <v>0.89362956299475782</v>
      </c>
      <c r="K363">
        <v>-0.19307610346008941</v>
      </c>
      <c r="L363">
        <v>0.89362956299475782</v>
      </c>
      <c r="M363">
        <v>-2.2333722165818106E-2</v>
      </c>
    </row>
    <row r="364" spans="1:13" x14ac:dyDescent="0.3">
      <c r="A364" t="s">
        <v>84</v>
      </c>
      <c r="B364" t="s">
        <v>33</v>
      </c>
      <c r="C364">
        <f t="shared" si="5"/>
        <v>0</v>
      </c>
      <c r="D364">
        <v>-7.7541965404279892E-2</v>
      </c>
      <c r="E364">
        <v>-4.4330311753382562E-2</v>
      </c>
      <c r="F364">
        <v>4.3796873923888507E-2</v>
      </c>
      <c r="G364">
        <v>-0.58553011179812842</v>
      </c>
      <c r="H364">
        <v>0.87076962910325151</v>
      </c>
      <c r="I364">
        <v>-0.44537767021618435</v>
      </c>
      <c r="J364">
        <v>0.22648593906708808</v>
      </c>
      <c r="K364">
        <v>-0.36899357044741943</v>
      </c>
      <c r="L364">
        <v>0.14928821991661417</v>
      </c>
      <c r="M364">
        <v>-0.50164336925501019</v>
      </c>
    </row>
    <row r="365" spans="1:13" x14ac:dyDescent="0.3">
      <c r="A365" t="s">
        <v>86</v>
      </c>
      <c r="B365" t="s">
        <v>33</v>
      </c>
      <c r="C365">
        <f t="shared" si="5"/>
        <v>0</v>
      </c>
      <c r="D365">
        <v>-5.975418877606814E-2</v>
      </c>
      <c r="E365">
        <v>-9.5861882716049376</v>
      </c>
      <c r="F365">
        <v>9.6792934300947236E-4</v>
      </c>
      <c r="G365">
        <v>8.0189009622277152E-2</v>
      </c>
      <c r="H365">
        <v>2.0479881442783792</v>
      </c>
      <c r="I365">
        <v>0.93934851379545525</v>
      </c>
      <c r="J365">
        <v>1.1642261410078485</v>
      </c>
      <c r="K365">
        <v>0.40535416508164374</v>
      </c>
      <c r="L365">
        <v>1.1642261410078485</v>
      </c>
      <c r="M365">
        <v>7.6278458751364006E-2</v>
      </c>
    </row>
    <row r="366" spans="1:13" x14ac:dyDescent="0.3">
      <c r="A366" t="s">
        <v>90</v>
      </c>
      <c r="B366" t="s">
        <v>33</v>
      </c>
      <c r="C366">
        <f t="shared" si="5"/>
        <v>0</v>
      </c>
      <c r="D366">
        <v>-2.5046839238428483E-2</v>
      </c>
      <c r="E366">
        <v>-0.44007698855140365</v>
      </c>
      <c r="F366">
        <v>5.766961622551193E-3</v>
      </c>
      <c r="G366">
        <v>-0.46224729654561675</v>
      </c>
      <c r="H366">
        <v>0.76361534651860574</v>
      </c>
      <c r="I366">
        <v>-1.3931461943487271</v>
      </c>
      <c r="J366">
        <v>0.62335107511670673</v>
      </c>
      <c r="K366">
        <v>-0.32736745240043297</v>
      </c>
      <c r="L366">
        <v>0.58417774577166293</v>
      </c>
      <c r="M366">
        <v>-8.0558110573201808E-2</v>
      </c>
    </row>
    <row r="367" spans="1:13" x14ac:dyDescent="0.3">
      <c r="A367" t="s">
        <v>92</v>
      </c>
      <c r="B367" t="s">
        <v>33</v>
      </c>
      <c r="C367">
        <f t="shared" si="5"/>
        <v>0</v>
      </c>
      <c r="D367">
        <v>-0.28377165733796839</v>
      </c>
      <c r="E367">
        <v>-16.828941603555112</v>
      </c>
      <c r="F367">
        <v>2.8418881928163119E-2</v>
      </c>
      <c r="G367">
        <v>-0.38515563674383446</v>
      </c>
      <c r="H367">
        <v>0.96739725749999728</v>
      </c>
      <c r="I367">
        <v>-9.882814898503027E-2</v>
      </c>
      <c r="J367">
        <v>0.62740149330334938</v>
      </c>
      <c r="K367">
        <v>-3.4733561396627817E-2</v>
      </c>
      <c r="L367">
        <v>0.62740149330334938</v>
      </c>
      <c r="M367">
        <v>-3.1331119441996291E-2</v>
      </c>
    </row>
    <row r="368" spans="1:13" x14ac:dyDescent="0.3">
      <c r="A368" t="s">
        <v>98</v>
      </c>
      <c r="B368" t="s">
        <v>33</v>
      </c>
      <c r="C368">
        <f t="shared" si="5"/>
        <v>0</v>
      </c>
      <c r="D368">
        <v>-0.10392869678990953</v>
      </c>
      <c r="E368">
        <v>-2.0036491228070177</v>
      </c>
      <c r="F368">
        <v>8.9282363348792318E-2</v>
      </c>
      <c r="G368">
        <v>-5.3554633750861107E-2</v>
      </c>
      <c r="H368">
        <v>1.1653814500581776</v>
      </c>
      <c r="I368">
        <v>8.3738586205465843E-2</v>
      </c>
      <c r="J368">
        <v>0.52312238923508869</v>
      </c>
      <c r="K368">
        <v>7.8819107864967902E-2</v>
      </c>
      <c r="L368">
        <v>6.8463883399133382E-2</v>
      </c>
      <c r="M368">
        <v>-0.25578546330824842</v>
      </c>
    </row>
    <row r="369" spans="1:13" x14ac:dyDescent="0.3">
      <c r="A369" t="s">
        <v>109</v>
      </c>
      <c r="B369" t="s">
        <v>33</v>
      </c>
      <c r="C369">
        <f t="shared" si="5"/>
        <v>0</v>
      </c>
      <c r="D369">
        <v>-0.10469594479034203</v>
      </c>
      <c r="E369">
        <v>-13.420718144264379</v>
      </c>
      <c r="F369">
        <v>4.5386943872646334E-4</v>
      </c>
      <c r="G369">
        <v>-1.6724767326884138</v>
      </c>
      <c r="H369">
        <v>0.34364498450718273</v>
      </c>
      <c r="I369">
        <v>-8.7850785964938574</v>
      </c>
      <c r="J369">
        <v>0.31577948258357624</v>
      </c>
      <c r="K369">
        <v>-1.9830319828336029</v>
      </c>
      <c r="L369">
        <v>0.26525153764109444</v>
      </c>
      <c r="M369">
        <v>-4.2448239652482849E-3</v>
      </c>
    </row>
    <row r="370" spans="1:13" x14ac:dyDescent="0.3">
      <c r="A370" t="s">
        <v>125</v>
      </c>
      <c r="B370" t="s">
        <v>33</v>
      </c>
      <c r="C370">
        <f t="shared" si="5"/>
        <v>0</v>
      </c>
      <c r="D370">
        <v>7.911706318702711E-3</v>
      </c>
      <c r="E370">
        <v>3.0519976891037203E-2</v>
      </c>
      <c r="F370">
        <v>9.4229277577436441E-4</v>
      </c>
      <c r="G370">
        <v>-1.4398768008451293E-2</v>
      </c>
      <c r="H370">
        <v>1.0078829968512657</v>
      </c>
      <c r="I370">
        <v>-1.8802623162913754</v>
      </c>
      <c r="J370">
        <v>0.98439440141841505</v>
      </c>
      <c r="K370">
        <v>-0.1723097976499175</v>
      </c>
      <c r="L370">
        <v>0.91542792560319963</v>
      </c>
      <c r="M370">
        <v>-45.841583013369103</v>
      </c>
    </row>
    <row r="371" spans="1:13" x14ac:dyDescent="0.3">
      <c r="A371" t="s">
        <v>128</v>
      </c>
      <c r="B371" t="s">
        <v>33</v>
      </c>
      <c r="C371">
        <f t="shared" si="5"/>
        <v>0</v>
      </c>
      <c r="D371">
        <v>-0.2855889290439006</v>
      </c>
      <c r="E371">
        <v>-0.55092573883994722</v>
      </c>
      <c r="F371">
        <v>1.3451104981730784E-2</v>
      </c>
      <c r="G371">
        <v>0.36638969370618951</v>
      </c>
      <c r="H371">
        <v>1.1845028656628536</v>
      </c>
      <c r="I371">
        <v>0.17026772731160719</v>
      </c>
      <c r="J371">
        <v>1.7550448168087127</v>
      </c>
      <c r="K371">
        <v>2.4937087284064817E-2</v>
      </c>
      <c r="L371">
        <v>1.0087762408771253</v>
      </c>
      <c r="M371">
        <v>0.81225934864688187</v>
      </c>
    </row>
    <row r="372" spans="1:13" x14ac:dyDescent="0.3">
      <c r="A372" t="s">
        <v>140</v>
      </c>
      <c r="B372" t="s">
        <v>33</v>
      </c>
      <c r="C372">
        <f t="shared" si="5"/>
        <v>0</v>
      </c>
      <c r="D372">
        <v>4.0147602279937793E-2</v>
      </c>
      <c r="E372">
        <v>0.4964292951950075</v>
      </c>
      <c r="F372">
        <v>4.5921647977049718E-4</v>
      </c>
      <c r="G372">
        <v>1.6402713884486417E-2</v>
      </c>
      <c r="H372">
        <v>1.1761425483859489</v>
      </c>
      <c r="I372">
        <v>0.81427609847860094</v>
      </c>
      <c r="J372">
        <v>1.0194093825775092</v>
      </c>
      <c r="K372">
        <v>0.11278154637577631</v>
      </c>
      <c r="L372">
        <v>1.0132405847729282</v>
      </c>
      <c r="M372">
        <v>7.2437861507383854</v>
      </c>
    </row>
    <row r="373" spans="1:13" x14ac:dyDescent="0.3">
      <c r="A373" t="s">
        <v>145</v>
      </c>
      <c r="B373" t="s">
        <v>33</v>
      </c>
      <c r="C373">
        <f t="shared" si="5"/>
        <v>0</v>
      </c>
      <c r="D373">
        <v>-0.11840990343471711</v>
      </c>
      <c r="E373">
        <v>-38.79267567969098</v>
      </c>
      <c r="F373">
        <v>4.6164106714985951E-3</v>
      </c>
      <c r="G373">
        <v>0.17275340682059467</v>
      </c>
      <c r="H373">
        <v>0.91861547064008953</v>
      </c>
      <c r="I373">
        <v>-17.34474130619169</v>
      </c>
      <c r="J373">
        <v>1.2102417796679206</v>
      </c>
      <c r="K373">
        <v>-8.8594773287675829E-2</v>
      </c>
      <c r="L373">
        <v>0.91351039421816016</v>
      </c>
      <c r="M373">
        <v>1.6880271950184263E-2</v>
      </c>
    </row>
    <row r="374" spans="1:13" x14ac:dyDescent="0.3">
      <c r="A374" t="s">
        <v>147</v>
      </c>
      <c r="B374" t="s">
        <v>33</v>
      </c>
      <c r="C374">
        <f t="shared" si="5"/>
        <v>0</v>
      </c>
      <c r="D374">
        <v>-0.10873891428381373</v>
      </c>
      <c r="E374">
        <v>-0.25447921052580519</v>
      </c>
      <c r="F374">
        <v>5.0960124791958215E-3</v>
      </c>
      <c r="G374">
        <v>-0.20398459569013119</v>
      </c>
      <c r="H374">
        <v>0.85361092939779226</v>
      </c>
      <c r="I374">
        <v>-6.6620416534068809</v>
      </c>
      <c r="J374">
        <v>0.82524918661655311</v>
      </c>
      <c r="K374">
        <v>-0.20907630957052228</v>
      </c>
      <c r="L374">
        <v>0.82228664756640246</v>
      </c>
      <c r="M374">
        <v>-2.242971415639579</v>
      </c>
    </row>
    <row r="375" spans="1:13" x14ac:dyDescent="0.3">
      <c r="A375" t="s">
        <v>153</v>
      </c>
      <c r="B375" t="s">
        <v>33</v>
      </c>
      <c r="C375">
        <f t="shared" si="5"/>
        <v>0</v>
      </c>
      <c r="D375">
        <v>3.3937834308354555E-3</v>
      </c>
      <c r="E375">
        <v>0.72983551327784379</v>
      </c>
      <c r="F375">
        <v>9.3852230643397673E-5</v>
      </c>
      <c r="G375">
        <v>-0.71723275790035024</v>
      </c>
      <c r="H375">
        <v>1.1898929961986044</v>
      </c>
      <c r="I375">
        <v>0.18182499577717059</v>
      </c>
      <c r="J375">
        <v>0.14656976473016403</v>
      </c>
      <c r="K375">
        <v>0.15942798450114587</v>
      </c>
      <c r="L375">
        <v>0.14656976473016403</v>
      </c>
      <c r="M375">
        <v>-6.6052956249406857E-3</v>
      </c>
    </row>
    <row r="376" spans="1:13" x14ac:dyDescent="0.3">
      <c r="A376" t="s">
        <v>174</v>
      </c>
      <c r="B376" t="s">
        <v>33</v>
      </c>
      <c r="C376">
        <f t="shared" si="5"/>
        <v>0</v>
      </c>
      <c r="D376">
        <v>9.1065774842976222E-5</v>
      </c>
      <c r="E376">
        <v>0.1619131197893813</v>
      </c>
      <c r="F376">
        <v>0</v>
      </c>
      <c r="G376">
        <v>0.1081477558418709</v>
      </c>
      <c r="H376">
        <v>1.1492508687454037</v>
      </c>
      <c r="I376">
        <v>0.18904393659911886</v>
      </c>
      <c r="J376">
        <v>1.537979067614512</v>
      </c>
      <c r="K376">
        <v>0.12986796251747501</v>
      </c>
      <c r="L376">
        <v>0.35531815578820247</v>
      </c>
      <c r="M376">
        <v>5.5469961275687405E-3</v>
      </c>
    </row>
    <row r="377" spans="1:13" x14ac:dyDescent="0.3">
      <c r="A377" t="s">
        <v>190</v>
      </c>
      <c r="B377" t="s">
        <v>33</v>
      </c>
      <c r="C377">
        <f t="shared" si="5"/>
        <v>0</v>
      </c>
      <c r="D377">
        <v>6.7785126020957955E-3</v>
      </c>
      <c r="E377">
        <v>2.7171362678016502E-2</v>
      </c>
      <c r="F377">
        <v>1.606160677411789E-2</v>
      </c>
      <c r="G377">
        <v>0.49152138242549542</v>
      </c>
      <c r="H377">
        <v>1.5699409100888027</v>
      </c>
      <c r="I377">
        <v>2.3579891702163311</v>
      </c>
      <c r="J377">
        <v>2.3362146789315621</v>
      </c>
      <c r="K377">
        <v>0.33160991103730281</v>
      </c>
      <c r="L377">
        <v>1.3491561956786819</v>
      </c>
      <c r="M377">
        <v>2.0782316379654575</v>
      </c>
    </row>
    <row r="378" spans="1:13" x14ac:dyDescent="0.3">
      <c r="A378" t="s">
        <v>192</v>
      </c>
      <c r="B378" t="s">
        <v>33</v>
      </c>
      <c r="C378">
        <f t="shared" si="5"/>
        <v>0</v>
      </c>
      <c r="D378">
        <v>-4.928994130513864E-2</v>
      </c>
      <c r="E378">
        <v>-1.1979068726214461</v>
      </c>
      <c r="F378">
        <v>1.6821941429113987E-2</v>
      </c>
      <c r="G378">
        <v>-3.6704184512407222E-2</v>
      </c>
      <c r="H378">
        <v>0.96473748507399637</v>
      </c>
      <c r="I378" t="e">
        <v>#DIV/0!</v>
      </c>
      <c r="J378">
        <v>0.96459009734180834</v>
      </c>
      <c r="K378">
        <v>-3.6757283127092311E-2</v>
      </c>
      <c r="L378">
        <v>0.96459009734180834</v>
      </c>
      <c r="M378">
        <v>-0.75581838024415626</v>
      </c>
    </row>
    <row r="379" spans="1:13" x14ac:dyDescent="0.3">
      <c r="A379" t="s">
        <v>206</v>
      </c>
      <c r="B379" t="s">
        <v>33</v>
      </c>
      <c r="C379">
        <f t="shared" si="5"/>
        <v>0</v>
      </c>
      <c r="D379">
        <v>-0.18967505297890322</v>
      </c>
      <c r="E379">
        <v>-0.31860216388890455</v>
      </c>
      <c r="F379">
        <v>8.616568191862399E-3</v>
      </c>
      <c r="G379">
        <v>-0.42076791457086793</v>
      </c>
      <c r="H379">
        <v>0.97837553762920837</v>
      </c>
      <c r="I379">
        <v>-0.16220799193746549</v>
      </c>
      <c r="J379">
        <v>0.49526756517556941</v>
      </c>
      <c r="K379">
        <v>-9.5235950596453608E-2</v>
      </c>
      <c r="L379">
        <v>0.40394931328906919</v>
      </c>
      <c r="M379">
        <v>-1.2334837644085761</v>
      </c>
    </row>
    <row r="380" spans="1:13" x14ac:dyDescent="0.3">
      <c r="A380" t="s">
        <v>210</v>
      </c>
      <c r="B380" t="s">
        <v>33</v>
      </c>
      <c r="C380">
        <f t="shared" si="5"/>
        <v>0</v>
      </c>
      <c r="D380">
        <v>-4.6163843699636416E-3</v>
      </c>
      <c r="E380">
        <v>-0.21148979591836733</v>
      </c>
      <c r="F380">
        <v>0</v>
      </c>
      <c r="G380">
        <v>0.719121385389215</v>
      </c>
      <c r="H380">
        <v>1.0397036597757456</v>
      </c>
      <c r="I380">
        <v>10.083593009077362</v>
      </c>
      <c r="J380">
        <v>3.5860287569434122</v>
      </c>
      <c r="K380">
        <v>2.8225905849934375E-2</v>
      </c>
      <c r="L380">
        <v>1.0367933303340235</v>
      </c>
      <c r="M380">
        <v>2.5841115112675173E-2</v>
      </c>
    </row>
    <row r="381" spans="1:13" x14ac:dyDescent="0.3">
      <c r="A381" t="s">
        <v>216</v>
      </c>
      <c r="B381" t="s">
        <v>33</v>
      </c>
      <c r="C381">
        <f t="shared" si="5"/>
        <v>0</v>
      </c>
      <c r="D381">
        <v>-4.8927697660814222E-2</v>
      </c>
      <c r="E381">
        <v>-0.21592586546443496</v>
      </c>
      <c r="F381">
        <v>1.2157949923772856E-2</v>
      </c>
      <c r="G381">
        <v>-0.43029628077318405</v>
      </c>
      <c r="H381">
        <v>1.0236982220714848</v>
      </c>
      <c r="I381">
        <v>-0.11696417050955966</v>
      </c>
      <c r="J381">
        <v>0.55950646240851898</v>
      </c>
      <c r="K381">
        <v>-5.2828787833428141E-2</v>
      </c>
      <c r="L381">
        <v>0.55950646240851898</v>
      </c>
      <c r="M381">
        <v>-0.26707971973739991</v>
      </c>
    </row>
    <row r="382" spans="1:13" x14ac:dyDescent="0.3">
      <c r="A382" t="s">
        <v>224</v>
      </c>
      <c r="B382" t="s">
        <v>33</v>
      </c>
      <c r="C382">
        <f t="shared" si="5"/>
        <v>0</v>
      </c>
      <c r="D382">
        <v>-1.1393271149306321</v>
      </c>
      <c r="E382">
        <v>-113.39282902307554</v>
      </c>
      <c r="F382">
        <v>8.3629958341826992E-6</v>
      </c>
      <c r="G382">
        <v>0.53844882463569588</v>
      </c>
      <c r="H382">
        <v>0.42666717478652288</v>
      </c>
      <c r="I382">
        <v>-6.5710504251035919</v>
      </c>
      <c r="J382">
        <v>3.1090757497731678</v>
      </c>
      <c r="K382">
        <v>-1.3541815355823064</v>
      </c>
      <c r="L382">
        <v>0.33866692974928381</v>
      </c>
      <c r="M382">
        <v>1.2798331899324854E-2</v>
      </c>
    </row>
    <row r="383" spans="1:13" x14ac:dyDescent="0.3">
      <c r="A383" t="s">
        <v>327</v>
      </c>
      <c r="B383" t="s">
        <v>33</v>
      </c>
      <c r="C383">
        <f t="shared" si="5"/>
        <v>0</v>
      </c>
      <c r="D383">
        <v>-7.6313456402869583E-3</v>
      </c>
      <c r="E383">
        <v>-1.1229206320735681E-2</v>
      </c>
      <c r="F383">
        <v>3.4694840127114389E-4</v>
      </c>
      <c r="G383">
        <v>0.29822866980171642</v>
      </c>
      <c r="H383">
        <v>1.3515375443220685</v>
      </c>
      <c r="I383">
        <v>24.58213224777203</v>
      </c>
      <c r="J383">
        <v>1.4314523374876353</v>
      </c>
      <c r="K383">
        <v>0.25936364913290838</v>
      </c>
      <c r="L383">
        <v>1.3372776051962723</v>
      </c>
      <c r="M383">
        <v>3.2985983254640785</v>
      </c>
    </row>
    <row r="384" spans="1:13" x14ac:dyDescent="0.3">
      <c r="A384" t="s">
        <v>333</v>
      </c>
      <c r="B384" t="s">
        <v>33</v>
      </c>
      <c r="C384">
        <f t="shared" si="5"/>
        <v>0</v>
      </c>
      <c r="D384">
        <v>-0.33189327396366192</v>
      </c>
      <c r="E384">
        <v>-2.4088712110483765</v>
      </c>
      <c r="F384">
        <v>1.9320968304237139E-3</v>
      </c>
      <c r="G384">
        <v>-1.3296048581730064</v>
      </c>
      <c r="H384">
        <v>0.44933149959004204</v>
      </c>
      <c r="I384">
        <v>-114.20373321192807</v>
      </c>
      <c r="J384">
        <v>0.40256665521491791</v>
      </c>
      <c r="K384">
        <v>-1.2255283702842401</v>
      </c>
      <c r="L384">
        <v>0.40256665521491791</v>
      </c>
      <c r="M384">
        <v>-0.14919355579520965</v>
      </c>
    </row>
    <row r="385" spans="1:13" x14ac:dyDescent="0.3">
      <c r="A385" t="s">
        <v>194</v>
      </c>
      <c r="B385" t="s">
        <v>33</v>
      </c>
      <c r="C385">
        <f t="shared" si="5"/>
        <v>0</v>
      </c>
      <c r="D385">
        <v>2.8680648655828068E-2</v>
      </c>
      <c r="E385">
        <v>4.7966987709100739E-2</v>
      </c>
      <c r="F385">
        <v>2.2717761702636456E-4</v>
      </c>
      <c r="G385">
        <v>9.0642419231422966E-2</v>
      </c>
      <c r="H385">
        <v>1.0729960775484995</v>
      </c>
      <c r="I385">
        <v>0.27016880077687627</v>
      </c>
      <c r="J385">
        <v>1.1145549861809168</v>
      </c>
      <c r="K385">
        <v>3.1698214938334406E-2</v>
      </c>
      <c r="L385">
        <v>0.94627447273373444</v>
      </c>
      <c r="M385">
        <v>12.350025586163552</v>
      </c>
    </row>
    <row r="386" spans="1:13" x14ac:dyDescent="0.3">
      <c r="A386" t="s">
        <v>244</v>
      </c>
      <c r="B386" t="s">
        <v>33</v>
      </c>
      <c r="C386">
        <f t="shared" si="5"/>
        <v>0</v>
      </c>
      <c r="D386">
        <v>1.7435721590601722E-2</v>
      </c>
      <c r="E386">
        <v>0.14675166473270387</v>
      </c>
      <c r="F386">
        <v>1.2461225561533977E-5</v>
      </c>
      <c r="G386">
        <v>0.20169188190189674</v>
      </c>
      <c r="H386">
        <v>1.0459964334925511</v>
      </c>
      <c r="I386">
        <v>6.3118735602961468E-2</v>
      </c>
      <c r="J386">
        <v>1.9933427254170677</v>
      </c>
      <c r="K386">
        <v>3.7572343801592252E-2</v>
      </c>
      <c r="L386">
        <v>0.42335186941833786</v>
      </c>
      <c r="M386">
        <v>0.59029789024019375</v>
      </c>
    </row>
    <row r="387" spans="1:13" x14ac:dyDescent="0.3">
      <c r="A387" t="s">
        <v>253</v>
      </c>
      <c r="B387" t="s">
        <v>33</v>
      </c>
      <c r="C387">
        <f t="shared" ref="C387:C415" si="6">IF(B387="Attiva", 1, 0)</f>
        <v>0</v>
      </c>
      <c r="D387">
        <v>-3.0762295138362178E-2</v>
      </c>
      <c r="E387">
        <v>-0.21064985692365112</v>
      </c>
      <c r="F387">
        <v>2.8373870645280234E-3</v>
      </c>
      <c r="G387">
        <v>-4.0004171016527652E-2</v>
      </c>
      <c r="H387">
        <v>0.9886722245631534</v>
      </c>
      <c r="I387">
        <v>-0.41962749803555122</v>
      </c>
      <c r="J387">
        <v>0.96044898724928485</v>
      </c>
      <c r="K387">
        <v>-1.1978941216554571E-2</v>
      </c>
      <c r="L387">
        <v>0.96044898724928485</v>
      </c>
      <c r="M387">
        <v>-1.8271299972721484</v>
      </c>
    </row>
    <row r="388" spans="1:13" x14ac:dyDescent="0.3">
      <c r="A388" t="s">
        <v>263</v>
      </c>
      <c r="B388" t="s">
        <v>33</v>
      </c>
      <c r="C388">
        <f t="shared" si="6"/>
        <v>0</v>
      </c>
      <c r="D388">
        <v>-0.20203145494262517</v>
      </c>
      <c r="E388">
        <v>-1.5584367341674192</v>
      </c>
      <c r="F388">
        <v>1.1650523894933245E-6</v>
      </c>
      <c r="G388">
        <v>-0.31595226958330436</v>
      </c>
      <c r="H388">
        <v>0.85868132882347803</v>
      </c>
      <c r="I388">
        <v>-1.3576874738165061</v>
      </c>
      <c r="J388">
        <v>0.72869768530941448</v>
      </c>
      <c r="K388">
        <v>-0.20426813692804277</v>
      </c>
      <c r="L388">
        <v>0.72869768530941448</v>
      </c>
      <c r="M388">
        <v>-0.40701752175519934</v>
      </c>
    </row>
    <row r="389" spans="1:13" x14ac:dyDescent="0.3">
      <c r="A389" t="s">
        <v>267</v>
      </c>
      <c r="B389" t="s">
        <v>33</v>
      </c>
      <c r="C389">
        <f t="shared" si="6"/>
        <v>0</v>
      </c>
      <c r="D389">
        <v>-0.18557635375569378</v>
      </c>
      <c r="E389">
        <v>-0.49123719407618016</v>
      </c>
      <c r="F389">
        <v>9.4347653675574458E-3</v>
      </c>
      <c r="G389">
        <v>-0.22852444400690783</v>
      </c>
      <c r="H389">
        <v>0.96671498837531156</v>
      </c>
      <c r="I389">
        <v>-0.13483863637254095</v>
      </c>
      <c r="J389">
        <v>0.66307831945966289</v>
      </c>
      <c r="K389">
        <v>-7.1577676112142177E-2</v>
      </c>
      <c r="L389">
        <v>0.43477742189945195</v>
      </c>
      <c r="M389">
        <v>-1.8608491997039089</v>
      </c>
    </row>
    <row r="390" spans="1:13" x14ac:dyDescent="0.3">
      <c r="A390" t="s">
        <v>281</v>
      </c>
      <c r="B390" t="s">
        <v>33</v>
      </c>
      <c r="C390">
        <f t="shared" si="6"/>
        <v>0</v>
      </c>
      <c r="D390">
        <v>-0.76061967472851244</v>
      </c>
      <c r="E390">
        <v>-1.7688598064052583</v>
      </c>
      <c r="F390">
        <v>1.4055821175744001E-2</v>
      </c>
      <c r="G390">
        <v>-0.79062200074126709</v>
      </c>
      <c r="H390">
        <v>0.50399123608410235</v>
      </c>
      <c r="I390">
        <v>-31.475175347821089</v>
      </c>
      <c r="J390">
        <v>0.54916009934279086</v>
      </c>
      <c r="K390">
        <v>-1.1076099640534036</v>
      </c>
      <c r="L390">
        <v>0.48536505983999173</v>
      </c>
      <c r="M390">
        <v>-0.79634161694758077</v>
      </c>
    </row>
    <row r="391" spans="1:13" x14ac:dyDescent="0.3">
      <c r="A391" t="s">
        <v>283</v>
      </c>
      <c r="B391" t="s">
        <v>33</v>
      </c>
      <c r="C391">
        <f t="shared" si="6"/>
        <v>0</v>
      </c>
      <c r="D391">
        <v>-6.3451226182019344E-2</v>
      </c>
      <c r="E391">
        <v>0.46872000000000003</v>
      </c>
      <c r="F391">
        <v>1.1702162261791608E-2</v>
      </c>
      <c r="G391">
        <v>9.2213143013358145E-2</v>
      </c>
      <c r="H391">
        <v>8.7784471647190365</v>
      </c>
      <c r="I391">
        <v>1.002176282557077</v>
      </c>
      <c r="J391">
        <v>4.9071286175843811</v>
      </c>
      <c r="K391">
        <v>0.8860846364697571</v>
      </c>
      <c r="L391">
        <v>1.0166705832923868</v>
      </c>
      <c r="M391">
        <v>0.10996358006228336</v>
      </c>
    </row>
    <row r="392" spans="1:13" x14ac:dyDescent="0.3">
      <c r="A392" t="s">
        <v>287</v>
      </c>
      <c r="B392" t="s">
        <v>33</v>
      </c>
      <c r="C392">
        <f t="shared" si="6"/>
        <v>0</v>
      </c>
      <c r="D392">
        <v>-9.7109598866879764E-3</v>
      </c>
      <c r="E392">
        <v>9.089514866979656E-2</v>
      </c>
      <c r="F392">
        <v>1.7759133870234096E-2</v>
      </c>
      <c r="G392">
        <v>-7.1389652835043754E-2</v>
      </c>
      <c r="H392">
        <v>1.300359534513966</v>
      </c>
      <c r="I392">
        <v>0.57206066645851428</v>
      </c>
      <c r="J392">
        <v>0.87485279203184829</v>
      </c>
      <c r="K392">
        <v>0.23098191426437384</v>
      </c>
      <c r="L392">
        <v>0.6489519378034484</v>
      </c>
      <c r="M392">
        <v>-3.8644830422371665</v>
      </c>
    </row>
    <row r="393" spans="1:13" x14ac:dyDescent="0.3">
      <c r="A393" t="s">
        <v>299</v>
      </c>
      <c r="B393" t="s">
        <v>33</v>
      </c>
      <c r="C393">
        <f t="shared" si="6"/>
        <v>0</v>
      </c>
      <c r="D393">
        <v>2.6308372539061678E-3</v>
      </c>
      <c r="E393">
        <v>0.10221951219512194</v>
      </c>
      <c r="F393">
        <v>4.5860528067202453E-4</v>
      </c>
      <c r="G393">
        <v>-0.40587766028169509</v>
      </c>
      <c r="H393">
        <v>0.69790517714408029</v>
      </c>
      <c r="I393">
        <v>-9.4802003853564543</v>
      </c>
      <c r="J393">
        <v>0.69840799381929342</v>
      </c>
      <c r="K393">
        <v>-0.54515542870312095</v>
      </c>
      <c r="L393">
        <v>0.65596541683343557</v>
      </c>
      <c r="M393">
        <v>-8.9539396242402799E-2</v>
      </c>
    </row>
    <row r="394" spans="1:13" x14ac:dyDescent="0.3">
      <c r="A394" t="s">
        <v>305</v>
      </c>
      <c r="B394" t="s">
        <v>33</v>
      </c>
      <c r="C394">
        <f t="shared" si="6"/>
        <v>0</v>
      </c>
      <c r="D394">
        <v>-0.39753901569492489</v>
      </c>
      <c r="E394">
        <v>-3.4572539178783184</v>
      </c>
      <c r="F394">
        <v>4.869757456416865E-2</v>
      </c>
      <c r="G394">
        <v>-0.9232849335026756</v>
      </c>
      <c r="H394">
        <v>0.53907364354433551</v>
      </c>
      <c r="I394">
        <v>-12.149543566369113</v>
      </c>
      <c r="J394">
        <v>0.4956631976762052</v>
      </c>
      <c r="K394">
        <v>-0.91751433115553171</v>
      </c>
      <c r="L394">
        <v>0.48915878905758076</v>
      </c>
      <c r="M394">
        <v>-0.12593203815314963</v>
      </c>
    </row>
    <row r="395" spans="1:13" x14ac:dyDescent="0.3">
      <c r="A395" t="s">
        <v>315</v>
      </c>
      <c r="B395" t="s">
        <v>33</v>
      </c>
      <c r="C395">
        <f t="shared" si="6"/>
        <v>0</v>
      </c>
      <c r="D395">
        <v>-0.21663725372939124</v>
      </c>
      <c r="E395">
        <v>-0.5091188933084847</v>
      </c>
      <c r="F395">
        <v>2.9546283414153152E-2</v>
      </c>
      <c r="G395">
        <v>-0.16901715780839471</v>
      </c>
      <c r="H395">
        <v>0.93396132907341145</v>
      </c>
      <c r="I395">
        <v>-1.0072640690893682</v>
      </c>
      <c r="J395">
        <v>0.8421445106570612</v>
      </c>
      <c r="K395">
        <v>-9.9023138592522125E-2</v>
      </c>
      <c r="L395">
        <v>0.8421445106570612</v>
      </c>
      <c r="M395">
        <v>-2.5316417069621147</v>
      </c>
    </row>
    <row r="396" spans="1:13" x14ac:dyDescent="0.3">
      <c r="A396" t="s">
        <v>321</v>
      </c>
      <c r="B396" t="s">
        <v>33</v>
      </c>
      <c r="C396">
        <f t="shared" si="6"/>
        <v>0</v>
      </c>
      <c r="D396">
        <v>0.26554859457716912</v>
      </c>
      <c r="E396">
        <v>1.0027850628719031</v>
      </c>
      <c r="F396">
        <v>7.3627663631912598E-4</v>
      </c>
      <c r="G396">
        <v>-1.32136117300762</v>
      </c>
      <c r="H396">
        <v>0.50687518580264235</v>
      </c>
      <c r="I396">
        <v>-3.0695866948071129</v>
      </c>
      <c r="J396">
        <v>0.32574831538147536</v>
      </c>
      <c r="K396">
        <v>-1.1090842067618498</v>
      </c>
      <c r="L396">
        <v>0.32358077457879625</v>
      </c>
      <c r="M396">
        <v>-0.21020469345946938</v>
      </c>
    </row>
    <row r="397" spans="1:13" x14ac:dyDescent="0.3">
      <c r="A397" t="s">
        <v>335</v>
      </c>
      <c r="B397" t="s">
        <v>33</v>
      </c>
      <c r="C397">
        <f t="shared" si="6"/>
        <v>0</v>
      </c>
      <c r="D397">
        <v>-0.74567743162170153</v>
      </c>
      <c r="E397">
        <v>-0.38412781668074442</v>
      </c>
      <c r="F397">
        <v>2.7047719870046248E-2</v>
      </c>
      <c r="G397">
        <v>-0.42852277916375353</v>
      </c>
      <c r="H397">
        <v>0.5690237444940065</v>
      </c>
      <c r="I397">
        <v>-21.925585882792319</v>
      </c>
      <c r="J397">
        <v>0.69021324055328592</v>
      </c>
      <c r="K397">
        <v>-0.90875564029070233</v>
      </c>
      <c r="L397">
        <v>0.54328127488753131</v>
      </c>
      <c r="M397">
        <v>-5.3029421857785319</v>
      </c>
    </row>
    <row r="398" spans="1:13" x14ac:dyDescent="0.3">
      <c r="A398" t="s">
        <v>341</v>
      </c>
      <c r="B398" t="s">
        <v>33</v>
      </c>
      <c r="C398">
        <f t="shared" si="6"/>
        <v>0</v>
      </c>
      <c r="D398">
        <v>-0.52050746490864275</v>
      </c>
      <c r="E398">
        <v>-0.4323049520274671</v>
      </c>
      <c r="F398">
        <v>7.2311416250423971E-3</v>
      </c>
      <c r="G398">
        <v>-0.2727250593133449</v>
      </c>
      <c r="H398">
        <v>0.66429986018409692</v>
      </c>
      <c r="I398">
        <v>-27.694282380396732</v>
      </c>
      <c r="J398">
        <v>0.78056895093753165</v>
      </c>
      <c r="K398">
        <v>-0.54576122625099088</v>
      </c>
      <c r="L398">
        <v>0.64446954421453295</v>
      </c>
      <c r="M398">
        <v>-4.6529232631035988</v>
      </c>
    </row>
    <row r="399" spans="1:13" x14ac:dyDescent="0.3">
      <c r="A399" t="s">
        <v>366</v>
      </c>
      <c r="B399" t="s">
        <v>33</v>
      </c>
      <c r="C399">
        <f t="shared" si="6"/>
        <v>0</v>
      </c>
      <c r="D399">
        <v>-0.89045717535191071</v>
      </c>
      <c r="E399">
        <v>-5.2738804813248725</v>
      </c>
      <c r="F399">
        <v>3.881895365104449E-4</v>
      </c>
      <c r="G399">
        <v>-1.3787548804678775</v>
      </c>
      <c r="H399">
        <v>0.36163446135915911</v>
      </c>
      <c r="I399">
        <v>-36.40863245327796</v>
      </c>
      <c r="J399">
        <v>0.40434338050536806</v>
      </c>
      <c r="K399">
        <v>-1.7658130756074621</v>
      </c>
      <c r="L399">
        <v>0.33846302931288907</v>
      </c>
      <c r="M399">
        <v>-0.24400669408476131</v>
      </c>
    </row>
    <row r="400" spans="1:13" x14ac:dyDescent="0.3">
      <c r="A400" t="s">
        <v>428</v>
      </c>
      <c r="B400" t="s">
        <v>33</v>
      </c>
      <c r="C400">
        <f t="shared" si="6"/>
        <v>0</v>
      </c>
      <c r="D400">
        <v>-0.23449840332806496</v>
      </c>
      <c r="E400">
        <v>-8.5783088570646733</v>
      </c>
      <c r="F400">
        <v>3.5624118239990124E-3</v>
      </c>
      <c r="G400">
        <v>-2.7686564596593843</v>
      </c>
      <c r="H400">
        <v>0.26534655273152202</v>
      </c>
      <c r="I400" t="e">
        <v>#DIV/0!</v>
      </c>
      <c r="J400">
        <v>0.26534655273152202</v>
      </c>
      <c r="K400">
        <v>-2.7686564596593843</v>
      </c>
      <c r="L400">
        <v>0.26534655273152202</v>
      </c>
      <c r="M400">
        <v>-1.5137268222230505E-2</v>
      </c>
    </row>
    <row r="401" spans="1:13" x14ac:dyDescent="0.3">
      <c r="A401" t="s">
        <v>277</v>
      </c>
      <c r="B401" t="s">
        <v>33</v>
      </c>
      <c r="C401">
        <f t="shared" si="6"/>
        <v>0</v>
      </c>
      <c r="D401">
        <v>7.9443672886097855E-2</v>
      </c>
      <c r="E401">
        <v>8.3294853041888717E-2</v>
      </c>
      <c r="F401">
        <v>1.8326568111584399E-2</v>
      </c>
      <c r="G401">
        <v>5.9957096722432622E-2</v>
      </c>
      <c r="H401">
        <v>1.3071266830114603</v>
      </c>
      <c r="I401">
        <v>1.102894835229397</v>
      </c>
      <c r="J401">
        <v>1.0783715209617908</v>
      </c>
      <c r="K401">
        <v>0.19301333989708822</v>
      </c>
      <c r="L401">
        <v>1.0783715209617908</v>
      </c>
      <c r="M401">
        <v>22.479317691688102</v>
      </c>
    </row>
    <row r="402" spans="1:13" x14ac:dyDescent="0.3">
      <c r="A402" t="s">
        <v>349</v>
      </c>
      <c r="B402" t="s">
        <v>33</v>
      </c>
      <c r="C402">
        <f t="shared" si="6"/>
        <v>0</v>
      </c>
      <c r="D402">
        <v>2.6258235823195003E-2</v>
      </c>
      <c r="E402">
        <v>3.6480298363927473E-2</v>
      </c>
      <c r="F402">
        <v>8.5541199052417815E-3</v>
      </c>
      <c r="G402">
        <v>0.55483908086003209</v>
      </c>
      <c r="H402">
        <v>1.2931125960064449</v>
      </c>
      <c r="I402">
        <v>9.26245872686785</v>
      </c>
      <c r="J402">
        <v>2.3533643548267968</v>
      </c>
      <c r="K402">
        <v>0.18263039242256093</v>
      </c>
      <c r="L402">
        <v>1.2476070583214069</v>
      </c>
      <c r="M402">
        <v>1.5833233278030039</v>
      </c>
    </row>
    <row r="403" spans="1:13" x14ac:dyDescent="0.3">
      <c r="A403" t="s">
        <v>353</v>
      </c>
      <c r="B403" t="s">
        <v>33</v>
      </c>
      <c r="C403">
        <f t="shared" si="6"/>
        <v>0</v>
      </c>
      <c r="D403">
        <v>-0.11115336878049023</v>
      </c>
      <c r="E403">
        <v>-1.7594159140008852</v>
      </c>
      <c r="F403">
        <v>5.0346604908164644E-5</v>
      </c>
      <c r="G403">
        <v>-0.59469032629864294</v>
      </c>
      <c r="H403">
        <v>0.47503781811545231</v>
      </c>
      <c r="I403">
        <v>-91.267380368889462</v>
      </c>
      <c r="J403">
        <v>0.62351370858504473</v>
      </c>
      <c r="K403">
        <v>-1.1050955563225535</v>
      </c>
      <c r="L403">
        <v>0.46785998060685563</v>
      </c>
      <c r="M403">
        <v>-0.1008950002888792</v>
      </c>
    </row>
    <row r="404" spans="1:13" x14ac:dyDescent="0.3">
      <c r="A404" t="s">
        <v>378</v>
      </c>
      <c r="B404" t="s">
        <v>33</v>
      </c>
      <c r="C404">
        <f t="shared" si="6"/>
        <v>0</v>
      </c>
      <c r="D404">
        <v>-1.0155701806759626E-2</v>
      </c>
      <c r="E404">
        <v>-5.4119988833731834E-2</v>
      </c>
      <c r="F404">
        <v>1.6115516018822921E-5</v>
      </c>
      <c r="G404">
        <v>6.3159684528558538E-2</v>
      </c>
      <c r="H404">
        <v>1.2906131750341123</v>
      </c>
      <c r="I404">
        <v>1.2762536496104842</v>
      </c>
      <c r="J404">
        <v>1.0815147209835558</v>
      </c>
      <c r="K404">
        <v>0.20677199820378339</v>
      </c>
      <c r="L404">
        <v>1.0815147209835558</v>
      </c>
      <c r="M404">
        <v>2.8436184165113554</v>
      </c>
    </row>
    <row r="405" spans="1:13" x14ac:dyDescent="0.3">
      <c r="A405" t="s">
        <v>382</v>
      </c>
      <c r="B405" t="s">
        <v>33</v>
      </c>
      <c r="C405">
        <f t="shared" si="6"/>
        <v>0</v>
      </c>
      <c r="D405">
        <v>-0.17983397306798965</v>
      </c>
      <c r="E405">
        <v>-0.36565677325066936</v>
      </c>
      <c r="F405">
        <v>3.0483932427283116E-5</v>
      </c>
      <c r="G405">
        <v>-0.61049878657582823</v>
      </c>
      <c r="H405">
        <v>0.62605298203374937</v>
      </c>
      <c r="I405">
        <v>-62.129875120076854</v>
      </c>
      <c r="J405">
        <v>0.61779541413621719</v>
      </c>
      <c r="K405">
        <v>-0.73415227167988317</v>
      </c>
      <c r="L405">
        <v>0.61779541413621719</v>
      </c>
      <c r="M405">
        <v>-0.65137699968019991</v>
      </c>
    </row>
    <row r="406" spans="1:13" x14ac:dyDescent="0.3">
      <c r="A406" t="s">
        <v>384</v>
      </c>
      <c r="B406" t="s">
        <v>33</v>
      </c>
      <c r="C406">
        <f t="shared" si="6"/>
        <v>0</v>
      </c>
      <c r="D406">
        <v>-3.205385358505395E-2</v>
      </c>
      <c r="E406">
        <v>-4.2551351351351352E-2</v>
      </c>
      <c r="F406">
        <v>1.7529722036168788E-2</v>
      </c>
      <c r="G406">
        <v>0.32992610414160506</v>
      </c>
      <c r="H406">
        <v>0.69879990713090545</v>
      </c>
      <c r="I406" t="e">
        <v>#DIV/0!</v>
      </c>
      <c r="J406">
        <v>1.5162025833790425</v>
      </c>
      <c r="K406">
        <v>-0.43102480380363178</v>
      </c>
      <c r="L406">
        <v>0.67718382476562566</v>
      </c>
      <c r="M406">
        <v>0.64241464566491657</v>
      </c>
    </row>
    <row r="407" spans="1:13" x14ac:dyDescent="0.3">
      <c r="A407" t="s">
        <v>400</v>
      </c>
      <c r="B407" t="s">
        <v>33</v>
      </c>
      <c r="C407">
        <f t="shared" si="6"/>
        <v>0</v>
      </c>
      <c r="D407">
        <v>1.5433705153834326E-2</v>
      </c>
      <c r="E407">
        <v>6.4924177502887592E-2</v>
      </c>
      <c r="F407">
        <v>2.1744027738327277E-2</v>
      </c>
      <c r="G407">
        <v>0.29110512129380056</v>
      </c>
      <c r="H407">
        <v>1.1068566587932676</v>
      </c>
      <c r="I407">
        <v>1.4585769285612433</v>
      </c>
      <c r="J407">
        <v>1.4352674376354728</v>
      </c>
      <c r="K407">
        <v>5.7142857142857141E-2</v>
      </c>
      <c r="L407">
        <v>1.062472948072666</v>
      </c>
      <c r="M407">
        <v>2.5752254845519094</v>
      </c>
    </row>
    <row r="408" spans="1:13" x14ac:dyDescent="0.3">
      <c r="A408" t="s">
        <v>402</v>
      </c>
      <c r="B408" t="s">
        <v>33</v>
      </c>
      <c r="C408">
        <f t="shared" si="6"/>
        <v>0</v>
      </c>
      <c r="D408">
        <v>1.8005795935531647E-2</v>
      </c>
      <c r="E408">
        <v>2.7928921028264032E-2</v>
      </c>
      <c r="F408">
        <v>1.5342041220229249E-5</v>
      </c>
      <c r="G408">
        <v>4.1756627293472279E-2</v>
      </c>
      <c r="H408">
        <v>1.0471075105287786</v>
      </c>
      <c r="I408">
        <v>15.385393258426966</v>
      </c>
      <c r="J408">
        <v>1.0437236780533459</v>
      </c>
      <c r="K408">
        <v>3.8245718898295381E-2</v>
      </c>
      <c r="L408">
        <v>1.0437236780533459</v>
      </c>
      <c r="M408">
        <v>15.16989966555184</v>
      </c>
    </row>
    <row r="409" spans="1:13" x14ac:dyDescent="0.3">
      <c r="A409" t="s">
        <v>410</v>
      </c>
      <c r="B409" t="s">
        <v>33</v>
      </c>
      <c r="C409">
        <f t="shared" si="6"/>
        <v>0</v>
      </c>
      <c r="D409">
        <v>-3.3742778937369544</v>
      </c>
      <c r="E409">
        <v>-2782.6701030927834</v>
      </c>
      <c r="F409">
        <v>2.8245803472288812E-2</v>
      </c>
      <c r="G409">
        <v>-16.384976837678916</v>
      </c>
      <c r="H409">
        <v>5.7520927944676573E-2</v>
      </c>
      <c r="I409" t="e">
        <v>#DIV/0!</v>
      </c>
      <c r="J409">
        <v>5.7520927944676573E-2</v>
      </c>
      <c r="K409">
        <v>-16.384976837678916</v>
      </c>
      <c r="L409">
        <v>5.7520927944676573E-2</v>
      </c>
      <c r="M409">
        <v>-6.8390157387256264E-5</v>
      </c>
    </row>
    <row r="410" spans="1:13" x14ac:dyDescent="0.3">
      <c r="A410" t="s">
        <v>416</v>
      </c>
      <c r="B410" t="s">
        <v>33</v>
      </c>
      <c r="C410">
        <f t="shared" si="6"/>
        <v>0</v>
      </c>
      <c r="D410">
        <v>-5.0518881804806279E-2</v>
      </c>
      <c r="E410">
        <v>0.16416015252621546</v>
      </c>
      <c r="F410">
        <v>4.5710712294501459E-2</v>
      </c>
      <c r="G410">
        <v>4.2797326278961739E-2</v>
      </c>
      <c r="H410">
        <v>1.6299925896491361</v>
      </c>
      <c r="I410">
        <v>1.0557461899741205</v>
      </c>
      <c r="J410">
        <v>1.069759324691504</v>
      </c>
      <c r="K410">
        <v>0.36286308215861135</v>
      </c>
      <c r="L410">
        <v>1.069759324691504</v>
      </c>
      <c r="M410">
        <v>20.187052574859518</v>
      </c>
    </row>
    <row r="411" spans="1:13" x14ac:dyDescent="0.3">
      <c r="A411" t="s">
        <v>418</v>
      </c>
      <c r="B411" t="s">
        <v>33</v>
      </c>
      <c r="C411">
        <f t="shared" si="6"/>
        <v>0</v>
      </c>
      <c r="D411">
        <v>-0.39347920849736007</v>
      </c>
      <c r="E411">
        <v>-0.52352297311880447</v>
      </c>
      <c r="F411">
        <v>4.4892648015614836E-3</v>
      </c>
      <c r="G411">
        <v>-0.53263493950555851</v>
      </c>
      <c r="H411">
        <v>0.65174684844685893</v>
      </c>
      <c r="I411" t="e">
        <v>#DIV/0!</v>
      </c>
      <c r="J411">
        <v>0.65247109681749049</v>
      </c>
      <c r="K411">
        <v>-0.57025403324105273</v>
      </c>
      <c r="L411">
        <v>0.65174684844685893</v>
      </c>
      <c r="M411">
        <v>-1.2200668351128861</v>
      </c>
    </row>
    <row r="412" spans="1:13" x14ac:dyDescent="0.3">
      <c r="A412" t="s">
        <v>424</v>
      </c>
      <c r="B412" t="s">
        <v>33</v>
      </c>
      <c r="C412">
        <f t="shared" si="6"/>
        <v>0</v>
      </c>
      <c r="D412">
        <v>1.4100973988349771E-2</v>
      </c>
      <c r="E412">
        <v>4.5554287069847432E-2</v>
      </c>
      <c r="F412">
        <v>0</v>
      </c>
      <c r="G412">
        <v>0.74736879762458419</v>
      </c>
      <c r="H412">
        <v>2.8294514793558245</v>
      </c>
      <c r="I412">
        <v>52.614457831325304</v>
      </c>
      <c r="J412">
        <v>4.0295542214101339</v>
      </c>
      <c r="K412">
        <v>0.31245304618466718</v>
      </c>
      <c r="L412">
        <v>2.8126486694401422</v>
      </c>
      <c r="M412">
        <v>0.64569771004059129</v>
      </c>
    </row>
    <row r="413" spans="1:13" x14ac:dyDescent="0.3">
      <c r="A413" t="s">
        <v>434</v>
      </c>
      <c r="B413" t="s">
        <v>33</v>
      </c>
      <c r="C413">
        <f t="shared" si="6"/>
        <v>0</v>
      </c>
      <c r="D413">
        <v>-3.9475450217509728E-2</v>
      </c>
      <c r="E413">
        <v>-0.17241379310344829</v>
      </c>
      <c r="F413">
        <v>0</v>
      </c>
      <c r="G413">
        <v>-0.1341315508704097</v>
      </c>
      <c r="H413">
        <v>1.0697381769939129</v>
      </c>
      <c r="I413">
        <v>0.39477026728517783</v>
      </c>
      <c r="J413">
        <v>0.85651435929452158</v>
      </c>
      <c r="K413">
        <v>6.518725891611421E-2</v>
      </c>
      <c r="L413">
        <v>0.85651435929452158</v>
      </c>
      <c r="M413">
        <v>-1.9715820246107825</v>
      </c>
    </row>
    <row r="414" spans="1:13" x14ac:dyDescent="0.3">
      <c r="A414" t="s">
        <v>438</v>
      </c>
      <c r="B414" t="s">
        <v>33</v>
      </c>
      <c r="C414">
        <f t="shared" si="6"/>
        <v>0</v>
      </c>
      <c r="D414">
        <v>-0.31850746423513426</v>
      </c>
      <c r="E414">
        <v>-214.17441860465115</v>
      </c>
      <c r="F414">
        <v>0</v>
      </c>
      <c r="G414">
        <v>7.4221112764629643E-2</v>
      </c>
      <c r="H414">
        <v>1.1197114583501311</v>
      </c>
      <c r="I414">
        <v>2.6549192364170335</v>
      </c>
      <c r="J414">
        <v>1.0831062304140531</v>
      </c>
      <c r="K414">
        <v>8.6793720896740423E-2</v>
      </c>
      <c r="L414">
        <v>1.0831062304140531</v>
      </c>
      <c r="M414">
        <v>2.781191384774594E-2</v>
      </c>
    </row>
    <row r="415" spans="1:13" x14ac:dyDescent="0.3">
      <c r="A415" t="s">
        <v>458</v>
      </c>
      <c r="B415" t="s">
        <v>33</v>
      </c>
      <c r="C415">
        <f t="shared" si="6"/>
        <v>0</v>
      </c>
      <c r="D415">
        <v>0.30593455881475828</v>
      </c>
      <c r="E415">
        <v>0.47341983556012329</v>
      </c>
      <c r="F415">
        <v>4.1694893031183752E-3</v>
      </c>
      <c r="G415">
        <v>-1.8419665621585335</v>
      </c>
      <c r="H415">
        <v>0.37930651496681567</v>
      </c>
      <c r="I415">
        <v>-7.9820038910505833</v>
      </c>
      <c r="J415">
        <v>0.30133008262224031</v>
      </c>
      <c r="K415">
        <v>-1.6408538719192123</v>
      </c>
      <c r="L415">
        <v>0.30133008262224031</v>
      </c>
      <c r="M415">
        <v>-0.60361205673208906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Foglio1</vt:lpstr>
      <vt:lpstr>costruzione indici</vt:lpstr>
      <vt:lpstr>Dataset finale per modello</vt:lpstr>
      <vt:lpstr>'costruzione indici'!Dataset_definitivo</vt:lpstr>
      <vt:lpstr>Foglio1!Dataset_definitivo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Zoffoli - nicholas.zoffoli@studio.unibo.it</dc:creator>
  <cp:lastModifiedBy>Luca Fabbricatore</cp:lastModifiedBy>
  <dcterms:created xsi:type="dcterms:W3CDTF">2025-03-25T11:09:48Z</dcterms:created>
  <dcterms:modified xsi:type="dcterms:W3CDTF">2025-04-28T14:40:51Z</dcterms:modified>
</cp:coreProperties>
</file>